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  <Override PartName="/xl/charts/lixchart1.xml" ContentType="application/vnd.openxmlformats-officedocument.drawingml.chart+xml"/>
  <Override PartName="/xl/charts/lixcolors1.xml" ContentType="application/vnd.ms-office.chartcolorstyle+xml"/>
  <Override PartName="/xl/charts/lixstyle1.xml" ContentType="application/vnd.ms-office.chartstyle+xml"/>
  <Override PartName="/xl/charts/lixchart2.xml" ContentType="application/vnd.openxmlformats-officedocument.drawingml.chart+xml"/>
  <Override PartName="/xl/charts/lixcolors2.xml" ContentType="application/vnd.ms-office.chartcolorstyle+xml"/>
  <Override PartName="/xl/charts/lixstyle2.xml" ContentType="application/vnd.ms-office.chartstyle+xml"/>
  <Override PartName="/xl/charts/lixchart3.xml" ContentType="application/vnd.openxmlformats-officedocument.drawingml.chart+xml"/>
  <Override PartName="/xl/charts/lixchart4.xml" ContentType="application/vnd.openxmlformats-officedocument.drawingml.chart+xml"/>
  <Override PartName="/xl/drawings/lixdrawing1.xml" ContentType="application/vnd.openxmlformats-officedocument.drawing+xml"/>
  <Override PartName="/xl/drawings/lixdrawing2.xml" ContentType="application/vnd.openxmlformats-officedocument.drawing+xml"/>
  <Override PartName="/xl/drawings/lixdrawing3.xml" ContentType="application/vnd.openxmlformats-officedocument.drawing+xml"/>
  <Override PartName="/xl/drawings/lixdrawing4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3020" yWindow="-180" windowWidth="29160" windowHeight="15840" tabRatio="704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FCST RESULT" sheetId="2" state="visible" r:id="rId2"/>
    <sheet xmlns:r="http://schemas.openxmlformats.org/officeDocument/2006/relationships" name="변동요인분석" sheetId="3" state="visible" r:id="rId3"/>
    <sheet xmlns:r="http://schemas.openxmlformats.org/officeDocument/2006/relationships" name="FCST FLOW" sheetId="4" state="visible" r:id="rId4"/>
    <sheet xmlns:r="http://schemas.openxmlformats.org/officeDocument/2006/relationships" name="근거_전신마취환자수" sheetId="5" state="visible" r:id="rId5"/>
    <sheet xmlns:r="http://schemas.openxmlformats.org/officeDocument/2006/relationships" name="근거_Ramosetron 시장 수량" sheetId="6" state="visible" r:id="rId6"/>
    <sheet xmlns:r="http://schemas.openxmlformats.org/officeDocument/2006/relationships" name="근거_NSA수량(IQVIA기준)" sheetId="7" state="visible" r:id="rId7"/>
    <sheet xmlns:r="http://schemas.openxmlformats.org/officeDocument/2006/relationships" name="근거_매출" sheetId="8" state="visible" r:id="rId8"/>
    <sheet xmlns:r="http://schemas.openxmlformats.org/officeDocument/2006/relationships" name="근거_민감도" sheetId="9" state="visible" r:id="rId9"/>
    <sheet xmlns:r="http://schemas.openxmlformats.org/officeDocument/2006/relationships" name="CALC" sheetId="10" state="visible" r:id="rId10"/>
    <sheet xmlns:r="http://schemas.openxmlformats.org/officeDocument/2006/relationships" name="원본_NSA_연간예측" sheetId="11" state="visible" r:id="rId11"/>
    <sheet xmlns:r="http://schemas.openxmlformats.org/officeDocument/2006/relationships" name="모니터링_분기별" sheetId="12" state="visible" r:id="rId12"/>
    <sheet xmlns:r="http://schemas.openxmlformats.org/officeDocument/2006/relationships" name="원자료_분기실측" sheetId="13" state="visible" r:id="rId13"/>
  </sheets>
  <definedNames>
    <definedName name="표시연도">'FCST RESULT'!$P$4</definedName>
    <definedName name="표시연도" localSheetId="6">[1]DASHBOARD!$G$3</definedName>
  </definedNames>
  <calcPr calcId="124519" fullCalcOnLoad="1"/>
</workbook>
</file>

<file path=xl/styles.xml><?xml version="1.0" encoding="utf-8"?>
<styleSheet xmlns="http://schemas.openxmlformats.org/spreadsheetml/2006/main">
  <numFmts count="43">
    <numFmt numFmtId="164" formatCode="_-* #,##0_-;\-* #,##0_-;_-* \-_-;_-@_-"/>
    <numFmt numFmtId="165" formatCode="0.0%"/>
    <numFmt numFmtId="166" formatCode="_-* #,##0.0_-;\-* #,##0.0_-;_-* \-_-;_-@_-"/>
    <numFmt numFmtId="167" formatCode="0.000"/>
    <numFmt numFmtId="168" formatCode="_-* #,##0.000_-;\-* #,##0.000_-;_-* \-??_-;_-@_-"/>
    <numFmt numFmtId="169" formatCode="_-* #,##0.00000000_-;\-* #,##0.00000000_-;_-* \-??_-;_-@_-"/>
    <numFmt numFmtId="170" formatCode="0.00000000"/>
    <numFmt numFmtId="171" formatCode="_-* #,##0.000_-;\-* #,##0.000_-;_-* \-_-;_-@_-"/>
    <numFmt numFmtId="172" formatCode="_-* #,##0_-;\-* #,##0_-;_-* &quot;-&quot;_-;_-@_-"/>
    <numFmt numFmtId="173" formatCode="#,##0_ "/>
    <numFmt numFmtId="174" formatCode="0.000000"/>
    <numFmt numFmtId="175" formatCode="0.0000"/>
    <numFmt numFmtId="176" formatCode="_-* #,##0.00000_-;\-* #,##0.00000_-;_-* \-_-;_-@_-"/>
    <numFmt numFmtId="177" formatCode="#,##0_);[Red]\(#,##0\)"/>
    <numFmt numFmtId="178" formatCode="0.00000%"/>
    <numFmt numFmtId="179" formatCode="0.0_ "/>
    <numFmt numFmtId="180" formatCode="_-* #,##0.0_-;\-* #,##0.0_-;_-* &quot;-&quot;_-;_-@_-"/>
    <numFmt numFmtId="181" formatCode="#,##0.0"/>
    <numFmt numFmtId="182" formatCode="#,##0.0_ "/>
    <numFmt numFmtId="183" formatCode="\+0.0%;\-0.0%"/>
    <numFmt numFmtId="184" formatCode="_(* #,##0_);_(* \(#,##0\);_(* \-_);_(@_)"/>
    <numFmt numFmtId="185" formatCode="0.0"/>
    <numFmt numFmtId="186" formatCode="\+0.0%;\-0.0%;0.0%"/>
    <numFmt numFmtId="187" formatCode="+0.0000;-0.0000"/>
    <numFmt numFmtId="188" formatCode="+0.000%;-0.000%"/>
    <numFmt numFmtId="189" formatCode="+0.0%;-0.0%"/>
    <numFmt numFmtId="190" formatCode="_-* #,##0_-;\-* #,##0_-;_-* &quot;-&quot;_-;_-@_-"/>
    <numFmt numFmtId="191" formatCode="0.0%"/>
    <numFmt numFmtId="192" formatCode="#,##0.0"/>
    <numFmt numFmtId="193" formatCode="0.0000"/>
    <numFmt numFmtId="194" formatCode="0.000"/>
    <numFmt numFmtId="195" formatCode="_-* #,##0_-;\-* #,##0_-;_-* \-_-;_-@_-"/>
    <numFmt numFmtId="196" formatCode="_-* #,##0.0_-;\-* #,##0.0_-;_-* \-_-;_-@_-"/>
    <numFmt numFmtId="197" formatCode="_(* #,##0_);_(* \(#,##0\);_(* \-_);_(@_)"/>
    <numFmt numFmtId="198" formatCode="\+0.0%;\-0.0%"/>
    <numFmt numFmtId="199" formatCode="_-* #,##0.00_-;\-* #,##0.00_-;_-* \-??_-;_-@_-"/>
    <numFmt numFmtId="200" formatCode="0.00000000"/>
    <numFmt numFmtId="201" formatCode="0.00_ "/>
    <numFmt numFmtId="202" formatCode="0.0"/>
    <numFmt numFmtId="203" formatCode="0.0_ "/>
    <numFmt numFmtId="204" formatCode="0.00000000_ "/>
    <numFmt numFmtId="205" formatCode="\+0.0%;\-0.0%;0.0%"/>
    <numFmt numFmtId="206" formatCode="0.00000E+00"/>
  </numFmts>
  <fonts count="253">
    <font>
      <name val="맑은 고딕"/>
      <charset val="129"/>
      <family val="2"/>
      <color theme="1"/>
      <sz val="11"/>
    </font>
    <font>
      <name val="Arial"/>
      <family val="2"/>
      <sz val="10"/>
    </font>
    <font>
      <name val="맑은 고딕"/>
      <charset val="1"/>
      <family val="2"/>
      <color rgb="FF000000"/>
      <sz val="11"/>
    </font>
    <font>
      <name val="Noto Sans CJK SC"/>
      <charset val="1"/>
      <family val="2"/>
      <b val="1"/>
      <sz val="11"/>
    </font>
    <font>
      <name val="맑은 고딕"/>
      <charset val="129"/>
      <family val="3"/>
      <b val="1"/>
      <color rgb="FFFFFFFF"/>
      <sz val="12"/>
    </font>
    <font>
      <name val="맑은 고딕"/>
      <charset val="129"/>
      <family val="3"/>
      <b val="1"/>
      <color rgb="FF1F3864"/>
      <sz val="11"/>
    </font>
    <font>
      <name val="맑은 고딕"/>
      <charset val="129"/>
      <family val="3"/>
      <b val="1"/>
      <color rgb="FFFFFFFF"/>
      <sz val="22"/>
    </font>
    <font>
      <name val="맑은 고딕"/>
      <charset val="129"/>
      <family val="3"/>
      <color rgb="FF808080"/>
      <sz val="10"/>
    </font>
    <font>
      <name val="Noto Sans CJK SC"/>
      <charset val="1"/>
      <family val="2"/>
      <b val="1"/>
      <color rgb="FFFFFFFF"/>
      <sz val="12"/>
    </font>
    <font>
      <name val="맑은 고딕"/>
      <charset val="129"/>
      <family val="3"/>
      <b val="1"/>
      <color rgb="FF1F3864"/>
      <sz val="26"/>
    </font>
    <font>
      <name val="맑은 고딕"/>
      <charset val="129"/>
      <family val="2"/>
      <color rgb="FF808080"/>
      <sz val="10"/>
    </font>
    <font>
      <name val="맑은 고딕"/>
      <charset val="129"/>
      <family val="3"/>
      <b val="1"/>
      <color rgb="FF1F3864"/>
      <sz val="14"/>
    </font>
    <font>
      <name val="맑은 고딕"/>
      <charset val="129"/>
      <family val="2"/>
      <color rgb="FF808080"/>
      <sz val="9"/>
    </font>
    <font>
      <name val="맑은 고딕"/>
      <charset val="129"/>
      <family val="3"/>
      <b val="1"/>
      <color theme="1"/>
      <sz val="15"/>
    </font>
    <font>
      <name val="Noto Sans CJK SC"/>
      <charset val="1"/>
      <family val="2"/>
      <i val="1"/>
      <color theme="1"/>
      <sz val="10"/>
    </font>
    <font>
      <name val="맑은 고딕"/>
      <charset val="129"/>
      <family val="3"/>
      <i val="1"/>
      <color rgb="FF167C74"/>
      <sz val="11"/>
    </font>
    <font>
      <name val="Noto Sans CJK SC"/>
      <charset val="1"/>
      <family val="2"/>
      <b val="1"/>
      <color rgb="FFFFFFFF"/>
      <sz val="11"/>
    </font>
    <font>
      <name val="Noto Sans CJK SC"/>
      <charset val="1"/>
      <family val="2"/>
      <color theme="1"/>
      <sz val="11"/>
    </font>
    <font>
      <name val="맑은 고딕"/>
      <charset val="129"/>
      <family val="3"/>
      <color theme="1"/>
      <sz val="11"/>
    </font>
    <font>
      <name val="Noto Sans CJK SC"/>
      <family val="2"/>
      <color theme="1"/>
      <sz val="11"/>
    </font>
    <font>
      <name val="맑은 고딕"/>
      <charset val="129"/>
      <family val="3"/>
      <b val="1"/>
      <color rgb="FF1F4E78"/>
      <sz val="11"/>
    </font>
    <font>
      <name val="맑은 고딕"/>
      <charset val="129"/>
      <family val="2"/>
      <color theme="10"/>
      <sz val="11"/>
      <u val="single"/>
    </font>
    <font>
      <name val="맑은 고딕"/>
      <charset val="129"/>
      <family val="2"/>
      <color rgb="FF0563C1"/>
      <sz val="11"/>
    </font>
    <font>
      <name val="맑은 고딕"/>
      <charset val="129"/>
      <family val="3"/>
      <b val="1"/>
      <color theme="1"/>
      <sz val="11"/>
    </font>
    <font>
      <name val="Noto Sans CJK SC"/>
      <family val="2"/>
      <b val="1"/>
      <color theme="1"/>
      <sz val="11"/>
    </font>
    <font>
      <name val="Noto Sans CJK SC"/>
      <charset val="1"/>
      <family val="2"/>
      <color rgb="FF808080"/>
      <sz val="10"/>
    </font>
    <font>
      <name val="맑은 고딕"/>
      <charset val="129"/>
      <family val="2"/>
      <color rgb="FF808080"/>
      <sz val="11"/>
    </font>
    <font>
      <name val="맑은 고딕"/>
      <charset val="129"/>
      <family val="3"/>
      <i val="1"/>
      <color rgb="FF808080"/>
      <sz val="10"/>
    </font>
    <font>
      <name val="Noto Sans CJK SC"/>
      <charset val="1"/>
      <family val="2"/>
      <b val="1"/>
      <color theme="1"/>
      <sz val="14"/>
    </font>
    <font>
      <name val="맑은 고딕"/>
      <charset val="129"/>
      <family val="3"/>
      <i val="1"/>
      <color rgb="FF787878"/>
      <sz val="10"/>
    </font>
    <font>
      <name val="Noto Sans CJK SC"/>
      <charset val="1"/>
      <family val="2"/>
      <color rgb="FF787878"/>
      <sz val="9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2"/>
      <color rgb="FF0000FF"/>
      <sz val="11"/>
    </font>
    <font>
      <name val="Noto Sans CJK SC"/>
      <charset val="1"/>
      <family val="2"/>
      <b val="1"/>
      <color theme="1"/>
      <sz val="11"/>
    </font>
    <font>
      <name val="맑은 고딕"/>
      <charset val="129"/>
      <family val="2"/>
      <color theme="6"/>
      <sz val="11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color theme="1"/>
      <sz val="10"/>
    </font>
    <font>
      <name val="Noto Sans CJK SC"/>
      <charset val="1"/>
      <family val="2"/>
      <b val="1"/>
      <color theme="1"/>
      <sz val="10"/>
    </font>
    <font>
      <name val="Noto Sans CJK SC"/>
      <charset val="1"/>
      <family val="2"/>
      <color theme="1"/>
      <sz val="10"/>
    </font>
    <font>
      <name val="맑은 고딕"/>
      <charset val="129"/>
      <family val="3"/>
      <sz val="10"/>
    </font>
    <font>
      <name val="Noto Sans CJK SC"/>
      <charset val="1"/>
      <family val="2"/>
      <color theme="0" tint="-0.499984740745262"/>
      <sz val="9"/>
    </font>
    <font>
      <name val="맑은 고딕"/>
      <charset val="129"/>
      <family val="3"/>
      <color theme="0" tint="-0.499984740745262"/>
      <sz val="9"/>
    </font>
    <font>
      <name val="Noto Sans CJK SC"/>
      <family val="2"/>
      <color theme="0" tint="-0.499984740745262"/>
      <sz val="9"/>
    </font>
    <font>
      <name val="맑은 고딕"/>
      <charset val="129"/>
      <family val="3"/>
      <b val="1"/>
      <color theme="1"/>
      <sz val="14"/>
    </font>
    <font>
      <name val="맑은 고딕"/>
      <charset val="129"/>
      <family val="3"/>
      <color rgb="FF0000FF"/>
      <sz val="11"/>
    </font>
    <font>
      <name val="맑은 고딕"/>
      <charset val="129"/>
      <family val="2"/>
      <sz val="11"/>
    </font>
    <font>
      <name val="Cambria"/>
      <family val="1"/>
      <b val="1"/>
      <sz val="11"/>
    </font>
    <font>
      <name val="Noto Sans CJK SC"/>
      <family val="2"/>
      <b val="1"/>
      <sz val="11"/>
    </font>
    <font>
      <name val="Arial"/>
      <family val="2"/>
      <sz val="10"/>
    </font>
    <font>
      <name val="맑은 고딕"/>
      <charset val="129"/>
      <family val="3"/>
      <i val="1"/>
      <color rgb="FF787878"/>
      <sz val="11"/>
    </font>
    <font>
      <name val="Noto Sans CJK SC"/>
      <family val="2"/>
      <b val="1"/>
      <color rgb="FFFFFFFF"/>
      <sz val="11"/>
    </font>
    <font>
      <name val="Noto Sans CJK SC"/>
      <charset val="1"/>
      <family val="2"/>
      <i val="1"/>
      <color rgb="FF666666"/>
      <sz val="9"/>
    </font>
    <font>
      <name val="Noto Sans CJK SC"/>
      <charset val="1"/>
      <family val="2"/>
      <color theme="1"/>
      <sz val="9"/>
    </font>
    <font>
      <name val="Noto Sans CJK SC"/>
      <charset val="129"/>
      <family val="3"/>
      <color rgb="FF787878"/>
      <sz val="9"/>
    </font>
    <font>
      <name val="맑은 고딕"/>
      <charset val="129"/>
      <family val="2"/>
      <color rgb="FF000000"/>
      <sz val="11"/>
    </font>
    <font>
      <name val="맑은 고딕"/>
      <charset val="129"/>
      <family val="3"/>
      <b val="1"/>
      <color rgb="FF0000FF"/>
      <sz val="11"/>
    </font>
    <font>
      <name val="맑은 고딕"/>
      <charset val="129"/>
      <family val="2"/>
      <color theme="0" tint="-0.499984740745262"/>
      <sz val="10"/>
    </font>
    <font>
      <name val="맑은 고딕"/>
      <charset val="129"/>
      <family val="2"/>
      <color theme="1"/>
      <sz val="11"/>
    </font>
    <font>
      <name val="맑은 고딕"/>
      <charset val="129"/>
      <family val="2"/>
      <sz val="8"/>
    </font>
    <font>
      <name val="맑은 고딕"/>
      <charset val="129"/>
      <family val="2"/>
      <b val="1"/>
      <color theme="1"/>
      <sz val="11"/>
    </font>
    <font>
      <name val="Arial"/>
      <family val="2"/>
      <b val="1"/>
      <color theme="1"/>
      <sz val="11"/>
    </font>
    <font>
      <name val="Arial"/>
      <family val="2"/>
      <b val="1"/>
      <color theme="1"/>
      <sz val="14"/>
    </font>
    <font>
      <name val="Arial"/>
      <family val="2"/>
      <color theme="1"/>
      <sz val="10"/>
    </font>
    <font>
      <name val="Noto Sans CJK SC"/>
      <charset val="129"/>
      <family val="3"/>
      <color theme="1"/>
      <sz val="10"/>
    </font>
    <font>
      <name val="Noto Sans CJK SC"/>
      <charset val="129"/>
      <family val="3"/>
      <b val="1"/>
      <color theme="1"/>
      <sz val="11"/>
    </font>
    <font>
      <name val="Noto Sans CJK SC"/>
      <charset val="1"/>
      <family val="1"/>
      <color rgb="FF808080"/>
      <sz val="10"/>
    </font>
    <font>
      <name val="Noto Sans CJK SC"/>
      <charset val="1"/>
      <family val="1"/>
      <color rgb="FF787878"/>
      <sz val="9"/>
    </font>
    <font>
      <name val="맑은 고딕"/>
      <charset val="129"/>
      <family val="3"/>
      <b val="1"/>
      <sz val="11"/>
    </font>
    <font>
      <name val="맑은 고딕"/>
      <charset val="129"/>
      <family val="3"/>
      <color rgb="FF0000CC"/>
      <sz val="11"/>
    </font>
    <font>
      <name val="맑은 고딕"/>
      <charset val="129"/>
      <family val="3"/>
      <b val="1"/>
      <color rgb="FF000000"/>
      <sz val="11"/>
    </font>
    <font>
      <name val="Arial"/>
      <family val="2"/>
      <b val="1"/>
      <sz val="10"/>
    </font>
    <font>
      <name val="Arial"/>
      <family val="2"/>
      <b val="1"/>
      <color theme="1"/>
      <sz val="10"/>
    </font>
    <font>
      <name val="맑은 고딕"/>
      <charset val="129"/>
      <family val="3"/>
      <color rgb="FFFF0000"/>
      <sz val="11"/>
    </font>
    <font>
      <name val="맑은 고딕"/>
      <charset val="129"/>
      <family val="3"/>
      <b val="1"/>
      <color rgb="FF0000CC"/>
      <sz val="11"/>
    </font>
    <font>
      <name val="맑은 고딕"/>
      <charset val="129"/>
      <family val="2"/>
      <color rgb="FFFF0000"/>
      <sz val="11"/>
    </font>
    <font>
      <name val="Noto Sans CJK SC"/>
      <charset val="129"/>
      <family val="1"/>
      <b val="1"/>
      <color rgb="FFFFFFFF"/>
      <sz val="11"/>
    </font>
    <font>
      <name val="Noto Sans CJK SC"/>
      <charset val="129"/>
      <family val="3"/>
      <b val="1"/>
      <color rgb="FFFFFFFF"/>
      <sz val="11"/>
    </font>
    <font>
      <name val="Cambria"/>
      <family val="1"/>
      <color rgb="FF007700"/>
      <sz val="11"/>
    </font>
    <font>
      <name val="Noto Sans CJK SC"/>
      <family val="2"/>
      <color theme="0" tint="-0.499984740745262"/>
      <sz val="10"/>
    </font>
    <font>
      <name val="맑은 고딕"/>
      <charset val="129"/>
      <family val="2"/>
      <color rgb="FF535353"/>
      <sz val="9"/>
    </font>
    <font>
      <name val="맑은 고딕"/>
      <charset val="129"/>
      <family val="2"/>
      <sz val="8"/>
      <scheme val="minor"/>
    </font>
    <font>
      <name val="맑은 고딕"/>
      <charset val="129"/>
      <family val="2"/>
      <b val="1"/>
      <color theme="1"/>
      <sz val="14"/>
    </font>
    <font>
      <name val="맑은 고딕"/>
      <charset val="129"/>
      <family val="2"/>
      <color theme="0" tint="-0.499984740745262"/>
      <sz val="11"/>
    </font>
    <font>
      <name val="Arial"/>
      <family val="2"/>
      <color theme="0" tint="-0.499984740745262"/>
      <sz val="10"/>
    </font>
    <font>
      <name val="Noto Sans CJK SC"/>
      <family val="2"/>
      <color theme="0" tint="-0.499984740745262"/>
      <sz val="11"/>
    </font>
    <font>
      <name val="맑은 고딕"/>
      <charset val="129"/>
      <family val="3"/>
      <color rgb="FFFF0000"/>
      <sz val="10"/>
    </font>
    <font>
      <name val="Noto Sans CJK SC"/>
      <family val="2"/>
      <b val="1"/>
      <color theme="1"/>
      <sz val="10"/>
    </font>
    <font>
      <name val="맑은 고딕"/>
      <charset val="129"/>
      <family val="3"/>
      <b val="1"/>
      <color theme="1"/>
      <sz val="11"/>
      <vertAlign val="superscript"/>
    </font>
    <font>
      <name val="Noto Sans CJK SC"/>
      <charset val="1"/>
      <family val="2"/>
      <color theme="0" tint="-0.499984740745262"/>
      <sz val="11"/>
    </font>
    <font>
      <name val="맑은 고딕"/>
      <charset val="129"/>
      <family val="3"/>
      <color theme="0" tint="-0.499984740745262"/>
      <sz val="11"/>
    </font>
    <font>
      <name val="Arial"/>
      <family val="2"/>
      <color theme="0" tint="-0.499984740745262"/>
      <sz val="11"/>
    </font>
    <font>
      <name val="맑은 고딕"/>
      <color rgb="000000FF"/>
      <sz val="11"/>
    </font>
    <font>
      <name val="맑은 고딕"/>
      <b val="1"/>
      <sz val="11"/>
    </font>
    <font>
      <name val="맑은 고딕"/>
      <color rgb="00808080"/>
      <sz val="11"/>
    </font>
    <font>
      <name val="맑은 고딕"/>
      <b val="1"/>
      <color rgb="000000FF"/>
      <sz val="11"/>
    </font>
    <font>
      <name val="맑은 고딕"/>
      <b val="1"/>
      <sz val="13"/>
    </font>
    <font>
      <name val="맑은 고딕"/>
      <color rgb="00787878"/>
      <sz val="11"/>
    </font>
    <font>
      <name val="맑은 고딕"/>
      <b val="1"/>
      <color rgb="00FFFFFF"/>
      <sz val="11"/>
    </font>
    <font>
      <name val="맑은 고딕"/>
      <b val="1"/>
      <color rgb="0000A656"/>
      <sz val="11"/>
    </font>
    <font>
      <name val="맑은 고딕"/>
      <b val="1"/>
      <color rgb="00CC2B2B"/>
      <sz val="11"/>
    </font>
    <font>
      <name val="맑은 고딕"/>
      <color rgb="00808080"/>
      <sz val="9"/>
    </font>
    <font>
      <name val="맑은 고딕"/>
      <sz val="11"/>
    </font>
    <font>
      <name val="맑은 고딕"/>
      <color rgb="006B7280"/>
      <sz val="11"/>
    </font>
    <font>
      <name val="맑은 고딕"/>
      <b val="1"/>
      <color rgb="00008000"/>
      <sz val="11"/>
    </font>
    <font>
      <sz val="11"/>
      <color theme="1"/>
      <name val="맑은 고딕"/>
      <family val="2"/>
      <charset val="129"/>
    </font>
    <font>
      <b/>
      <sz val="12"/>
      <color rgb="FFFFFFFF"/>
      <name val="맑은 고딕"/>
      <family val="3"/>
      <charset val="129"/>
    </font>
    <font>
      <sz val="10"/>
      <color rgb="FF808080"/>
      <name val="맑은 고딕"/>
      <family val="3"/>
      <charset val="129"/>
    </font>
    <font>
      <b/>
      <sz val="12"/>
      <color rgb="FFFFFFFF"/>
      <name val="Noto Sans CJK SC"/>
      <family val="2"/>
    </font>
    <font>
      <i/>
      <sz val="11"/>
      <color rgb="FF167C74"/>
      <name val="맑은 고딕"/>
      <family val="3"/>
      <charset val="129"/>
    </font>
    <font>
      <b/>
      <sz val="11"/>
      <color rgb="FFFFFFFF"/>
      <name val="Noto Sans CJK SC"/>
      <family val="2"/>
      <charset val="1"/>
    </font>
    <font>
      <sz val="11"/>
      <color theme="1"/>
      <name val="Noto Sans CJK SC"/>
      <family val="2"/>
    </font>
    <font>
      <sz val="11"/>
      <color theme="1"/>
      <name val="맑은 고딕"/>
      <family val="3"/>
      <charset val="129"/>
    </font>
    <font>
      <u/>
      <sz val="11"/>
      <color theme="10"/>
      <name val="맑은 고딕"/>
      <family val="2"/>
      <charset val="129"/>
    </font>
    <font>
      <sz val="11"/>
      <color theme="1"/>
      <name val="Noto Sans CJK SC"/>
      <family val="2"/>
      <charset val="1"/>
    </font>
    <font>
      <sz val="11"/>
      <color rgb="FF0563C1"/>
      <name val="맑은 고딕"/>
      <family val="2"/>
      <charset val="129"/>
    </font>
    <font>
      <b/>
      <sz val="11"/>
      <color theme="1"/>
      <name val="맑은 고딕"/>
      <family val="3"/>
      <charset val="129"/>
    </font>
    <font>
      <b/>
      <sz val="11"/>
      <color theme="1"/>
      <name val="Noto Sans CJK SC"/>
      <family val="2"/>
    </font>
    <font>
      <b/>
      <sz val="13"/>
      <color theme="1"/>
      <name val="맑은 고딕"/>
      <family val="3"/>
      <charset val="129"/>
    </font>
    <font>
      <sz val="10"/>
      <color rgb="FF808080"/>
      <name val="Noto Sans CJK SC"/>
      <family val="2"/>
    </font>
    <font>
      <sz val="11"/>
      <color rgb="FF808080"/>
      <name val="맑은 고딕"/>
      <family val="2"/>
      <charset val="129"/>
    </font>
    <font>
      <i/>
      <sz val="10"/>
      <color rgb="FF808080"/>
      <name val="맑은 고딕"/>
      <family val="3"/>
      <charset val="129"/>
    </font>
    <font>
      <b/>
      <sz val="14"/>
      <color theme="1"/>
      <name val="맑은 고딕"/>
      <family val="3"/>
      <charset val="129"/>
    </font>
    <font>
      <i/>
      <sz val="10"/>
      <color rgb="FF787878"/>
      <name val="맑은 고딕"/>
      <family val="3"/>
      <charset val="129"/>
    </font>
    <font>
      <sz val="9"/>
      <color rgb="FF787878"/>
      <name val="Noto Sans CJK SC"/>
      <family val="2"/>
      <charset val="1"/>
    </font>
    <font>
      <b/>
      <sz val="11"/>
      <color rgb="FFFFFFFF"/>
      <name val="맑은 고딕"/>
      <family val="3"/>
      <charset val="129"/>
    </font>
    <font>
      <sz val="11"/>
      <color rgb="FF0000FF"/>
      <name val="맑은 고딕"/>
      <family val="2"/>
      <charset val="129"/>
    </font>
    <font>
      <b/>
      <sz val="11"/>
      <color theme="1"/>
      <name val="Noto Sans CJK SC"/>
      <family val="2"/>
      <charset val="1"/>
    </font>
    <font>
      <sz val="11"/>
      <color theme="0" tint="-0.249977111117893"/>
      <name val="Noto Sans CJK SC"/>
      <family val="2"/>
    </font>
    <font>
      <sz val="10"/>
      <name val="Arial"/>
      <family val="2"/>
      <charset val="1"/>
    </font>
    <font>
      <sz val="10"/>
      <color theme="0" tint="-0.249977111117893"/>
      <name val="Arial"/>
      <family val="2"/>
      <charset val="1"/>
    </font>
    <font>
      <b/>
      <sz val="10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color theme="1"/>
      <name val="맑은 고딕"/>
      <family val="2"/>
      <charset val="129"/>
    </font>
    <font>
      <sz val="9"/>
      <color rgb="FF787878"/>
      <name val="맑은 고딕"/>
      <family val="3"/>
      <charset val="129"/>
    </font>
    <font>
      <sz val="9"/>
      <color theme="0" tint="-0.499984740745262"/>
      <name val="Noto Sans CJK SC"/>
      <family val="2"/>
      <charset val="1"/>
    </font>
    <font>
      <sz val="9"/>
      <color theme="0" tint="-0.499984740745262"/>
      <name val="맑은 고딕"/>
      <family val="3"/>
      <charset val="129"/>
    </font>
    <font>
      <sz val="9"/>
      <color theme="0" tint="-0.499984740745262"/>
      <name val="Noto Sans CJK SC"/>
      <family val="2"/>
    </font>
    <font>
      <sz val="11"/>
      <color rgb="FF0000FF"/>
      <name val="맑은 고딕"/>
      <family val="3"/>
      <charset val="129"/>
    </font>
    <font>
      <i/>
      <sz val="11"/>
      <color rgb="FF787878"/>
      <name val="맑은 고딕"/>
      <family val="3"/>
      <charset val="129"/>
    </font>
    <font>
      <sz val="9"/>
      <color rgb="FF787878"/>
      <name val="Noto Sans CJK SC"/>
      <family val="3"/>
      <charset val="129"/>
    </font>
    <font>
      <b/>
      <sz val="11"/>
      <name val="맑은 고딕"/>
      <family val="3"/>
      <charset val="129"/>
    </font>
    <font>
      <b/>
      <sz val="11"/>
      <name val="Noto Sans CJK SC"/>
      <family val="2"/>
    </font>
    <font>
      <sz val="10"/>
      <color rgb="FF000000"/>
      <name val="맑은 고딕"/>
      <family val="3"/>
      <charset val="129"/>
    </font>
    <font>
      <b/>
      <sz val="11"/>
      <color rgb="FFFFFFFF"/>
      <name val="Noto Sans CJK SC"/>
      <family val="2"/>
    </font>
    <font>
      <sz val="9"/>
      <color theme="1"/>
      <name val="맑은 고딕"/>
      <family val="2"/>
      <charset val="129"/>
    </font>
    <font>
      <sz val="11"/>
      <name val="맑은 고딕"/>
      <family val="2"/>
      <charset val="129"/>
    </font>
    <font>
      <b/>
      <sz val="11"/>
      <color rgb="FF000000"/>
      <name val="맑은 고딕"/>
      <family val="3"/>
      <charset val="129"/>
    </font>
    <font>
      <b/>
      <sz val="11"/>
      <color rgb="FF0000FF"/>
      <name val="맑은 고딕"/>
      <family val="3"/>
      <charset val="129"/>
    </font>
    <font>
      <sz val="9"/>
      <color rgb="FF535353"/>
      <name val="맑은 고딕"/>
      <family val="2"/>
      <charset val="129"/>
    </font>
    <font>
      <sz val="10"/>
      <color theme="0" tint="-0.499984740745262"/>
      <name val="맑은 고딕"/>
      <family val="2"/>
      <charset val="129"/>
    </font>
    <font>
      <sz val="11"/>
      <color theme="0" tint="-0.249977111117893"/>
      <name val="맑은 고딕"/>
      <family val="2"/>
      <charset val="129"/>
    </font>
    <font>
      <sz val="11"/>
      <color rgb="FFFF0000"/>
      <name val="맑은 고딕"/>
      <family val="3"/>
      <charset val="129"/>
    </font>
    <font>
      <sz val="10"/>
      <color rgb="FF000000"/>
      <name val="Noto Sans CJK SC"/>
      <family val="2"/>
    </font>
    <font>
      <sz val="11"/>
      <color theme="3" tint="0.49989318521683401"/>
      <name val="맑은 고딕"/>
      <family val="3"/>
      <charset val="129"/>
    </font>
    <font>
      <sz val="11"/>
      <color theme="3" tint="0.49989318521683401"/>
      <name val="Noto Sans CJK SC"/>
      <family val="2"/>
    </font>
    <font>
      <sz val="11"/>
      <color theme="0"/>
      <name val="맑은 고딕"/>
      <family val="3"/>
      <charset val="129"/>
    </font>
    <font>
      <sz val="10"/>
      <color theme="0" tint="-0.34998626667073579"/>
      <name val="맑은 고딕"/>
      <family val="3"/>
      <charset val="129"/>
    </font>
    <font>
      <sz val="10"/>
      <color theme="0" tint="-0.34998626667073579"/>
      <name val="Noto Sans CJK SC"/>
      <family val="2"/>
    </font>
    <font>
      <b/>
      <sz val="11"/>
      <color theme="1"/>
      <name val="Arial"/>
      <family val="3"/>
      <charset val="129"/>
    </font>
    <font>
      <sz val="11"/>
      <color theme="0" tint="-0.499984740745262"/>
      <name val="맑은 고딕"/>
      <family val="3"/>
      <charset val="129"/>
    </font>
    <font>
      <sz val="10"/>
      <color theme="1" tint="0.49989318521683401"/>
      <name val="맑은 고딕"/>
      <family val="3"/>
      <charset val="129"/>
    </font>
    <font>
      <sz val="10"/>
      <color theme="1" tint="0.49989318521683401"/>
      <name val="Noto Sans CJK SC"/>
      <family val="2"/>
    </font>
    <font>
      <sz val="11"/>
      <color rgb="FF000000"/>
      <name val="맑은 고딕"/>
      <family val="2"/>
      <charset val="129"/>
    </font>
    <font>
      <b/>
      <sz val="12"/>
      <color rgb="FFFFFFFF"/>
      <name val="Noto Sans CJK SC"/>
      <family val="2"/>
      <charset val="1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sz val="9"/>
      <color rgb="FF707070"/>
      <name val="맑은 고딕"/>
      <family val="3"/>
      <charset val="129"/>
    </font>
    <font>
      <b/>
      <sz val="12"/>
      <color rgb="FF1F4E5F"/>
      <name val="맑은 고딕"/>
      <family val="3"/>
      <charset val="129"/>
    </font>
    <font>
      <b/>
      <sz val="11"/>
      <color rgb="FF333333"/>
      <name val="맑은 고딕"/>
      <family val="3"/>
      <charset val="129"/>
    </font>
    <font>
      <sz val="11"/>
      <color rgb="FFFFFFFF"/>
      <name val="맑은 고딕"/>
      <family val="2"/>
      <charset val="129"/>
    </font>
    <font>
      <b/>
      <sz val="15"/>
      <color rgb="FFFFFFFF"/>
      <name val="Gmarket Sans"/>
    </font>
    <font>
      <sz val="9.5"/>
      <color rgb="FF6B7280"/>
      <name val="맑은 고딕"/>
      <family val="2"/>
      <charset val="129"/>
    </font>
    <font>
      <b/>
      <sz val="11"/>
      <color rgb="FF00A656"/>
      <name val="맑은 고딕"/>
      <family val="3"/>
      <charset val="129"/>
    </font>
    <font>
      <b/>
      <sz val="11"/>
      <color rgb="FF1F3864"/>
      <name val="맑은 고딕"/>
      <family val="3"/>
      <charset val="129"/>
    </font>
    <font>
      <b/>
      <sz val="11"/>
      <color rgb="FF005BAA"/>
      <name val="맑은 고딕"/>
      <family val="3"/>
      <charset val="129"/>
    </font>
    <font>
      <b/>
      <sz val="11"/>
      <color rgb="FFCC2B2B"/>
      <name val="맑은 고딕"/>
      <family val="3"/>
      <charset val="129"/>
    </font>
    <font>
      <sz val="9.5"/>
      <color rgb="FF6B7280"/>
      <name val="맑은 고딕"/>
      <family val="3"/>
      <charset val="129"/>
    </font>
    <font>
      <i/>
      <sz val="9"/>
      <color rgb="FF6B7280"/>
      <name val="맑은 고딕"/>
      <family val="3"/>
      <charset val="129"/>
    </font>
    <font>
      <i/>
      <sz val="9"/>
      <color theme="1"/>
      <name val="Noto Sans CJK SC"/>
      <family val="2"/>
      <charset val="1"/>
    </font>
    <font>
      <i/>
      <sz val="9"/>
      <color theme="1"/>
      <name val="Noto Sans CJK SC"/>
      <family val="2"/>
    </font>
    <font>
      <b/>
      <sz val="11"/>
      <color rgb="FFFFFFFF"/>
      <name val="맑은 고딕"/>
      <family val="2"/>
      <charset val="129"/>
    </font>
    <font>
      <b/>
      <sz val="11"/>
      <color rgb="FFFFFFFF"/>
      <name val="Arial"/>
      <family val="2"/>
    </font>
    <font>
      <b/>
      <sz val="11"/>
      <color rgb="FFFFFFFF"/>
      <name val="Noto Sans CJK SC"/>
      <family val="3"/>
      <charset val="129"/>
    </font>
    <font>
      <b/>
      <sz val="16"/>
      <color theme="1"/>
      <name val="맑은 고딕"/>
      <family val="3"/>
      <charset val="129"/>
    </font>
    <font>
      <b/>
      <sz val="14"/>
      <name val="맑은 고딕"/>
      <family val="3"/>
      <charset val="129"/>
    </font>
    <font>
      <b/>
      <sz val="14"/>
      <name val="Arial"/>
      <family val="2"/>
    </font>
    <font>
      <sz val="9"/>
      <color rgb="FF787878"/>
      <name val="Arial"/>
      <family val="2"/>
    </font>
    <font>
      <sz val="9"/>
      <color rgb="FF787878"/>
      <name val="Segoe UI Symbol"/>
      <family val="1"/>
    </font>
    <font>
      <sz val="9"/>
      <color rgb="FF787878"/>
      <name val="Noto Sans CJK SC"/>
      <family val="1"/>
      <charset val="1"/>
    </font>
    <font>
      <sz val="9"/>
      <color rgb="FF787878"/>
      <name val="Noto Sans CJK SC"/>
      <family val="1"/>
      <charset val="129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vertAlign val="superscript"/>
      <sz val="10"/>
      <color theme="1"/>
      <name val="맑은 고딕"/>
      <family val="3"/>
      <charset val="129"/>
    </font>
    <font>
      <b/>
      <sz val="10"/>
      <color theme="0" tint="-0.499984740745262"/>
      <name val="맑은 고딕"/>
      <family val="3"/>
      <charset val="129"/>
    </font>
    <font>
      <sz val="11"/>
      <color theme="0" tint="-0.499984740745262"/>
      <name val="맑은 고딕"/>
      <family val="2"/>
      <charset val="129"/>
    </font>
    <font>
      <b/>
      <sz val="10"/>
      <color theme="0" tint="-0.499984740745262"/>
      <name val="맑은 고딕"/>
      <family val="2"/>
      <charset val="129"/>
    </font>
    <font>
      <sz val="9"/>
      <color theme="0" tint="-0.499984740745262"/>
      <name val="Arial"/>
      <family val="2"/>
    </font>
    <font>
      <sz val="10"/>
      <color theme="0" tint="-0.499984740745262"/>
      <name val="맑은 고딕"/>
      <family val="3"/>
      <charset val="129"/>
    </font>
    <font>
      <sz val="9"/>
      <color theme="0" tint="-0.499984740745262"/>
      <name val="맑은 고딕"/>
      <family val="2"/>
      <charset val="129"/>
    </font>
    <font>
      <b/>
      <sz val="14"/>
      <name val="Noto Sans CJK SC"/>
      <family val="2"/>
    </font>
    <font>
      <b/>
      <sz val="11"/>
      <color theme="1"/>
      <name val="맑은 고딕"/>
      <family val="2"/>
      <charset val="129"/>
    </font>
    <font>
      <b/>
      <sz val="10"/>
      <color theme="0" tint="-0.499984740745262"/>
      <name val="Arial"/>
      <family val="2"/>
    </font>
    <font>
      <sz val="10"/>
      <color theme="0" tint="-0.499984740745262"/>
      <name val="Arial"/>
      <family val="2"/>
    </font>
    <font>
      <sz val="11"/>
      <color theme="0" tint="-0.249977111117893"/>
      <name val="맑은 고딕"/>
      <family val="3"/>
      <charset val="129"/>
    </font>
    <font>
      <sz val="11"/>
      <color theme="0" tint="-0.249977111117893"/>
      <name val="Arial"/>
      <family val="2"/>
    </font>
    <font>
      <sz val="11"/>
      <color theme="0" tint="-0.249977111117893"/>
      <name val="Noto Sans CJK SC"/>
      <family val="3"/>
      <charset val="129"/>
    </font>
    <font>
      <i/>
      <sz val="10"/>
      <color theme="0" tint="-0.499984740745262"/>
      <name val="맑은 고딕"/>
      <family val="3"/>
      <charset val="129"/>
    </font>
    <font>
      <vertAlign val="superscript"/>
      <sz val="10"/>
      <color theme="0" tint="-0.499984740745262"/>
      <name val="맑은 고딕"/>
      <family val="3"/>
      <charset val="129"/>
    </font>
    <font>
      <sz val="9"/>
      <color rgb="FF6B7280"/>
      <name val="맑은 고딕"/>
      <family val="2"/>
      <charset val="129"/>
    </font>
    <font>
      <sz val="9"/>
      <color rgb="FF6B7280"/>
      <name val="맑은 고딕"/>
      <family val="3"/>
      <charset val="129"/>
    </font>
    <font>
      <b/>
      <sz val="9"/>
      <color rgb="FF6B7280"/>
      <name val="맑은 고딕"/>
      <family val="3"/>
      <charset val="129"/>
    </font>
    <font>
      <i/>
      <sz val="9"/>
      <color theme="0" tint="-0.499984740745262"/>
      <name val="맑은 고딕"/>
      <family val="3"/>
      <charset val="129"/>
    </font>
    <font>
      <u/>
      <sz val="10"/>
      <color theme="0" tint="-0.499984740745262"/>
      <name val="맑은 고딕"/>
      <family val="3"/>
      <charset val="129"/>
    </font>
    <font>
      <u/>
      <sz val="11"/>
      <color theme="1"/>
      <name val="맑은 고딕"/>
      <family val="3"/>
      <charset val="129"/>
    </font>
    <font>
      <b/>
      <sz val="11"/>
      <name val="Arial"/>
      <family val="2"/>
    </font>
    <font>
      <b/>
      <sz val="10.5"/>
      <color rgb="FF1F3864"/>
      <name val="맑은 고딕"/>
      <family val="3"/>
      <charset val="129"/>
    </font>
    <font>
      <b/>
      <sz val="9"/>
      <color theme="0" tint="-0.499984740745262"/>
      <name val="맑은 고딕"/>
      <family val="3"/>
      <charset val="129"/>
    </font>
    <font>
      <sz val="9.5"/>
      <color theme="0" tint="-0.499984740745262"/>
      <name val="맑은 고딕"/>
      <family val="3"/>
      <charset val="129"/>
    </font>
    <font>
      <sz val="11"/>
      <name val="맑은 고딕"/>
      <family val="3"/>
      <charset val="129"/>
    </font>
    <font>
      <sz val="11"/>
      <color rgb="FF008000"/>
      <name val="맑은 고딕"/>
      <family val="3"/>
      <charset val="129"/>
    </font>
    <font>
      <sz val="9"/>
      <color theme="0" tint="-0.34998626667073579"/>
      <name val="맑은 고딕"/>
      <family val="3"/>
      <charset val="129"/>
    </font>
    <font>
      <b/>
      <i/>
      <sz val="10"/>
      <color theme="0" tint="-0.34998626667073579"/>
      <name val="맑은 고딕"/>
      <family val="3"/>
      <charset val="129"/>
    </font>
    <font>
      <i/>
      <sz val="10"/>
      <color theme="0" tint="-0.34998626667073579"/>
      <name val="맑은 고딕"/>
      <family val="3"/>
      <charset val="129"/>
    </font>
    <font>
      <b/>
      <sz val="11"/>
      <name val="맑은 고딕"/>
      <family val="2"/>
      <charset val="129"/>
    </font>
    <font>
      <sz val="11"/>
      <color theme="1"/>
      <name val="Arial"/>
      <family val="2"/>
    </font>
    <font>
      <sz val="9"/>
      <color theme="0" tint="-0.34998626667073579"/>
      <name val="Arial"/>
      <family val="2"/>
    </font>
    <font>
      <i/>
      <sz val="11"/>
      <color theme="0" tint="-0.34998626667073579"/>
      <name val="맑은 고딕"/>
      <family val="3"/>
      <charset val="129"/>
    </font>
    <font>
      <u/>
      <sz val="11"/>
      <color rgb="FF005BAA"/>
      <name val="맑은 고딕"/>
      <family val="2"/>
      <charset val="129"/>
    </font>
    <font>
      <sz val="11"/>
      <color theme="0" tint="-0.34998626667073579"/>
      <name val="맑은 고딕"/>
      <family val="2"/>
      <charset val="129"/>
    </font>
    <font>
      <sz val="9.5"/>
      <color theme="0" tint="-0.34998626667073579"/>
      <name val="맑은 고딕"/>
      <family val="3"/>
      <charset val="129"/>
    </font>
    <font>
      <sz val="11"/>
      <color theme="0" tint="-0.34998626667073579"/>
      <name val="맑은 고딕"/>
      <family val="3"/>
      <charset val="129"/>
    </font>
    <font>
      <sz val="11"/>
      <name val="Arial"/>
      <family val="2"/>
      <charset val="1"/>
    </font>
    <font>
      <b/>
      <sz val="11"/>
      <name val="Arial"/>
      <family val="2"/>
      <charset val="1"/>
    </font>
    <font>
      <sz val="9"/>
      <color rgb="FF535353"/>
      <name val="맑은 고딕"/>
      <family val="3"/>
      <charset val="129"/>
    </font>
    <font>
      <b/>
      <sz val="14"/>
      <name val="Noto Sans CJK SC"/>
      <family val="3"/>
      <charset val="129"/>
    </font>
    <font>
      <b/>
      <sz val="11"/>
      <name val="Segoe UI Symbol"/>
      <family val="1"/>
    </font>
    <font>
      <b/>
      <sz val="11"/>
      <name val="Segoe UI Symbol"/>
      <family val="3"/>
    </font>
    <font>
      <b/>
      <sz val="11"/>
      <name val="Noto Sans CJK SC"/>
      <family val="1"/>
    </font>
    <font>
      <b/>
      <sz val="11.5"/>
      <color theme="0" tint="-0.499984740745262"/>
      <name val="맑은 고딕"/>
      <family val="3"/>
      <charset val="129"/>
    </font>
    <font>
      <sz val="11"/>
      <color rgb="FF1F4E78"/>
      <name val="맑은 고딕"/>
      <family val="3"/>
      <charset val="129"/>
    </font>
    <font>
      <sz val="9"/>
      <color rgb="FF9AA0A8"/>
      <name val="맑은 고딕"/>
      <family val="2"/>
      <charset val="129"/>
    </font>
    <font>
      <b/>
      <sz val="14"/>
      <name val="Gmarket Sans"/>
    </font>
    <font>
      <b/>
      <sz val="14"/>
      <name val="맑은 고딕"/>
      <family val="2"/>
      <charset val="129"/>
    </font>
    <font>
      <b/>
      <sz val="14"/>
      <name val="Gmarket Sans"/>
      <family val="2"/>
    </font>
    <font>
      <b/>
      <u/>
      <sz val="16"/>
      <color theme="4" tint="-0.499984740745262"/>
      <name val="Gmarket Sans"/>
    </font>
    <font>
      <u/>
      <sz val="16"/>
      <color theme="4" tint="-0.499984740745262"/>
      <name val="맑은 고딕"/>
      <family val="2"/>
      <charset val="129"/>
    </font>
    <font>
      <sz val="10"/>
      <color theme="1"/>
      <name val="Google Sans Text"/>
      <family val="2"/>
    </font>
    <font>
      <sz val="8.5"/>
      <color rgb="FF6B7280"/>
      <name val="맑은 고딕"/>
      <family val="2"/>
      <charset val="129"/>
    </font>
    <font>
      <sz val="10"/>
      <color rgb="FF6B7280"/>
      <name val="맑은 고딕"/>
      <family val="3"/>
      <charset val="129"/>
    </font>
    <font>
      <sz val="10"/>
      <color theme="0" tint="-0.499984740745262"/>
      <name val="Arial"/>
      <family val="2"/>
      <charset val="1"/>
    </font>
  </fonts>
  <fills count="64">
    <fill>
      <patternFill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theme="1"/>
        <bgColor rgb="FF000080"/>
      </patternFill>
    </fill>
    <fill>
      <patternFill patternType="solid">
        <fgColor rgb="FF6BB745"/>
        <bgColor rgb="FFA6A6A6"/>
      </patternFill>
    </fill>
    <fill>
      <patternFill patternType="solid">
        <fgColor rgb="FF00B4ED"/>
        <bgColor rgb="FF33CCCC"/>
      </patternFill>
    </fill>
    <fill>
      <patternFill patternType="solid">
        <fgColor rgb="FF17375E"/>
        <bgColor rgb="FF153C5F"/>
      </patternFill>
    </fill>
    <fill>
      <patternFill patternType="solid">
        <fgColor rgb="FF1F4E78"/>
        <bgColor rgb="FF153C5F"/>
      </patternFill>
    </fill>
    <fill>
      <patternFill patternType="solid">
        <fgColor rgb="FF167C74"/>
        <bgColor rgb="FF00703C"/>
      </patternFill>
    </fill>
    <fill>
      <patternFill patternType="solid">
        <fgColor rgb="FF5B388C"/>
        <bgColor rgb="FF535353"/>
      </patternFill>
    </fill>
    <fill>
      <patternFill patternType="solid">
        <fgColor rgb="FFFFF2CC"/>
        <bgColor rgb="FFF2F2F2"/>
      </patternFill>
    </fill>
    <fill>
      <patternFill patternType="solid">
        <fgColor rgb="FF153C5F"/>
        <bgColor rgb="FF17375E"/>
      </patternFill>
    </fill>
    <fill>
      <patternFill patternType="solid">
        <fgColor rgb="FFDDEBF7"/>
        <bgColor rgb="FFD9E1F2"/>
      </patternFill>
    </fill>
    <fill>
      <patternFill patternType="solid">
        <fgColor rgb="FFE6F4EA"/>
        <bgColor rgb="FFE2EFDA"/>
      </patternFill>
    </fill>
    <fill>
      <patternFill patternType="solid">
        <fgColor theme="0" tint="-0.0499893185216834"/>
        <bgColor rgb="FFE6F4EA"/>
      </patternFill>
    </fill>
    <fill>
      <patternFill patternType="solid">
        <fgColor rgb="FFE2EFDA"/>
        <bgColor rgb="FFE6F4EA"/>
      </patternFill>
    </fill>
    <fill>
      <patternFill patternType="solid">
        <fgColor rgb="FFFFFF99"/>
        <bgColor rgb="FFFFFF99"/>
      </patternFill>
    </fill>
    <fill>
      <patternFill patternType="solid">
        <fgColor theme="3" tint="0.8999908444471572"/>
        <bgColor rgb="FFE6F4EA"/>
      </patternFill>
    </fill>
    <fill>
      <patternFill patternType="solid">
        <fgColor rgb="FFFFFF00"/>
        <bgColor indexed="64"/>
      </patternFill>
    </fill>
    <fill>
      <patternFill patternType="solid">
        <fgColor rgb="FFE6F4EA"/>
        <bgColor rgb="FFF2F2F2"/>
      </patternFill>
    </fill>
    <fill>
      <patternFill patternType="solid">
        <fgColor rgb="001F4E78"/>
      </patternFill>
    </fill>
    <fill>
      <patternFill patternType="solid">
        <fgColor rgb="00153C5F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E2EFDA"/>
      </patternFill>
    </fill>
    <fill>
      <patternFill patternType="solid">
        <fgColor rgb="001F4E5F"/>
      </patternFill>
    </fill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6BB745"/>
        <bgColor rgb="FF8B8B8B"/>
      </patternFill>
    </fill>
    <fill>
      <patternFill patternType="solid">
        <fgColor rgb="FF00B4ED"/>
        <bgColor rgb="FF4E95D9"/>
      </patternFill>
    </fill>
    <fill>
      <patternFill patternType="solid">
        <fgColor rgb="FF17375E"/>
        <bgColor rgb="FF153C5F"/>
      </patternFill>
    </fill>
    <fill>
      <patternFill patternType="solid">
        <fgColor rgb="FF1F4E78"/>
        <bgColor rgb="FF156082"/>
      </patternFill>
    </fill>
    <fill>
      <patternFill patternType="solid">
        <fgColor rgb="FF167C74"/>
        <bgColor rgb="FF156082"/>
      </patternFill>
    </fill>
    <fill>
      <patternFill patternType="solid">
        <fgColor rgb="FF5B388C"/>
        <bgColor rgb="FF535353"/>
      </patternFill>
    </fill>
    <fill>
      <patternFill patternType="solid">
        <fgColor rgb="FFFFF2CC"/>
        <bgColor rgb="FFFFF9C4"/>
      </patternFill>
    </fill>
    <fill>
      <patternFill patternType="solid">
        <fgColor rgb="FF153C5F"/>
        <bgColor rgb="FF17375E"/>
      </patternFill>
    </fill>
    <fill>
      <patternFill patternType="solid">
        <fgColor rgb="FFDDEBF7"/>
        <bgColor rgb="FFDCEAF7"/>
      </patternFill>
    </fill>
    <fill>
      <patternFill patternType="solid">
        <fgColor rgb="FFE2EFDA"/>
        <bgColor rgb="FFDDEBF7"/>
      </patternFill>
    </fill>
    <fill>
      <patternFill patternType="solid">
        <fgColor theme="3" tint="0.89989928891872917"/>
        <bgColor rgb="FFDDEBF7"/>
      </patternFill>
    </fill>
    <fill>
      <patternFill patternType="solid">
        <fgColor rgb="FFEBF3FB"/>
        <bgColor rgb="FFF2F2F2"/>
      </patternFill>
    </fill>
    <fill>
      <patternFill patternType="solid">
        <fgColor theme="0" tint="-4.9989318521683403E-2"/>
        <bgColor rgb="FFEBF3FB"/>
      </patternFill>
    </fill>
    <fill>
      <patternFill patternType="solid">
        <fgColor rgb="FFFCE4D6"/>
        <bgColor indexed="64"/>
      </patternFill>
    </fill>
    <fill>
      <patternFill patternType="solid">
        <fgColor rgb="FF1F4E5F"/>
        <bgColor indexed="64"/>
      </patternFill>
    </fill>
    <fill>
      <patternFill patternType="solid">
        <fgColor rgb="FFE8F1F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EEF3F9"/>
        <bgColor indexed="64"/>
      </patternFill>
    </fill>
    <fill>
      <patternFill patternType="solid">
        <fgColor theme="0"/>
        <bgColor rgb="FFDDEBF7"/>
      </patternFill>
    </fill>
    <fill>
      <patternFill patternType="solid">
        <fgColor theme="0"/>
        <bgColor indexed="64"/>
      </patternFill>
    </fill>
    <fill>
      <patternFill patternType="solid">
        <fgColor rgb="FFE2EFDA"/>
        <bgColor rgb="FFF2F2F2"/>
      </patternFill>
    </fill>
    <fill>
      <patternFill patternType="solid">
        <fgColor rgb="FFDAE9F8"/>
        <bgColor rgb="FFDDEBF7"/>
      </patternFill>
    </fill>
    <fill>
      <patternFill patternType="solid">
        <fgColor rgb="FFDAE9F8"/>
        <bgColor indexed="64"/>
      </patternFill>
    </fill>
    <fill>
      <patternFill patternType="solid">
        <fgColor rgb="FFE2EFDA"/>
        <bgColor rgb="FFFFF2CC"/>
      </patternFill>
    </fill>
    <fill>
      <patternFill patternType="solid">
        <fgColor theme="4" tint="0.39997558519241921"/>
        <bgColor rgb="FF156082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rgb="FFDDEBF7"/>
      </patternFill>
    </fill>
    <fill>
      <patternFill patternType="solid">
        <fgColor rgb="FFFFF2CC"/>
        <bgColor rgb="FFF2F2F2"/>
      </patternFill>
    </fill>
    <fill>
      <patternFill patternType="solid">
        <fgColor theme="0"/>
        <bgColor rgb="FFFFF9C4"/>
      </patternFill>
    </fill>
    <fill>
      <patternFill patternType="solid">
        <fgColor theme="0"/>
        <bgColor rgb="FFF2F2F2"/>
      </patternFill>
    </fill>
    <fill>
      <patternFill patternType="solid">
        <fgColor theme="4" tint="-0.499984740745262"/>
        <bgColor rgb="FF156082"/>
      </patternFill>
    </fill>
    <fill>
      <patternFill patternType="solid">
        <fgColor theme="0"/>
        <bgColor rgb="FFDCEAF7"/>
      </patternFill>
    </fill>
    <fill>
      <patternFill patternType="solid">
        <fgColor theme="3" tint="0.89999084444715716"/>
        <bgColor indexed="64"/>
      </patternFill>
    </fill>
  </fills>
  <borders count="68">
    <border>
      <left/>
      <right/>
      <top/>
      <bottom/>
      <diagonal/>
    </border>
    <border>
      <left style="thin">
        <color theme="0" tint="-0.3499862666707358"/>
      </left>
      <right style="thin">
        <color auto="1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theme="0" tint="-0.3499862666707358"/>
      </top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auto="1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 tint="-0.3499862666707358"/>
      </right>
      <top style="thin">
        <color theme="0" tint="-0.3499862666707358"/>
      </top>
      <bottom/>
      <diagonal/>
    </border>
    <border>
      <left/>
      <right style="thin">
        <color auto="1"/>
      </right>
      <top style="thin">
        <color theme="0" tint="-0.3499862666707358"/>
      </top>
      <bottom/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EEF0F3"/>
      </top>
      <bottom style="thin">
        <color rgb="FFEEF0F3"/>
      </bottom>
      <diagonal/>
    </border>
    <border>
      <left/>
      <right/>
      <top style="thin">
        <color rgb="FFEEF0F3"/>
      </top>
      <bottom/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/>
      <bottom style="double">
        <color theme="0" tint="-0.34998626667073579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34998626667073579"/>
      </top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14999847407452621"/>
      </left>
      <right/>
      <top/>
      <bottom/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/>
      <top style="thin">
        <color rgb="FFEEF0F3"/>
      </top>
      <bottom/>
      <diagonal/>
    </border>
    <border>
      <left/>
      <right style="thin">
        <color theme="0" tint="-0.14999847407452621"/>
      </right>
      <top style="thin">
        <color rgb="FFEEF0F3"/>
      </top>
      <bottom/>
      <diagonal/>
    </border>
    <border>
      <left style="thin">
        <color theme="0" tint="-0.14999847407452621"/>
      </left>
      <right/>
      <top style="thin">
        <color rgb="FFEEF0F3"/>
      </top>
      <bottom style="thin">
        <color rgb="FFEEF0F3"/>
      </bottom>
      <diagonal/>
    </border>
    <border>
      <left/>
      <right style="thin">
        <color theme="0" tint="-0.14999847407452621"/>
      </right>
      <top style="thin">
        <color rgb="FFEEF0F3"/>
      </top>
      <bottom style="thin">
        <color rgb="FFEEF0F3"/>
      </bottom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</borders>
  <cellStyleXfs count="11">
    <xf numFmtId="0" fontId="57" fillId="0" borderId="0" applyAlignment="1">
      <alignment vertical="center"/>
    </xf>
    <xf numFmtId="41" fontId="48" fillId="0" borderId="0"/>
    <xf numFmtId="9" fontId="48" fillId="0" borderId="0"/>
    <xf numFmtId="9" fontId="2" fillId="0" borderId="0" applyAlignment="1">
      <alignment vertical="center"/>
    </xf>
    <xf numFmtId="184" fontId="2" fillId="0" borderId="0" applyAlignment="1">
      <alignment vertical="center"/>
    </xf>
    <xf numFmtId="0" fontId="57" fillId="0" borderId="0" applyAlignment="1">
      <alignment vertical="center"/>
    </xf>
    <xf numFmtId="0" fontId="2" fillId="0" borderId="0" applyAlignment="1">
      <alignment vertical="center"/>
    </xf>
    <xf numFmtId="0" fontId="57" fillId="0" borderId="0" applyAlignment="1">
      <alignment vertical="center"/>
    </xf>
    <xf numFmtId="0" fontId="21" fillId="0" borderId="0" applyAlignment="1">
      <alignment vertical="center"/>
    </xf>
    <xf numFmtId="41" fontId="48" fillId="0" borderId="0"/>
    <xf numFmtId="9" fontId="48" fillId="0" borderId="0"/>
  </cellStyleXfs>
  <cellXfs count="897">
    <xf numFmtId="0" fontId="0" fillId="0" borderId="0" applyAlignment="1" pivotButton="0" quotePrefix="0" xfId="0">
      <alignment vertical="center"/>
    </xf>
    <xf numFmtId="0" fontId="16" fillId="6" borderId="3" applyAlignment="1" pivotButton="0" quotePrefix="0" xfId="0">
      <alignment horizontal="center" vertical="center"/>
    </xf>
    <xf numFmtId="0" fontId="16" fillId="9" borderId="3" applyAlignment="1" pivotButton="0" quotePrefix="0" xfId="0">
      <alignment horizontal="center" vertical="center"/>
    </xf>
    <xf numFmtId="0" fontId="16" fillId="8" borderId="3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  <xf numFmtId="0" fontId="3" fillId="2" borderId="0" applyAlignment="1" pivotButton="0" quotePrefix="0" xfId="0">
      <alignment horizontal="right" vertical="center"/>
    </xf>
    <xf numFmtId="0" fontId="4" fillId="3" borderId="0" applyAlignment="1" applyProtection="1" pivotButton="0" quotePrefix="0" xfId="0">
      <alignment horizontal="center" vertical="center"/>
      <protection locked="0" hidden="0"/>
    </xf>
    <xf numFmtId="0" fontId="5" fillId="2" borderId="0" applyAlignment="1" pivotButton="0" quotePrefix="0" xfId="0">
      <alignment horizontal="right" vertical="center"/>
    </xf>
    <xf numFmtId="0" fontId="4" fillId="2" borderId="0" applyAlignment="1" applyProtection="1" pivotButton="0" quotePrefix="0" xfId="0">
      <alignment horizontal="center" vertical="center"/>
      <protection locked="0" hidden="0"/>
    </xf>
    <xf numFmtId="0" fontId="0" fillId="2" borderId="2" applyAlignment="1" pivotButton="0" quotePrefix="0" xfId="0">
      <alignment vertical="center"/>
    </xf>
    <xf numFmtId="0" fontId="1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right" vertical="center"/>
    </xf>
    <xf numFmtId="0" fontId="15" fillId="0" borderId="0" applyAlignment="1" pivotButton="0" quotePrefix="0" xfId="0">
      <alignment vertical="center"/>
    </xf>
    <xf numFmtId="0" fontId="16" fillId="7" borderId="3" applyAlignment="1" pivotButton="0" quotePrefix="0" xfId="0">
      <alignment horizontal="center" vertical="center"/>
    </xf>
    <xf numFmtId="0" fontId="17" fillId="0" borderId="3" applyAlignment="1" pivotButton="0" quotePrefix="0" xfId="0">
      <alignment horizontal="center" vertical="center"/>
    </xf>
    <xf numFmtId="3" fontId="0" fillId="0" borderId="3" applyAlignment="1" pivotButton="0" quotePrefix="0" xfId="0">
      <alignment horizontal="right" vertical="center"/>
    </xf>
    <xf numFmtId="0" fontId="18" fillId="0" borderId="3" applyAlignment="1" pivotButton="0" quotePrefix="0" xfId="0">
      <alignment horizontal="left" vertical="center"/>
    </xf>
    <xf numFmtId="3" fontId="20" fillId="0" borderId="3" applyAlignment="1" pivotButton="0" quotePrefix="0" xfId="0">
      <alignment horizontal="right" vertical="center"/>
    </xf>
    <xf numFmtId="0" fontId="21" fillId="0" borderId="3" applyAlignment="1" pivotButton="0" quotePrefix="0" xfId="0">
      <alignment horizontal="center" vertical="center"/>
    </xf>
    <xf numFmtId="164" fontId="0" fillId="0" borderId="3" applyAlignment="1" pivotButton="0" quotePrefix="0" xfId="0">
      <alignment horizontal="right" vertical="center"/>
    </xf>
    <xf numFmtId="0" fontId="0" fillId="0" borderId="3" applyAlignment="1" pivotButton="0" quotePrefix="0" xfId="0">
      <alignment horizontal="center" vertical="center"/>
    </xf>
    <xf numFmtId="165" fontId="0" fillId="0" borderId="3" applyAlignment="1" pivotButton="0" quotePrefix="0" xfId="0">
      <alignment horizontal="right" vertical="center"/>
    </xf>
    <xf numFmtId="165" fontId="20" fillId="0" borderId="3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0" fontId="22" fillId="0" borderId="0" applyAlignment="1" pivotButton="0" quotePrefix="0" xfId="0">
      <alignment horizontal="center" vertical="center"/>
    </xf>
    <xf numFmtId="0" fontId="23" fillId="10" borderId="3" applyAlignment="1" pivotButton="0" quotePrefix="0" xfId="0">
      <alignment horizontal="center" vertical="center"/>
    </xf>
    <xf numFmtId="3" fontId="23" fillId="10" borderId="3" applyAlignment="1" pivotButton="0" quotePrefix="0" xfId="0">
      <alignment horizontal="right" vertical="center"/>
    </xf>
    <xf numFmtId="0" fontId="23" fillId="10" borderId="3" applyAlignment="1" pivotButton="0" quotePrefix="0" xfId="0">
      <alignment vertical="center"/>
    </xf>
    <xf numFmtId="0" fontId="25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27" fillId="0" borderId="0" applyAlignment="1" pivotButton="0" quotePrefix="0" xfId="0">
      <alignment horizontal="left" vertical="center"/>
    </xf>
    <xf numFmtId="0" fontId="28" fillId="0" borderId="0" applyAlignment="1" pivotButton="0" quotePrefix="0" xfId="0">
      <alignment horizontal="left" vertical="center" indent="1"/>
    </xf>
    <xf numFmtId="0" fontId="29" fillId="0" borderId="0" applyAlignment="1" pivotButton="0" quotePrefix="0" xfId="0">
      <alignment horizontal="left" vertical="center" indent="2"/>
    </xf>
    <xf numFmtId="0" fontId="30" fillId="0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1" fontId="31" fillId="7" borderId="0" applyAlignment="1" pivotButton="0" quotePrefix="0" xfId="0">
      <alignment horizontal="center" vertical="center"/>
    </xf>
    <xf numFmtId="1" fontId="31" fillId="11" borderId="0" applyAlignment="1" pivotButton="0" quotePrefix="0" xfId="0">
      <alignment horizontal="center" vertical="center"/>
    </xf>
    <xf numFmtId="0" fontId="23" fillId="12" borderId="0" applyAlignment="1" pivotButton="0" quotePrefix="0" xfId="0">
      <alignment vertical="center"/>
    </xf>
    <xf numFmtId="0" fontId="0" fillId="12" borderId="0" applyAlignment="1" pivotButton="0" quotePrefix="0" xfId="0">
      <alignment vertical="center"/>
    </xf>
    <xf numFmtId="3" fontId="32" fillId="0" borderId="0" applyAlignment="1" pivotButton="0" quotePrefix="0" xfId="0">
      <alignment vertical="center"/>
    </xf>
    <xf numFmtId="0" fontId="33" fillId="0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165" fontId="18" fillId="0" borderId="0" applyAlignment="1" pivotButton="0" quotePrefix="0" xfId="0">
      <alignment horizontal="right" vertical="center"/>
    </xf>
    <xf numFmtId="165" fontId="34" fillId="13" borderId="0" applyAlignment="1" pivotButton="0" quotePrefix="0" xfId="0">
      <alignment vertical="center"/>
    </xf>
    <xf numFmtId="3" fontId="32" fillId="2" borderId="0" applyAlignment="1" pivotButton="0" quotePrefix="0" xfId="0">
      <alignment vertical="center"/>
    </xf>
    <xf numFmtId="3" fontId="34" fillId="13" borderId="0" applyAlignment="1" pivotButton="0" quotePrefix="0" xfId="0">
      <alignment vertical="center"/>
    </xf>
    <xf numFmtId="0" fontId="33" fillId="10" borderId="0" applyAlignment="1" pivotButton="0" quotePrefix="0" xfId="0">
      <alignment vertical="center"/>
    </xf>
    <xf numFmtId="3" fontId="23" fillId="10" borderId="0" applyAlignment="1" pivotButton="0" quotePrefix="0" xfId="0">
      <alignment vertical="center"/>
    </xf>
    <xf numFmtId="0" fontId="35" fillId="2" borderId="0" applyAlignment="1" pivotButton="0" quotePrefix="0" xfId="0">
      <alignment horizontal="left" vertical="center" indent="6"/>
    </xf>
    <xf numFmtId="0" fontId="30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center" indent="1"/>
    </xf>
    <xf numFmtId="0" fontId="40" fillId="0" borderId="0" applyAlignment="1" pivotButton="0" quotePrefix="0" xfId="0">
      <alignment horizontal="left" vertical="center" indent="1"/>
    </xf>
    <xf numFmtId="0" fontId="41" fillId="0" borderId="0" applyAlignment="1" pivotButton="0" quotePrefix="0" xfId="0">
      <alignment horizontal="left" vertical="center" indent="1"/>
    </xf>
    <xf numFmtId="0" fontId="43" fillId="0" borderId="0" applyAlignment="1" pivotButton="0" quotePrefix="0" xfId="0">
      <alignment horizontal="left" vertical="center" indent="1"/>
    </xf>
    <xf numFmtId="0" fontId="17" fillId="0" borderId="0" applyAlignment="1" pivotButton="0" quotePrefix="0" xfId="0">
      <alignment vertical="center"/>
    </xf>
    <xf numFmtId="165" fontId="44" fillId="2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4" fontId="34" fillId="13" borderId="0" applyAlignment="1" pivotButton="0" quotePrefix="0" xfId="0">
      <alignment vertical="center"/>
    </xf>
    <xf numFmtId="164" fontId="44" fillId="2" borderId="0" applyAlignment="1" pivotButton="0" quotePrefix="0" xfId="0">
      <alignment vertical="center"/>
    </xf>
    <xf numFmtId="164" fontId="34" fillId="0" borderId="0" applyAlignment="1" pivotButton="0" quotePrefix="0" xfId="0">
      <alignment vertical="center"/>
    </xf>
    <xf numFmtId="0" fontId="17" fillId="0" borderId="0" applyAlignment="1" pivotButton="0" quotePrefix="0" xfId="0">
      <alignment horizontal="left"/>
    </xf>
    <xf numFmtId="166" fontId="0" fillId="0" borderId="0" applyAlignment="1" pivotButton="0" quotePrefix="0" xfId="0">
      <alignment vertical="center"/>
    </xf>
    <xf numFmtId="166" fontId="34" fillId="13" borderId="0" applyAlignment="1" pivotButton="0" quotePrefix="0" xfId="0">
      <alignment vertical="center"/>
    </xf>
    <xf numFmtId="0" fontId="23" fillId="10" borderId="0" applyAlignment="1" pivotButton="0" quotePrefix="0" xfId="0">
      <alignment vertical="center"/>
    </xf>
    <xf numFmtId="0" fontId="23" fillId="2" borderId="0" applyAlignment="1" pivotButton="0" quotePrefix="0" xfId="0">
      <alignment horizontal="left" vertical="center" indent="5"/>
    </xf>
    <xf numFmtId="165" fontId="0" fillId="0" borderId="0" applyAlignment="1" pivotButton="0" quotePrefix="0" xfId="0">
      <alignment vertical="center"/>
    </xf>
    <xf numFmtId="0" fontId="46" fillId="2" borderId="0" applyAlignment="1" pivotButton="0" quotePrefix="0" xfId="0">
      <alignment horizontal="left" vertical="center" indent="6"/>
    </xf>
    <xf numFmtId="0" fontId="49" fillId="0" borderId="0" applyAlignment="1" pivotButton="0" quotePrefix="0" xfId="0">
      <alignment vertical="center"/>
    </xf>
    <xf numFmtId="0" fontId="31" fillId="7" borderId="0" applyAlignment="1" pivotButton="0" quotePrefix="0" xfId="0">
      <alignment horizontal="center" vertical="center"/>
    </xf>
    <xf numFmtId="0" fontId="31" fillId="11" borderId="0" applyAlignment="1" pivotButton="0" quotePrefix="0" xfId="0">
      <alignment horizontal="center" vertical="center"/>
    </xf>
    <xf numFmtId="165" fontId="32" fillId="2" borderId="0" applyAlignment="1" pivotButton="0" quotePrefix="0" xfId="0">
      <alignment vertical="center"/>
    </xf>
    <xf numFmtId="164" fontId="45" fillId="2" borderId="0" applyAlignment="1" pivotButton="0" quotePrefix="0" xfId="0">
      <alignment vertical="center"/>
    </xf>
    <xf numFmtId="164" fontId="32" fillId="2" borderId="0" applyAlignment="1" pivotButton="0" quotePrefix="0" xfId="0">
      <alignment vertical="center"/>
    </xf>
    <xf numFmtId="164" fontId="18" fillId="15" borderId="0" applyAlignment="1" pivotButton="0" quotePrefix="0" xfId="0">
      <alignment vertical="center"/>
    </xf>
    <xf numFmtId="0" fontId="46" fillId="2" borderId="0" applyAlignment="1" pivotButton="0" quotePrefix="0" xfId="0">
      <alignment horizontal="left" vertical="center" indent="5"/>
    </xf>
    <xf numFmtId="0" fontId="51" fillId="0" borderId="0" pivotButton="0" quotePrefix="0" xfId="0"/>
    <xf numFmtId="0" fontId="52" fillId="0" borderId="0" applyAlignment="1" pivotButton="0" quotePrefix="0" xfId="0">
      <alignment horizontal="left" vertical="center" indent="5"/>
    </xf>
    <xf numFmtId="0" fontId="53" fillId="0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vertical="center"/>
    </xf>
    <xf numFmtId="0" fontId="23" fillId="14" borderId="0" applyAlignment="1" pivotButton="0" quotePrefix="0" xfId="0">
      <alignment vertical="center"/>
    </xf>
    <xf numFmtId="0" fontId="33" fillId="14" borderId="0" applyAlignment="1" pivotButton="0" quotePrefix="0" xfId="0">
      <alignment vertical="center"/>
    </xf>
    <xf numFmtId="167" fontId="26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165" fontId="26" fillId="0" borderId="0" applyAlignment="1" pivotButton="0" quotePrefix="0" xfId="0">
      <alignment vertical="center"/>
    </xf>
    <xf numFmtId="164" fontId="45" fillId="0" borderId="0" applyAlignment="1" pivotButton="0" quotePrefix="0" xfId="0">
      <alignment vertical="center"/>
    </xf>
    <xf numFmtId="164" fontId="54" fillId="0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8" fillId="5" borderId="0" applyAlignment="1" pivotButton="0" quotePrefix="0" xfId="0">
      <alignment vertical="center"/>
    </xf>
    <xf numFmtId="0" fontId="55" fillId="14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9" fontId="0" fillId="0" borderId="0" applyAlignment="1" pivotButton="0" quotePrefix="0" xfId="0">
      <alignment vertical="center"/>
    </xf>
    <xf numFmtId="0" fontId="54" fillId="0" borderId="0" applyAlignment="1" pivotButton="0" quotePrefix="0" xfId="0">
      <alignment vertical="center"/>
    </xf>
    <xf numFmtId="168" fontId="32" fillId="0" borderId="0" applyAlignment="1" pivotButton="0" quotePrefix="0" xfId="0">
      <alignment vertical="center"/>
    </xf>
    <xf numFmtId="170" fontId="32" fillId="0" borderId="0" applyAlignment="1" pivotButton="0" quotePrefix="0" xfId="0">
      <alignment vertical="center"/>
    </xf>
    <xf numFmtId="171" fontId="54" fillId="0" borderId="0" applyAlignment="1" pivotButton="0" quotePrefix="0" xfId="0">
      <alignment vertical="center"/>
    </xf>
    <xf numFmtId="172" fontId="1" fillId="0" borderId="0" applyAlignment="1" pivotButton="0" quotePrefix="0" xfId="1">
      <alignment vertical="center"/>
    </xf>
    <xf numFmtId="0" fontId="64" fillId="14" borderId="0" applyAlignment="1" pivotButton="0" quotePrefix="0" xfId="0">
      <alignment vertical="center"/>
    </xf>
    <xf numFmtId="0" fontId="18" fillId="0" borderId="3" applyAlignment="1" pivotButton="0" quotePrefix="0" xfId="0">
      <alignment horizontal="center" vertical="center"/>
    </xf>
    <xf numFmtId="0" fontId="21" fillId="0" borderId="3" applyAlignment="1" pivotButton="0" quotePrefix="0" xfId="8">
      <alignment horizontal="center" vertical="center"/>
    </xf>
    <xf numFmtId="173" fontId="23" fillId="10" borderId="3" applyAlignment="1" pivotButton="0" quotePrefix="0" xfId="0">
      <alignment vertical="center"/>
    </xf>
    <xf numFmtId="0" fontId="59" fillId="10" borderId="3" applyAlignment="1" pivotButton="0" quotePrefix="0" xfId="0">
      <alignment horizontal="center" vertical="center"/>
    </xf>
    <xf numFmtId="0" fontId="65" fillId="0" borderId="0" applyAlignment="1" pivotButton="0" quotePrefix="0" xfId="0">
      <alignment horizontal="left" vertical="center"/>
    </xf>
    <xf numFmtId="0" fontId="56" fillId="0" borderId="0" pivotButton="0" quotePrefix="0" xfId="0"/>
    <xf numFmtId="165" fontId="56" fillId="0" borderId="0" applyAlignment="1" pivotButton="0" quotePrefix="0" xfId="0">
      <alignment vertical="center"/>
    </xf>
    <xf numFmtId="0" fontId="66" fillId="0" borderId="0" applyAlignment="1" pivotButton="0" quotePrefix="0" xfId="0">
      <alignment vertical="center"/>
    </xf>
    <xf numFmtId="0" fontId="53" fillId="0" borderId="0" applyAlignment="1" pivotButton="0" quotePrefix="0" xfId="0">
      <alignment vertical="center"/>
    </xf>
    <xf numFmtId="0" fontId="67" fillId="0" borderId="0" pivotButton="0" quotePrefix="0" xfId="0"/>
    <xf numFmtId="0" fontId="68" fillId="0" borderId="0" pivotButton="0" quotePrefix="0" xfId="0"/>
    <xf numFmtId="0" fontId="57" fillId="0" borderId="0" pivotButton="0" quotePrefix="0" xfId="0"/>
    <xf numFmtId="0" fontId="23" fillId="0" borderId="0" applyAlignment="1" pivotButton="0" quotePrefix="0" xfId="0">
      <alignment vertical="center"/>
    </xf>
    <xf numFmtId="165" fontId="70" fillId="0" borderId="0" pivotButton="0" quotePrefix="0" xfId="2"/>
    <xf numFmtId="172" fontId="48" fillId="0" borderId="0" pivotButton="0" quotePrefix="0" xfId="1"/>
    <xf numFmtId="172" fontId="70" fillId="0" borderId="0" pivotButton="0" quotePrefix="0" xfId="1"/>
    <xf numFmtId="9" fontId="32" fillId="0" borderId="0" applyAlignment="1" pivotButton="0" quotePrefix="0" xfId="0">
      <alignment vertical="center"/>
    </xf>
    <xf numFmtId="0" fontId="18" fillId="0" borderId="0" applyAlignment="1" pivotButton="0" quotePrefix="0" xfId="0">
      <alignment vertical="center"/>
    </xf>
    <xf numFmtId="0" fontId="59" fillId="0" borderId="0" applyAlignment="1" pivotButton="0" quotePrefix="0" xfId="0">
      <alignment vertical="center"/>
    </xf>
    <xf numFmtId="172" fontId="71" fillId="0" borderId="0" pivotButton="0" quotePrefix="0" xfId="1"/>
    <xf numFmtId="3" fontId="59" fillId="0" borderId="0" applyAlignment="1" pivotButton="0" quotePrefix="0" xfId="0">
      <alignment vertical="center"/>
    </xf>
    <xf numFmtId="0" fontId="35" fillId="17" borderId="8" applyAlignment="1" pivotButton="0" quotePrefix="0" xfId="0">
      <alignment horizontal="center" vertical="center"/>
    </xf>
    <xf numFmtId="0" fontId="35" fillId="0" borderId="8" applyAlignment="1" pivotButton="0" quotePrefix="0" xfId="0">
      <alignment horizontal="right" vertical="center"/>
    </xf>
    <xf numFmtId="174" fontId="35" fillId="0" borderId="8" applyAlignment="1" pivotButton="0" quotePrefix="0" xfId="0">
      <alignment horizontal="center" vertical="center"/>
    </xf>
    <xf numFmtId="175" fontId="35" fillId="0" borderId="8" applyAlignment="1" pivotButton="0" quotePrefix="0" xfId="0">
      <alignment horizontal="center" vertical="center"/>
    </xf>
    <xf numFmtId="0" fontId="39" fillId="0" borderId="8" applyAlignment="1" pivotButton="0" quotePrefix="0" xfId="0">
      <alignment horizontal="center" vertical="center"/>
    </xf>
    <xf numFmtId="0" fontId="63" fillId="0" borderId="8" applyAlignment="1" pivotButton="0" quotePrefix="0" xfId="0">
      <alignment horizontal="center" vertical="center"/>
    </xf>
    <xf numFmtId="176" fontId="37" fillId="0" borderId="8" pivotButton="0" quotePrefix="0" xfId="0"/>
    <xf numFmtId="0" fontId="38" fillId="0" borderId="8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 vertical="center"/>
    </xf>
    <xf numFmtId="176" fontId="37" fillId="0" borderId="0" pivotButton="0" quotePrefix="0" xfId="0"/>
    <xf numFmtId="165" fontId="68" fillId="0" borderId="0" pivotButton="0" quotePrefix="0" xfId="0"/>
    <xf numFmtId="177" fontId="68" fillId="0" borderId="0" pivotButton="0" quotePrefix="0" xfId="0"/>
    <xf numFmtId="177" fontId="34" fillId="13" borderId="0" applyAlignment="1" pivotButton="0" quotePrefix="0" xfId="0">
      <alignment vertical="center"/>
    </xf>
    <xf numFmtId="177" fontId="0" fillId="0" borderId="0" applyAlignment="1" pivotButton="0" quotePrefix="0" xfId="0">
      <alignment vertical="center"/>
    </xf>
    <xf numFmtId="173" fontId="34" fillId="13" borderId="0" applyAlignment="1" pivotButton="0" quotePrefix="0" xfId="0">
      <alignment vertical="center"/>
    </xf>
    <xf numFmtId="173" fontId="0" fillId="16" borderId="0" pivotButton="0" quotePrefix="0" xfId="0"/>
    <xf numFmtId="0" fontId="23" fillId="0" borderId="0" pivotButton="0" quotePrefix="0" xfId="0"/>
    <xf numFmtId="178" fontId="0" fillId="0" borderId="0" applyAlignment="1" pivotButton="0" quotePrefix="0" xfId="0">
      <alignment vertical="center"/>
    </xf>
    <xf numFmtId="165" fontId="1" fillId="0" borderId="0" applyAlignment="1" pivotButton="0" quotePrefix="0" xfId="10">
      <alignment vertical="center"/>
    </xf>
    <xf numFmtId="165" fontId="32" fillId="0" borderId="0" applyAlignment="1" pivotButton="0" quotePrefix="0" xfId="0">
      <alignment vertical="center"/>
    </xf>
    <xf numFmtId="165" fontId="18" fillId="15" borderId="0" applyAlignment="1" pivotButton="0" quotePrefix="0" xfId="0">
      <alignment vertical="center"/>
    </xf>
    <xf numFmtId="173" fontId="18" fillId="15" borderId="0" applyAlignment="1" pivotButton="0" quotePrefix="0" xfId="0">
      <alignment vertical="center"/>
    </xf>
    <xf numFmtId="0" fontId="33" fillId="0" borderId="0" applyAlignment="1" pivotButton="0" quotePrefix="0" xfId="0">
      <alignment horizontal="left"/>
    </xf>
    <xf numFmtId="165" fontId="55" fillId="2" borderId="0" applyAlignment="1" pivotButton="0" quotePrefix="0" xfId="0">
      <alignment vertical="center"/>
    </xf>
    <xf numFmtId="165" fontId="23" fillId="15" borderId="0" applyAlignment="1" pivotButton="0" quotePrefix="0" xfId="0">
      <alignment vertical="center"/>
    </xf>
    <xf numFmtId="179" fontId="0" fillId="0" borderId="0" applyAlignment="1" pivotButton="0" quotePrefix="0" xfId="0">
      <alignment vertical="center"/>
    </xf>
    <xf numFmtId="165" fontId="72" fillId="0" borderId="0" pivotButton="0" quotePrefix="0" xfId="0"/>
    <xf numFmtId="166" fontId="34" fillId="19" borderId="0" applyAlignment="1" pivotButton="0" quotePrefix="0" xfId="0">
      <alignment vertical="center"/>
    </xf>
    <xf numFmtId="165" fontId="73" fillId="0" borderId="0" pivotButton="0" quotePrefix="0" xfId="0"/>
    <xf numFmtId="3" fontId="67" fillId="0" borderId="0" applyAlignment="1" pivotButton="0" quotePrefix="0" xfId="0">
      <alignment vertical="center"/>
    </xf>
    <xf numFmtId="9" fontId="74" fillId="0" borderId="0" applyAlignment="1" pivotButton="0" quotePrefix="0" xfId="0">
      <alignment vertical="center"/>
    </xf>
    <xf numFmtId="0" fontId="76" fillId="7" borderId="0" applyAlignment="1" pivotButton="0" quotePrefix="0" xfId="0">
      <alignment horizontal="center" vertical="center"/>
    </xf>
    <xf numFmtId="165" fontId="34" fillId="0" borderId="0" applyAlignment="1" pivotButton="0" quotePrefix="0" xfId="0">
      <alignment vertical="center"/>
    </xf>
    <xf numFmtId="180" fontId="48" fillId="0" borderId="0" pivotButton="0" quotePrefix="0" xfId="1"/>
    <xf numFmtId="173" fontId="32" fillId="0" borderId="0" applyAlignment="1" pivotButton="0" quotePrefix="0" xfId="0">
      <alignment vertical="center"/>
    </xf>
    <xf numFmtId="181" fontId="32" fillId="0" borderId="0" applyAlignment="1" pivotButton="0" quotePrefix="0" xfId="0">
      <alignment vertical="center"/>
    </xf>
    <xf numFmtId="182" fontId="34" fillId="13" borderId="0" applyAlignment="1" pivotButton="0" quotePrefix="0" xfId="0">
      <alignment vertical="center"/>
    </xf>
    <xf numFmtId="0" fontId="46" fillId="0" borderId="0" applyAlignment="1" pivotButton="0" quotePrefix="0" xfId="0">
      <alignment vertical="center"/>
    </xf>
    <xf numFmtId="0" fontId="19" fillId="0" borderId="8" applyAlignment="1" pivotButton="0" quotePrefix="0" xfId="0">
      <alignment vertical="center"/>
    </xf>
    <xf numFmtId="0" fontId="19" fillId="0" borderId="8" pivotButton="0" quotePrefix="0" xfId="0"/>
    <xf numFmtId="0" fontId="0" fillId="0" borderId="8" pivotButton="0" quotePrefix="0" xfId="0"/>
    <xf numFmtId="0" fontId="19" fillId="0" borderId="0" applyAlignment="1" pivotButton="0" quotePrefix="0" xfId="0">
      <alignment vertical="center"/>
    </xf>
    <xf numFmtId="165" fontId="77" fillId="15" borderId="0" applyAlignment="1" pivotButton="0" quotePrefix="0" xfId="0">
      <alignment vertical="center"/>
    </xf>
    <xf numFmtId="173" fontId="23" fillId="10" borderId="0" applyAlignment="1" pivotButton="0" quotePrefix="0" xfId="0">
      <alignment vertical="center"/>
    </xf>
    <xf numFmtId="181" fontId="0" fillId="0" borderId="0" applyAlignment="1" pivotButton="0" quotePrefix="0" xfId="0">
      <alignment vertical="center"/>
    </xf>
    <xf numFmtId="0" fontId="56" fillId="0" borderId="0" applyAlignment="1" pivotButton="0" quotePrefix="0" xfId="0">
      <alignment vertical="center"/>
    </xf>
    <xf numFmtId="172" fontId="1" fillId="0" borderId="0" applyAlignment="1" pivotButton="0" quotePrefix="0" xfId="9">
      <alignment vertical="center"/>
    </xf>
    <xf numFmtId="0" fontId="63" fillId="0" borderId="0" applyAlignment="1" pivotButton="0" quotePrefix="0" xfId="0">
      <alignment horizontal="right" vertical="center"/>
    </xf>
    <xf numFmtId="183" fontId="79" fillId="0" borderId="0" applyAlignment="1" pivotButton="0" quotePrefix="0" xfId="0">
      <alignment vertical="center"/>
    </xf>
    <xf numFmtId="183" fontId="79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indent="7"/>
    </xf>
    <xf numFmtId="3" fontId="69" fillId="10" borderId="0" applyAlignment="1" pivotButton="0" quotePrefix="0" xfId="0">
      <alignment vertical="center"/>
    </xf>
    <xf numFmtId="3" fontId="55" fillId="10" borderId="0" applyAlignment="1" pivotButton="0" quotePrefix="0" xfId="0">
      <alignment vertical="center"/>
    </xf>
    <xf numFmtId="0" fontId="23" fillId="0" borderId="0" applyAlignment="1" pivotButton="0" quotePrefix="0" xfId="0">
      <alignment horizontal="center" vertical="center"/>
    </xf>
    <xf numFmtId="165" fontId="0" fillId="15" borderId="0" applyAlignment="1" pivotButton="0" quotePrefix="0" xfId="0">
      <alignment vertical="center"/>
    </xf>
    <xf numFmtId="10" fontId="0" fillId="0" borderId="0" applyAlignment="1" pivotButton="0" quotePrefix="0" xfId="0">
      <alignment vertical="center"/>
    </xf>
    <xf numFmtId="3" fontId="0" fillId="15" borderId="0" applyAlignment="1" pivotButton="0" quotePrefix="0" xfId="0">
      <alignment vertical="center"/>
    </xf>
    <xf numFmtId="0" fontId="82" fillId="0" borderId="0" applyAlignment="1" pivotButton="0" quotePrefix="0" xfId="0">
      <alignment horizontal="right"/>
    </xf>
    <xf numFmtId="9" fontId="83" fillId="0" borderId="0" pivotButton="0" quotePrefix="0" xfId="2"/>
    <xf numFmtId="165" fontId="48" fillId="0" borderId="0" pivotButton="0" quotePrefix="0" xfId="2"/>
    <xf numFmtId="9" fontId="48" fillId="0" borderId="0" pivotButton="0" quotePrefix="0" xfId="2"/>
    <xf numFmtId="0" fontId="0" fillId="0" borderId="8" applyAlignment="1" pivotButton="0" quotePrefix="0" xfId="0">
      <alignment horizontal="center"/>
    </xf>
    <xf numFmtId="0" fontId="82" fillId="0" borderId="0" applyAlignment="1" pivotButton="0" quotePrefix="0" xfId="0">
      <alignment vertical="center"/>
    </xf>
    <xf numFmtId="2" fontId="85" fillId="18" borderId="8" applyAlignment="1" pivotButton="0" quotePrefix="0" xfId="0">
      <alignment horizontal="center" vertical="center"/>
    </xf>
    <xf numFmtId="174" fontId="36" fillId="0" borderId="8" applyAlignment="1" pivotButton="0" quotePrefix="0" xfId="0">
      <alignment horizontal="center" vertical="center"/>
    </xf>
    <xf numFmtId="175" fontId="36" fillId="0" borderId="8" applyAlignment="1" pivotButton="0" quotePrefix="0" xfId="0">
      <alignment horizontal="center" vertical="center"/>
    </xf>
    <xf numFmtId="2" fontId="36" fillId="18" borderId="8" applyAlignment="1" pivotButton="0" quotePrefix="0" xfId="0">
      <alignment horizontal="center" vertical="center"/>
    </xf>
    <xf numFmtId="0" fontId="35" fillId="17" borderId="8" applyAlignment="1" pivotButton="0" quotePrefix="0" xfId="0">
      <alignment horizontal="left" vertical="center"/>
    </xf>
    <xf numFmtId="0" fontId="43" fillId="0" borderId="0" applyAlignment="1" pivotButton="0" quotePrefix="0" xfId="0">
      <alignment horizontal="left" vertical="center" indent="1"/>
    </xf>
    <xf numFmtId="0" fontId="7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  <xf numFmtId="0" fontId="6" fillId="4" borderId="0" applyAlignment="1" pivotButton="0" quotePrefix="0" xfId="0">
      <alignment horizontal="center" vertical="center"/>
    </xf>
    <xf numFmtId="0" fontId="4" fillId="5" borderId="3" applyAlignment="1" pivotButton="0" quotePrefix="0" xfId="0">
      <alignment horizontal="left" vertical="center" indent="1"/>
    </xf>
    <xf numFmtId="0" fontId="0" fillId="0" borderId="4" pivotButton="0" quotePrefix="0" xfId="0"/>
    <xf numFmtId="0" fontId="0" fillId="0" borderId="6" pivotButton="0" quotePrefix="0" xfId="0"/>
    <xf numFmtId="0" fontId="11" fillId="2" borderId="3" applyAlignment="1" pivotButton="0" quotePrefix="0" xfId="0">
      <alignment horizontal="center" vertical="center"/>
    </xf>
    <xf numFmtId="3" fontId="9" fillId="2" borderId="3" applyAlignment="1" pivotButton="0" quotePrefix="0" xfId="0">
      <alignment horizontal="center" vertical="center"/>
    </xf>
    <xf numFmtId="0" fontId="12" fillId="2" borderId="0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 indent="1"/>
    </xf>
    <xf numFmtId="0" fontId="0" fillId="0" borderId="5" pivotButton="0" quotePrefix="0" xfId="0"/>
    <xf numFmtId="0" fontId="10" fillId="2" borderId="3" applyAlignment="1" pivotButton="0" quotePrefix="0" xfId="0">
      <alignment horizontal="center" vertical="center"/>
    </xf>
    <xf numFmtId="3" fontId="9" fillId="2" borderId="1" applyAlignment="1" pivotButton="0" quotePrefix="0" xfId="0">
      <alignment horizontal="center" vertical="center"/>
    </xf>
    <xf numFmtId="0" fontId="16" fillId="6" borderId="3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0" applyAlignment="1" pivotButton="0" quotePrefix="0" xfId="0">
      <alignment vertical="center"/>
    </xf>
    <xf numFmtId="3" fontId="32" fillId="0" borderId="0" applyAlignment="1" pivotButton="0" quotePrefix="0" xfId="0">
      <alignment vertical="center"/>
    </xf>
    <xf numFmtId="0" fontId="23" fillId="12" borderId="10" applyAlignment="1" pivotButton="0" quotePrefix="0" xfId="0">
      <alignment vertical="center"/>
    </xf>
    <xf numFmtId="0" fontId="0" fillId="12" borderId="10" applyAlignment="1" pivotButton="0" quotePrefix="0" xfId="0">
      <alignment vertical="center"/>
    </xf>
    <xf numFmtId="0" fontId="35" fillId="2" borderId="0" applyAlignment="1" pivotButton="0" quotePrefix="0" xfId="0">
      <alignment horizontal="left" vertical="center"/>
    </xf>
    <xf numFmtId="0" fontId="36" fillId="0" borderId="0" applyAlignment="1" pivotButton="0" quotePrefix="0" xfId="0">
      <alignment horizontal="left" vertical="center"/>
    </xf>
    <xf numFmtId="3" fontId="82" fillId="0" borderId="9" applyAlignment="1" pivotButton="0" quotePrefix="0" xfId="0">
      <alignment vertical="center"/>
    </xf>
    <xf numFmtId="0" fontId="88" fillId="0" borderId="9" applyAlignment="1" pivotButton="0" quotePrefix="0" xfId="0">
      <alignment vertical="center"/>
    </xf>
    <xf numFmtId="0" fontId="88" fillId="0" borderId="0" applyAlignment="1" pivotButton="0" quotePrefix="0" xfId="0">
      <alignment vertical="center"/>
    </xf>
    <xf numFmtId="165" fontId="89" fillId="0" borderId="0" applyAlignment="1" pivotButton="0" quotePrefix="0" xfId="0">
      <alignment horizontal="right" vertical="center"/>
    </xf>
    <xf numFmtId="0" fontId="0" fillId="0" borderId="0" pivotButton="0" quotePrefix="0" xfId="0"/>
    <xf numFmtId="165" fontId="8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94" fillId="0" borderId="0" pivotButton="0" quotePrefix="0" xfId="0"/>
    <xf numFmtId="165" fontId="18" fillId="0" borderId="0" applyAlignment="1" pivotButton="0" quotePrefix="0" xfId="0">
      <alignment horizontal="right" vertical="center"/>
    </xf>
    <xf numFmtId="165" fontId="34" fillId="13" borderId="0" applyAlignment="1" pivotButton="0" quotePrefix="0" xfId="0">
      <alignment vertical="center"/>
    </xf>
    <xf numFmtId="165" fontId="89" fillId="0" borderId="0" applyAlignment="1" pivotButton="0" quotePrefix="0" xfId="0">
      <alignment horizontal="right" vertical="center"/>
    </xf>
    <xf numFmtId="165" fontId="82" fillId="0" borderId="0" applyAlignment="1" pivotButton="0" quotePrefix="0" xfId="0">
      <alignment vertical="center"/>
    </xf>
    <xf numFmtId="174" fontId="35" fillId="0" borderId="8" applyAlignment="1" pivotButton="0" quotePrefix="0" xfId="0">
      <alignment horizontal="center" vertical="center"/>
    </xf>
    <xf numFmtId="175" fontId="35" fillId="0" borderId="8" applyAlignment="1" pivotButton="0" quotePrefix="0" xfId="0">
      <alignment horizontal="center" vertical="center"/>
    </xf>
    <xf numFmtId="176" fontId="37" fillId="0" borderId="8" pivotButton="0" quotePrefix="0" xfId="0"/>
    <xf numFmtId="165" fontId="44" fillId="2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4" fontId="34" fillId="13" borderId="0" applyAlignment="1" pivotButton="0" quotePrefix="0" xfId="0">
      <alignment vertical="center"/>
    </xf>
    <xf numFmtId="164" fontId="44" fillId="2" borderId="0" applyAlignment="1" pivotButton="0" quotePrefix="0" xfId="0">
      <alignment vertical="center"/>
    </xf>
    <xf numFmtId="164" fontId="34" fillId="0" borderId="0" applyAlignment="1" pivotButton="0" quotePrefix="0" xfId="0">
      <alignment vertical="center"/>
    </xf>
    <xf numFmtId="165" fontId="34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6" fontId="34" fillId="19" borderId="0" applyAlignment="1" pivotButton="0" quotePrefix="0" xfId="0">
      <alignment vertical="center"/>
    </xf>
    <xf numFmtId="166" fontId="34" fillId="13" borderId="0" applyAlignment="1" pivotButton="0" quotePrefix="0" xfId="0">
      <alignment vertical="center"/>
    </xf>
    <xf numFmtId="165" fontId="56" fillId="0" borderId="0" applyAlignment="1" pivotButton="0" quotePrefix="0" xfId="0">
      <alignment vertical="center"/>
    </xf>
    <xf numFmtId="176" fontId="37" fillId="0" borderId="0" pivotButton="0" quotePrefix="0" xfId="0"/>
    <xf numFmtId="174" fontId="36" fillId="0" borderId="8" applyAlignment="1" pivotButton="0" quotePrefix="0" xfId="0">
      <alignment horizontal="center" vertical="center"/>
    </xf>
    <xf numFmtId="175" fontId="36" fillId="0" borderId="8" applyAlignment="1" pivotButton="0" quotePrefix="0" xfId="0">
      <alignment horizontal="center" vertical="center"/>
    </xf>
    <xf numFmtId="177" fontId="68" fillId="0" borderId="0" pivotButton="0" quotePrefix="0" xfId="0"/>
    <xf numFmtId="177" fontId="34" fillId="13" borderId="0" applyAlignment="1" pivotButton="0" quotePrefix="0" xfId="0">
      <alignment vertical="center"/>
    </xf>
    <xf numFmtId="165" fontId="68" fillId="0" borderId="0" pivotButton="0" quotePrefix="0" xfId="0"/>
    <xf numFmtId="165" fontId="73" fillId="0" borderId="0" pivotButton="0" quotePrefix="0" xfId="0"/>
    <xf numFmtId="165" fontId="72" fillId="0" borderId="0" pivotButton="0" quotePrefix="0" xfId="0"/>
    <xf numFmtId="178" fontId="0" fillId="0" borderId="0" applyAlignment="1" pivotButton="0" quotePrefix="0" xfId="0">
      <alignment vertical="center"/>
    </xf>
    <xf numFmtId="173" fontId="34" fillId="13" borderId="0" applyAlignment="1" pivotButton="0" quotePrefix="0" xfId="0">
      <alignment vertical="center"/>
    </xf>
    <xf numFmtId="177" fontId="0" fillId="0" borderId="0" applyAlignment="1" pivotButton="0" quotePrefix="0" xfId="0">
      <alignment vertical="center"/>
    </xf>
    <xf numFmtId="181" fontId="32" fillId="0" borderId="0" applyAlignment="1" pivotButton="0" quotePrefix="0" xfId="0">
      <alignment vertical="center"/>
    </xf>
    <xf numFmtId="182" fontId="34" fillId="13" borderId="0" applyAlignment="1" pivotButton="0" quotePrefix="0" xfId="0">
      <alignment vertical="center"/>
    </xf>
    <xf numFmtId="173" fontId="0" fillId="16" borderId="0" pivotButton="0" quotePrefix="0" xfId="0"/>
    <xf numFmtId="180" fontId="48" fillId="0" borderId="0" pivotButton="0" quotePrefix="0" xfId="1"/>
    <xf numFmtId="165" fontId="32" fillId="2" borderId="0" applyAlignment="1" pivotButton="0" quotePrefix="0" xfId="0">
      <alignment vertical="center"/>
    </xf>
    <xf numFmtId="164" fontId="45" fillId="2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4" fontId="32" fillId="2" borderId="0" applyAlignment="1" pivotButton="0" quotePrefix="0" xfId="0">
      <alignment vertical="center"/>
    </xf>
    <xf numFmtId="165" fontId="18" fillId="15" borderId="0" applyAlignment="1" pivotButton="0" quotePrefix="0" xfId="0">
      <alignment vertical="center"/>
    </xf>
    <xf numFmtId="165" fontId="55" fillId="2" borderId="0" applyAlignment="1" pivotButton="0" quotePrefix="0" xfId="0">
      <alignment vertical="center"/>
    </xf>
    <xf numFmtId="165" fontId="23" fillId="15" borderId="0" applyAlignment="1" pivotButton="0" quotePrefix="0" xfId="0">
      <alignment vertical="center"/>
    </xf>
    <xf numFmtId="164" fontId="18" fillId="15" borderId="0" applyAlignment="1" pivotButton="0" quotePrefix="0" xfId="0">
      <alignment vertical="center"/>
    </xf>
    <xf numFmtId="173" fontId="23" fillId="10" borderId="0" applyAlignment="1" pivotButton="0" quotePrefix="0" xfId="0">
      <alignment vertical="center"/>
    </xf>
    <xf numFmtId="165" fontId="1" fillId="0" borderId="0" applyAlignment="1" pivotButton="0" quotePrefix="0" xfId="10">
      <alignment vertical="center"/>
    </xf>
    <xf numFmtId="165" fontId="32" fillId="0" borderId="0" applyAlignment="1" pivotButton="0" quotePrefix="0" xfId="0">
      <alignment vertical="center"/>
    </xf>
    <xf numFmtId="165" fontId="77" fillId="15" borderId="0" applyAlignment="1" pivotButton="0" quotePrefix="0" xfId="0">
      <alignment vertical="center"/>
    </xf>
    <xf numFmtId="173" fontId="32" fillId="0" borderId="0" applyAlignment="1" pivotButton="0" quotePrefix="0" xfId="0">
      <alignment vertical="center"/>
    </xf>
    <xf numFmtId="173" fontId="18" fillId="15" borderId="0" applyAlignment="1" pivotButton="0" quotePrefix="0" xfId="0">
      <alignment vertical="center"/>
    </xf>
    <xf numFmtId="0" fontId="95" fillId="0" borderId="0" pivotButton="0" quotePrefix="0" xfId="0"/>
    <xf numFmtId="0" fontId="96" fillId="0" borderId="0" pivotButton="0" quotePrefix="0" xfId="0"/>
    <xf numFmtId="0" fontId="97" fillId="20" borderId="0" pivotButton="0" quotePrefix="0" xfId="0"/>
    <xf numFmtId="0" fontId="97" fillId="20" borderId="0" applyAlignment="1" pivotButton="0" quotePrefix="0" xfId="0">
      <alignment horizontal="center"/>
    </xf>
    <xf numFmtId="0" fontId="97" fillId="21" borderId="0" applyAlignment="1" pivotButton="0" quotePrefix="0" xfId="0">
      <alignment horizontal="center"/>
    </xf>
    <xf numFmtId="0" fontId="92" fillId="22" borderId="0" pivotButton="0" quotePrefix="0" xfId="0"/>
    <xf numFmtId="3" fontId="0" fillId="0" borderId="0" pivotButton="0" quotePrefix="0" xfId="0"/>
    <xf numFmtId="0" fontId="92" fillId="23" borderId="0" pivotButton="0" quotePrefix="0" xfId="0"/>
    <xf numFmtId="3" fontId="91" fillId="23" borderId="0" pivotButton="0" quotePrefix="0" xfId="0"/>
    <xf numFmtId="3" fontId="92" fillId="23" borderId="0" pivotButton="0" quotePrefix="0" xfId="0"/>
    <xf numFmtId="3" fontId="94" fillId="24" borderId="0" pivotButton="0" quotePrefix="0" xfId="0"/>
    <xf numFmtId="165" fontId="0" fillId="0" borderId="0" pivotButton="0" quotePrefix="0" xfId="0"/>
    <xf numFmtId="0" fontId="98" fillId="23" borderId="0" pivotButton="0" quotePrefix="0" xfId="0"/>
    <xf numFmtId="3" fontId="98" fillId="23" borderId="0" pivotButton="0" quotePrefix="0" xfId="0"/>
    <xf numFmtId="0" fontId="99" fillId="23" borderId="0" pivotButton="0" quotePrefix="0" xfId="0"/>
    <xf numFmtId="3" fontId="99" fillId="23" borderId="0" pivotButton="0" quotePrefix="0" xfId="0"/>
    <xf numFmtId="165" fontId="0" fillId="25" borderId="0" pivotButton="0" quotePrefix="0" xfId="0"/>
    <xf numFmtId="185" fontId="92" fillId="0" borderId="0" pivotButton="0" quotePrefix="0" xfId="0"/>
    <xf numFmtId="9" fontId="91" fillId="0" borderId="0" pivotButton="0" quotePrefix="0" xfId="0"/>
    <xf numFmtId="0" fontId="100" fillId="0" borderId="0" pivotButton="0" quotePrefix="0" xfId="0"/>
    <xf numFmtId="0" fontId="92" fillId="0" borderId="0" pivotButton="0" quotePrefix="0" xfId="0"/>
    <xf numFmtId="3" fontId="0" fillId="25" borderId="0" pivotButton="0" quotePrefix="0" xfId="0"/>
    <xf numFmtId="183" fontId="0" fillId="0" borderId="0" pivotButton="0" quotePrefix="0" xfId="0"/>
    <xf numFmtId="0" fontId="101" fillId="0" borderId="0" pivotButton="0" quotePrefix="0" xfId="0"/>
    <xf numFmtId="174" fontId="91" fillId="0" borderId="0" pivotButton="0" quotePrefix="0" xfId="0"/>
    <xf numFmtId="0" fontId="92" fillId="22" borderId="0" applyAlignment="1" pivotButton="0" quotePrefix="0" xfId="0">
      <alignment horizontal="center" vertical="center"/>
    </xf>
    <xf numFmtId="167" fontId="0" fillId="0" borderId="0" pivotButton="0" quotePrefix="0" xfId="0"/>
    <xf numFmtId="186" fontId="92" fillId="0" borderId="0" pivotButton="0" quotePrefix="0" xfId="0"/>
    <xf numFmtId="186" fontId="101" fillId="0" borderId="0" pivotButton="0" quotePrefix="0" xfId="0"/>
    <xf numFmtId="0" fontId="102" fillId="0" borderId="0" pivotButton="0" quotePrefix="0" xfId="0"/>
    <xf numFmtId="167" fontId="26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5" fontId="26" fillId="0" borderId="0" applyAlignment="1" pivotButton="0" quotePrefix="0" xfId="0">
      <alignment vertical="center"/>
    </xf>
    <xf numFmtId="172" fontId="1" fillId="0" borderId="0" applyAlignment="1" pivotButton="0" quotePrefix="0" xfId="1">
      <alignment vertical="center"/>
    </xf>
    <xf numFmtId="164" fontId="45" fillId="0" borderId="0" applyAlignment="1" pivotButton="0" quotePrefix="0" xfId="0">
      <alignment vertical="center"/>
    </xf>
    <xf numFmtId="164" fontId="54" fillId="0" borderId="0" applyAlignment="1" pivotButton="0" quotePrefix="0" xfId="0">
      <alignment vertical="center"/>
    </xf>
    <xf numFmtId="0" fontId="92" fillId="14" borderId="0" applyAlignment="1" pivotButton="0" quotePrefix="0" xfId="0">
      <alignment vertical="center"/>
    </xf>
    <xf numFmtId="0" fontId="93" fillId="14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9" fontId="0" fillId="0" borderId="0" applyAlignment="1" pivotButton="0" quotePrefix="0" xfId="0">
      <alignment vertical="center"/>
    </xf>
    <xf numFmtId="168" fontId="32" fillId="0" borderId="0" applyAlignment="1" pivotButton="0" quotePrefix="0" xfId="0">
      <alignment vertical="center"/>
    </xf>
    <xf numFmtId="170" fontId="91" fillId="0" borderId="0" applyAlignment="1" pivotButton="0" quotePrefix="0" xfId="0">
      <alignment vertical="center"/>
    </xf>
    <xf numFmtId="181" fontId="0" fillId="0" borderId="0" pivotButton="0" quotePrefix="0" xfId="0"/>
    <xf numFmtId="183" fontId="32" fillId="0" borderId="0" applyAlignment="1" pivotButton="0" quotePrefix="0" xfId="0">
      <alignment vertical="center"/>
    </xf>
    <xf numFmtId="170" fontId="32" fillId="0" borderId="0" applyAlignment="1" pivotButton="0" quotePrefix="0" xfId="0">
      <alignment vertical="center"/>
    </xf>
    <xf numFmtId="171" fontId="54" fillId="0" borderId="0" applyAlignment="1" pivotButton="0" quotePrefix="0" xfId="0">
      <alignment vertical="center"/>
    </xf>
    <xf numFmtId="170" fontId="91" fillId="0" borderId="0" pivotButton="0" quotePrefix="0" xfId="0"/>
    <xf numFmtId="175" fontId="92" fillId="0" borderId="0" pivotButton="0" quotePrefix="0" xfId="0"/>
    <xf numFmtId="175" fontId="0" fillId="0" borderId="0" pivotButton="0" quotePrefix="0" xfId="0"/>
    <xf numFmtId="187" fontId="0" fillId="0" borderId="0" pivotButton="0" quotePrefix="0" xfId="0"/>
    <xf numFmtId="188" fontId="0" fillId="0" borderId="0" pivotButton="0" quotePrefix="0" xfId="0"/>
    <xf numFmtId="3" fontId="91" fillId="24" borderId="0" pivotButton="0" quotePrefix="0" xfId="0"/>
    <xf numFmtId="3" fontId="103" fillId="0" borderId="0" pivotButton="0" quotePrefix="0" xfId="0"/>
    <xf numFmtId="3" fontId="91" fillId="0" borderId="0" pivotButton="0" quotePrefix="0" xfId="0"/>
    <xf numFmtId="3" fontId="101" fillId="0" borderId="0" pivotButton="0" quotePrefix="0" xfId="0"/>
    <xf numFmtId="0" fontId="93" fillId="0" borderId="0" pivotButton="0" quotePrefix="0" xfId="0"/>
    <xf numFmtId="165" fontId="91" fillId="0" borderId="0" pivotButton="0" quotePrefix="0" xfId="0"/>
    <xf numFmtId="1" fontId="91" fillId="0" borderId="0" pivotButton="0" quotePrefix="0" xfId="0"/>
    <xf numFmtId="0" fontId="97" fillId="26" borderId="0" applyAlignment="1" pivotButton="0" quotePrefix="0" xfId="0">
      <alignment horizontal="center" vertical="center"/>
    </xf>
    <xf numFmtId="189" fontId="0" fillId="0" borderId="0" pivotButton="0" quotePrefix="0" xfId="0"/>
    <xf numFmtId="172" fontId="70" fillId="0" borderId="0" pivotButton="0" quotePrefix="0" xfId="1"/>
    <xf numFmtId="172" fontId="48" fillId="0" borderId="0" pivotButton="0" quotePrefix="0" xfId="1"/>
    <xf numFmtId="172" fontId="71" fillId="0" borderId="0" pivotButton="0" quotePrefix="0" xfId="1"/>
    <xf numFmtId="165" fontId="70" fillId="0" borderId="0" pivotButton="0" quotePrefix="0" xfId="2"/>
    <xf numFmtId="179" fontId="0" fillId="0" borderId="0" applyAlignment="1" pivotButton="0" quotePrefix="0" xfId="0">
      <alignment vertical="center"/>
    </xf>
    <xf numFmtId="0" fontId="104" fillId="27" borderId="15" xfId="0">
      <alignment vertical="center"/>
    </xf>
    <xf numFmtId="0" fontId="109" fillId="32" borderId="16" xfId="0" applyFont="1" applyFill="1" applyBorder="1" applyAlignment="1">
      <alignment horizontal="center" vertical="center"/>
    </xf>
    <xf numFmtId="0" fontId="104" fillId="29" borderId="15" xfId="0" applyFill="1">
      <alignment vertical="center"/>
    </xf>
    <xf numFmtId="0" fontId="104" fillId="27" borderId="15" xfId="0" applyAlignment="1"/>
    <xf numFmtId="0" fontId="104" fillId="27" borderId="15" xfId="0" applyAlignment="1">
      <alignment horizontal="center" vertical="center"/>
    </xf>
    <xf numFmtId="0" fontId="108" fillId="27" borderId="15" xfId="0" applyFont="1">
      <alignment vertical="center"/>
    </xf>
    <xf numFmtId="0" fontId="104" fillId="27" borderId="15" xfId="0" applyAlignment="1">
      <alignment horizontal="right" vertical="center"/>
    </xf>
    <xf numFmtId="0" fontId="114" fillId="27" borderId="15" xfId="0" applyFont="1" applyAlignment="1">
      <alignment horizontal="center" vertical="center"/>
    </xf>
    <xf numFmtId="0" fontId="118" fillId="27" borderId="15" xfId="0" applyFont="1" applyAlignment="1">
      <alignment horizontal="left" vertical="center"/>
    </xf>
    <xf numFmtId="0" fontId="119" fillId="27" borderId="15" xfId="0" applyFont="1" applyAlignment="1">
      <alignment horizontal="left" vertical="center"/>
    </xf>
    <xf numFmtId="0" fontId="106" fillId="27" borderId="15" xfId="0" applyFont="1" applyAlignment="1">
      <alignment horizontal="left" vertical="center"/>
    </xf>
    <xf numFmtId="0" fontId="120" fillId="27" borderId="15" xfId="0" applyFont="1" applyAlignment="1">
      <alignment horizontal="left" vertical="center"/>
    </xf>
    <xf numFmtId="0" fontId="121" fillId="27" borderId="15" xfId="0" applyFont="1" applyAlignment="1">
      <alignment horizontal="left" vertical="center" indent="1"/>
    </xf>
    <xf numFmtId="0" fontId="122" fillId="27" borderId="15" xfId="0" applyFont="1" applyAlignment="1">
      <alignment horizontal="left" vertical="center" indent="2"/>
    </xf>
    <xf numFmtId="0" fontId="123" fillId="27" borderId="15" xfId="0" applyFont="1">
      <alignment vertical="center"/>
    </xf>
    <xf numFmtId="0" fontId="109" fillId="33" borderId="15" xfId="0" applyFont="1" applyFill="1" applyAlignment="1">
      <alignment horizontal="center" vertical="center"/>
    </xf>
    <xf numFmtId="1" fontId="124" fillId="33" borderId="15" xfId="0" applyNumberFormat="1" applyFont="1" applyFill="1" applyAlignment="1">
      <alignment horizontal="center" vertical="center"/>
    </xf>
    <xf numFmtId="0" fontId="115" fillId="38" borderId="17" xfId="0" applyFont="1" applyFill="1" applyBorder="1">
      <alignment vertical="center"/>
    </xf>
    <xf numFmtId="0" fontId="104" fillId="38" borderId="17" xfId="0" applyFill="1" applyBorder="1">
      <alignment vertical="center"/>
    </xf>
    <xf numFmtId="3" fontId="125" fillId="27" borderId="15" xfId="0" applyNumberFormat="1" applyFont="1">
      <alignment vertical="center"/>
    </xf>
    <xf numFmtId="0" fontId="126" fillId="27" borderId="18" xfId="0" applyFont="1" applyBorder="1">
      <alignment vertical="center"/>
    </xf>
    <xf numFmtId="3" fontId="104" fillId="27" borderId="18" xfId="0" applyNumberFormat="1" applyBorder="1">
      <alignment vertical="center"/>
    </xf>
    <xf numFmtId="10" fontId="104" fillId="27" borderId="15" xfId="0" applyNumberFormat="1">
      <alignment vertical="center"/>
    </xf>
    <xf numFmtId="0" fontId="104" fillId="27" borderId="18" xfId="0" applyBorder="1">
      <alignment vertical="center"/>
    </xf>
    <xf numFmtId="10" fontId="104" fillId="27" borderId="18" xfId="0" applyNumberFormat="1" applyBorder="1">
      <alignment vertical="center"/>
    </xf>
    <xf numFmtId="10" fontId="104" fillId="39" borderId="18" xfId="0" applyNumberFormat="1" applyFill="1" applyBorder="1">
      <alignment vertical="center"/>
    </xf>
    <xf numFmtId="3" fontId="125" fillId="29" borderId="15" xfId="0" applyNumberFormat="1" applyFont="1" applyFill="1">
      <alignment vertical="center"/>
    </xf>
    <xf numFmtId="0" fontId="126" fillId="36" borderId="18" xfId="0" applyFont="1" applyFill="1" applyBorder="1">
      <alignment vertical="center"/>
    </xf>
    <xf numFmtId="3" fontId="115" fillId="36" borderId="18" xfId="0" applyNumberFormat="1" applyFont="1" applyFill="1" applyBorder="1">
      <alignment vertical="center"/>
    </xf>
    <xf numFmtId="0" fontId="127" fillId="27" borderId="15" xfId="0" applyFont="1" applyAlignment="1">
      <alignment horizontal="right" vertical="center"/>
    </xf>
    <xf numFmtId="191" fontId="129" fillId="27" borderId="15" xfId="0" applyNumberFormat="1" applyFont="1"/>
    <xf numFmtId="0" fontId="136" fillId="27" borderId="15" xfId="0" applyFont="1">
      <alignment vertical="center"/>
    </xf>
    <xf numFmtId="0" fontId="123" fillId="27" borderId="15" xfId="0" applyFont="1" applyAlignment="1">
      <alignment horizontal="left" vertical="center" indent="1"/>
    </xf>
    <xf numFmtId="0" fontId="104" fillId="27" borderId="15" xfId="0" applyAlignment="1">
      <alignment horizontal="left" vertical="center" indent="1"/>
    </xf>
    <xf numFmtId="0" fontId="138" fillId="27" borderId="15" xfId="0" applyFont="1" applyAlignment="1">
      <alignment horizontal="left" vertical="center" indent="1"/>
    </xf>
    <xf numFmtId="0" fontId="113" fillId="27" borderId="18" xfId="0" applyFont="1" applyBorder="1">
      <alignment vertical="center"/>
    </xf>
    <xf numFmtId="3" fontId="115" fillId="29" borderId="18" xfId="0" applyNumberFormat="1" applyFont="1" applyFill="1" applyBorder="1">
      <alignment vertical="center"/>
    </xf>
    <xf numFmtId="3" fontId="140" fillId="29" borderId="18" xfId="0" applyNumberFormat="1" applyFont="1" applyFill="1" applyBorder="1">
      <alignment vertical="center"/>
    </xf>
    <xf numFmtId="191" fontId="104" fillId="27" borderId="18" xfId="0" applyNumberFormat="1" applyBorder="1">
      <alignment vertical="center"/>
    </xf>
    <xf numFmtId="191" fontId="104" fillId="39" borderId="18" xfId="0" applyNumberFormat="1" applyFill="1" applyBorder="1">
      <alignment vertical="center"/>
    </xf>
    <xf numFmtId="0" fontId="115" fillId="29" borderId="15" xfId="0" applyFont="1" applyFill="1" applyAlignment="1">
      <alignment horizontal="left" vertical="center" indent="5"/>
    </xf>
    <xf numFmtId="193" fontId="115" fillId="39" borderId="15" xfId="0" applyNumberFormat="1" applyFont="1" applyFill="1">
      <alignment vertical="center"/>
    </xf>
    <xf numFmtId="0" fontId="135" fillId="27" borderId="15" xfId="0" applyFont="1">
      <alignment vertical="center"/>
    </xf>
    <xf numFmtId="0" fontId="141" fillId="27" borderId="15" xfId="0" applyFont="1">
      <alignment vertical="center"/>
    </xf>
    <xf numFmtId="0" fontId="113" fillId="27" borderId="18" xfId="0" applyFont="1" applyBorder="1" applyAlignment="1">
      <alignment vertical="center" wrapText="1"/>
    </xf>
    <xf numFmtId="0" fontId="113" fillId="27" borderId="15" xfId="0" applyFont="1" applyAlignment="1">
      <alignment vertical="center" wrapText="1"/>
    </xf>
    <xf numFmtId="0" fontId="104" fillId="27" borderId="18" xfId="0" applyBorder="1" applyAlignment="1">
      <alignment vertical="center" wrapText="1"/>
    </xf>
    <xf numFmtId="0" fontId="104" fillId="27" borderId="15" xfId="0" applyAlignment="1">
      <alignment vertical="center" wrapText="1"/>
    </xf>
    <xf numFmtId="0" fontId="115" fillId="36" borderId="18" xfId="0" applyFont="1" applyFill="1" applyBorder="1">
      <alignment vertical="center"/>
    </xf>
    <xf numFmtId="0" fontId="115" fillId="29" borderId="15" xfId="0" applyFont="1" applyFill="1">
      <alignment vertical="center"/>
    </xf>
    <xf numFmtId="3" fontId="140" fillId="29" borderId="15" xfId="0" applyNumberFormat="1" applyFont="1" applyFill="1">
      <alignment vertical="center"/>
    </xf>
    <xf numFmtId="3" fontId="115" fillId="29" borderId="15" xfId="0" applyNumberFormat="1" applyFont="1" applyFill="1">
      <alignment vertical="center"/>
    </xf>
    <xf numFmtId="0" fontId="130" fillId="29" borderId="15" xfId="0" applyFont="1" applyFill="1" applyAlignment="1">
      <alignment horizontal="left" vertical="center" indent="5"/>
    </xf>
    <xf numFmtId="0" fontId="111" fillId="27" borderId="15" xfId="0" applyFont="1" applyAlignment="1"/>
    <xf numFmtId="191" fontId="104" fillId="27" borderId="15" xfId="0" applyNumberFormat="1">
      <alignment vertical="center"/>
    </xf>
    <xf numFmtId="2" fontId="104" fillId="27" borderId="18" xfId="0" applyNumberFormat="1" applyBorder="1">
      <alignment vertical="center"/>
    </xf>
    <xf numFmtId="195" fontId="104" fillId="27" borderId="18" xfId="0" applyNumberFormat="1" applyBorder="1">
      <alignment vertical="center"/>
    </xf>
    <xf numFmtId="195" fontId="104" fillId="27" borderId="15" xfId="0" applyNumberFormat="1">
      <alignment vertical="center"/>
    </xf>
    <xf numFmtId="196" fontId="104" fillId="27" borderId="15" xfId="0" applyNumberFormat="1">
      <alignment vertical="center"/>
    </xf>
    <xf numFmtId="0" fontId="124" fillId="33" borderId="15" xfId="0" applyFont="1" applyFill="1" applyAlignment="1">
      <alignment horizontal="center" vertical="center"/>
    </xf>
    <xf numFmtId="0" fontId="111" fillId="27" borderId="15" xfId="0" applyFont="1">
      <alignment vertical="center"/>
    </xf>
    <xf numFmtId="0" fontId="111" fillId="27" borderId="18" xfId="0" applyFont="1" applyBorder="1">
      <alignment vertical="center"/>
    </xf>
    <xf numFmtId="191" fontId="128" fillId="27" borderId="15" xfId="0" applyNumberFormat="1"/>
    <xf numFmtId="0" fontId="147" fillId="27" borderId="15" xfId="0" applyFont="1" applyAlignment="1">
      <alignment horizontal="left" vertical="center" indent="5"/>
    </xf>
    <xf numFmtId="0" fontId="147" fillId="29" borderId="15" xfId="0" applyFont="1" applyFill="1">
      <alignment vertical="center"/>
    </xf>
    <xf numFmtId="0" fontId="115" fillId="36" borderId="15" xfId="0" applyFont="1" applyFill="1">
      <alignment vertical="center"/>
    </xf>
    <xf numFmtId="3" fontId="115" fillId="36" borderId="15" xfId="0" applyNumberFormat="1" applyFont="1" applyFill="1">
      <alignment vertical="center"/>
    </xf>
    <xf numFmtId="191" fontId="128" fillId="27" borderId="15" xfId="0" applyNumberFormat="1" applyAlignment="1">
      <alignment vertical="center"/>
    </xf>
    <xf numFmtId="0" fontId="133" fillId="27" borderId="15" xfId="0" applyFont="1" applyAlignment="1">
      <alignment horizontal="left" vertical="center" indent="1"/>
    </xf>
    <xf numFmtId="0" fontId="134" fillId="27" borderId="15" xfId="0" applyFont="1" applyAlignment="1"/>
    <xf numFmtId="9" fontId="134" fillId="27" borderId="15" xfId="0" applyFont="1"/>
    <xf numFmtId="0" fontId="134" fillId="27" borderId="15" xfId="0" applyFont="1" applyAlignment="1">
      <alignment horizontal="left" vertical="center" indent="1"/>
    </xf>
    <xf numFmtId="0" fontId="115" fillId="27" borderId="15" xfId="0" applyFont="1" applyAlignment="1">
      <alignment horizontal="left"/>
    </xf>
    <xf numFmtId="198" fontId="151" fillId="27" borderId="15" xfId="0" applyNumberFormat="1" applyFont="1" applyAlignment="1">
      <alignment horizontal="center" vertical="center"/>
    </xf>
    <xf numFmtId="198" fontId="151" fillId="27" borderId="15" xfId="0" applyNumberFormat="1" applyFont="1">
      <alignment vertical="center"/>
    </xf>
    <xf numFmtId="0" fontId="135" fillId="27" borderId="15" xfId="0" applyFont="1" applyAlignment="1"/>
    <xf numFmtId="0" fontId="152" fillId="27" borderId="15" xfId="0" applyFont="1">
      <alignment vertical="center"/>
    </xf>
    <xf numFmtId="192" fontId="104" fillId="27" borderId="15" xfId="0" applyNumberFormat="1">
      <alignment vertical="center"/>
    </xf>
    <xf numFmtId="0" fontId="153" fillId="27" borderId="15" xfId="0" applyFont="1" applyAlignment="1"/>
    <xf numFmtId="195" fontId="153" fillId="27" borderId="15" xfId="0" applyNumberFormat="1" applyFont="1" applyAlignment="1"/>
    <xf numFmtId="199" fontId="153" fillId="27" borderId="15" xfId="0" applyNumberFormat="1" applyFont="1" applyAlignment="1"/>
    <xf numFmtId="195" fontId="167" fillId="27" borderId="15" xfId="0" applyNumberFormat="1">
      <alignment vertical="center"/>
    </xf>
    <xf numFmtId="199" fontId="104" fillId="27" borderId="15" xfId="0" applyNumberFormat="1" applyAlignment="1"/>
    <xf numFmtId="0" fontId="144" fillId="27" borderId="15" xfId="0" applyFont="1">
      <alignment vertical="center"/>
    </xf>
    <xf numFmtId="0" fontId="146" fillId="33" borderId="28" xfId="0" applyFont="1" applyFill="1" applyBorder="1" applyAlignment="1">
      <alignment horizontal="center"/>
    </xf>
    <xf numFmtId="0" fontId="154" fillId="27" borderId="15" xfId="0" applyFont="1" applyAlignment="1">
      <alignment horizontal="left" vertical="center" indent="4"/>
    </xf>
    <xf numFmtId="0" fontId="155" fillId="27" borderId="15" xfId="0" applyFont="1">
      <alignment vertical="center"/>
    </xf>
    <xf numFmtId="0" fontId="155" fillId="27" borderId="28" xfId="0" applyFont="1" applyBorder="1">
      <alignment vertical="center"/>
    </xf>
    <xf numFmtId="0" fontId="111" fillId="27" borderId="15" xfId="0" applyFont="1" applyAlignment="1">
      <alignment horizontal="left" vertical="center" indent="1"/>
    </xf>
    <xf numFmtId="0" fontId="111" fillId="40" borderId="17" xfId="0" applyFont="1" applyFill="1" applyBorder="1" applyAlignment="1"/>
    <xf numFmtId="0" fontId="111" fillId="40" borderId="17" xfId="0" applyFont="1" applyFill="1" applyBorder="1">
      <alignment vertical="center"/>
    </xf>
    <xf numFmtId="10" fontId="111" fillId="27" borderId="15" xfId="0" applyNumberFormat="1" applyFont="1">
      <alignment vertical="center"/>
    </xf>
    <xf numFmtId="200" fontId="111" fillId="27" borderId="15" xfId="0" applyNumberFormat="1" applyFont="1">
      <alignment vertical="center"/>
    </xf>
    <xf numFmtId="0" fontId="116" fillId="39" borderId="18" xfId="0" applyFont="1" applyFill="1" applyBorder="1">
      <alignment vertical="center"/>
    </xf>
    <xf numFmtId="0" fontId="111" fillId="39" borderId="18" xfId="0" applyFont="1" applyFill="1" applyBorder="1">
      <alignment vertical="center"/>
    </xf>
    <xf numFmtId="200" fontId="111" fillId="39" borderId="18" xfId="0" applyNumberFormat="1" applyFont="1" applyFill="1" applyBorder="1">
      <alignment vertical="center"/>
    </xf>
    <xf numFmtId="0" fontId="159" fillId="27" borderId="15" xfId="0" applyFont="1" applyAlignment="1">
      <alignment horizontal="center" vertical="center"/>
    </xf>
    <xf numFmtId="0" fontId="144" fillId="39" borderId="18" xfId="0" applyFont="1" applyFill="1" applyBorder="1">
      <alignment vertical="center"/>
    </xf>
    <xf numFmtId="0" fontId="111" fillId="39" borderId="18" xfId="0" applyFont="1" applyFill="1" applyBorder="1" applyAlignment="1"/>
    <xf numFmtId="10" fontId="111" fillId="39" borderId="18" xfId="0" applyNumberFormat="1" applyFont="1" applyFill="1" applyBorder="1">
      <alignment vertical="center"/>
    </xf>
    <xf numFmtId="0" fontId="111" fillId="27" borderId="18" xfId="0" applyFont="1" applyBorder="1" applyAlignment="1"/>
    <xf numFmtId="0" fontId="111" fillId="29" borderId="15" xfId="0" applyFont="1" applyFill="1" applyAlignment="1"/>
    <xf numFmtId="10" fontId="111" fillId="29" borderId="15" xfId="0" applyNumberFormat="1" applyFont="1" applyFill="1">
      <alignment vertical="center"/>
    </xf>
    <xf numFmtId="0" fontId="111" fillId="29" borderId="15" xfId="0" applyFont="1" applyFill="1">
      <alignment vertical="center"/>
    </xf>
    <xf numFmtId="0" fontId="116" fillId="41" borderId="19" xfId="0" applyFont="1" applyFill="1" applyBorder="1" applyAlignment="1">
      <alignment horizontal="center" vertical="center"/>
    </xf>
    <xf numFmtId="0" fontId="111" fillId="41" borderId="19" xfId="0" applyFont="1" applyFill="1" applyBorder="1" applyAlignment="1">
      <alignment horizontal="center" vertical="center"/>
    </xf>
    <xf numFmtId="0" fontId="110" fillId="41" borderId="21" xfId="0" applyFont="1" applyFill="1" applyBorder="1" applyAlignment="1">
      <alignment horizontal="center" vertical="center"/>
    </xf>
    <xf numFmtId="0" fontId="110" fillId="41" borderId="19" xfId="0" applyFont="1" applyFill="1" applyBorder="1" applyAlignment="1">
      <alignment horizontal="center" vertical="center"/>
    </xf>
    <xf numFmtId="0" fontId="111" fillId="41" borderId="21" xfId="0" applyFont="1" applyFill="1" applyBorder="1" applyAlignment="1">
      <alignment horizontal="center" vertical="center"/>
    </xf>
    <xf numFmtId="0" fontId="104" fillId="41" borderId="19" xfId="0" applyFill="1" applyBorder="1" applyAlignment="1">
      <alignment horizontal="center" vertical="center"/>
    </xf>
    <xf numFmtId="0" fontId="111" fillId="27" borderId="15" xfId="0" applyFont="1" applyAlignment="1">
      <alignment horizontal="center" vertical="center"/>
    </xf>
    <xf numFmtId="0" fontId="111" fillId="27" borderId="24" xfId="0" applyFont="1" applyBorder="1">
      <alignment vertical="center"/>
    </xf>
    <xf numFmtId="0" fontId="111" fillId="27" borderId="15" xfId="0" applyFont="1" applyAlignment="1">
      <alignment horizontal="right"/>
    </xf>
    <xf numFmtId="0" fontId="111" fillId="27" borderId="18" xfId="0" applyFont="1" applyBorder="1" applyAlignment="1">
      <alignment horizontal="center" vertical="center"/>
    </xf>
    <xf numFmtId="0" fontId="111" fillId="27" borderId="27" xfId="0" applyFont="1" applyBorder="1">
      <alignment vertical="center"/>
    </xf>
    <xf numFmtId="0" fontId="111" fillId="27" borderId="18" xfId="0" applyFont="1" applyBorder="1" applyAlignment="1">
      <alignment horizontal="right"/>
    </xf>
    <xf numFmtId="0" fontId="162" fillId="27" borderId="15" xfId="0" applyFont="1">
      <alignment vertical="center"/>
    </xf>
    <xf numFmtId="0" fontId="110" fillId="27" borderId="15" xfId="0" applyFont="1">
      <alignment vertical="center"/>
    </xf>
    <xf numFmtId="0" fontId="116" fillId="41" borderId="22" xfId="0" applyFont="1" applyFill="1" applyBorder="1" applyAlignment="1">
      <alignment horizontal="center" vertical="center"/>
    </xf>
    <xf numFmtId="0" fontId="104" fillId="41" borderId="20" xfId="0" applyFill="1" applyBorder="1" applyAlignment="1">
      <alignment horizontal="center" vertical="center"/>
    </xf>
    <xf numFmtId="0" fontId="132" fillId="27" borderId="25" xfId="0" applyFont="1" applyBorder="1" applyAlignment="1">
      <alignment horizontal="center" vertical="center"/>
    </xf>
    <xf numFmtId="0" fontId="132" fillId="27" borderId="15" xfId="0" applyFont="1">
      <alignment vertical="center"/>
    </xf>
    <xf numFmtId="10" fontId="111" fillId="27" borderId="24" xfId="0" applyNumberFormat="1" applyFont="1" applyBorder="1">
      <alignment vertical="center"/>
    </xf>
    <xf numFmtId="201" fontId="111" fillId="27" borderId="24" xfId="0" applyNumberFormat="1" applyFont="1" applyBorder="1">
      <alignment vertical="center"/>
    </xf>
    <xf numFmtId="0" fontId="111" fillId="27" borderId="23" xfId="0" applyFont="1" applyBorder="1">
      <alignment vertical="center"/>
    </xf>
    <xf numFmtId="10" fontId="111" fillId="27" borderId="27" xfId="0" applyNumberFormat="1" applyFont="1" applyBorder="1">
      <alignment vertical="center"/>
    </xf>
    <xf numFmtId="201" fontId="111" fillId="27" borderId="27" xfId="0" applyNumberFormat="1" applyFont="1" applyBorder="1">
      <alignment vertical="center"/>
    </xf>
    <xf numFmtId="0" fontId="111" fillId="27" borderId="26" xfId="0" applyFont="1" applyBorder="1">
      <alignment vertical="center"/>
    </xf>
    <xf numFmtId="0" fontId="163" fillId="27" borderId="17" xfId="0" applyFont="1" applyBorder="1">
      <alignment vertical="center"/>
    </xf>
    <xf numFmtId="0" fontId="111" fillId="27" borderId="17" xfId="0" applyFont="1" applyBorder="1">
      <alignment vertical="center"/>
    </xf>
    <xf numFmtId="0" fontId="113" fillId="27" borderId="15" xfId="0" applyFont="1">
      <alignment vertical="center"/>
    </xf>
    <xf numFmtId="0" fontId="105" fillId="30" borderId="15" xfId="0" applyFont="1" applyFill="1">
      <alignment vertical="center"/>
    </xf>
    <xf numFmtId="0" fontId="115" fillId="42" borderId="15" xfId="0" applyFont="1" applyFill="1">
      <alignment vertical="center"/>
    </xf>
    <xf numFmtId="0" fontId="126" fillId="42" borderId="15" xfId="0" applyFont="1" applyFill="1">
      <alignment vertical="center"/>
    </xf>
    <xf numFmtId="3" fontId="104" fillId="27" borderId="15" xfId="0" applyNumberFormat="1">
      <alignment vertical="center"/>
    </xf>
    <xf numFmtId="194" fontId="119" fillId="27" borderId="15" xfId="0" applyNumberFormat="1" applyFont="1">
      <alignment vertical="center"/>
    </xf>
    <xf numFmtId="194" fontId="104" fillId="27" borderId="15" xfId="0" applyNumberFormat="1">
      <alignment vertical="center"/>
    </xf>
    <xf numFmtId="202" fontId="104" fillId="27" borderId="15" xfId="0" applyNumberFormat="1">
      <alignment vertical="center"/>
    </xf>
    <xf numFmtId="0" fontId="119" fillId="27" borderId="15" xfId="0" applyFont="1">
      <alignment vertical="center"/>
    </xf>
    <xf numFmtId="194" fontId="165" fillId="27" borderId="15" xfId="0" applyNumberFormat="1" applyFont="1">
      <alignment vertical="center"/>
    </xf>
    <xf numFmtId="0" fontId="105" fillId="31" borderId="15" xfId="0" applyFont="1" applyFill="1">
      <alignment vertical="center"/>
    </xf>
    <xf numFmtId="0" fontId="166" fillId="31" borderId="15" xfId="0" applyFont="1" applyFill="1">
      <alignment vertical="center"/>
    </xf>
    <xf numFmtId="0" fontId="150" fillId="42" borderId="15" xfId="0" applyFont="1" applyFill="1">
      <alignment vertical="center"/>
    </xf>
    <xf numFmtId="0" fontId="165" fillId="27" borderId="15" xfId="0" applyFont="1">
      <alignment vertical="center"/>
    </xf>
    <xf numFmtId="0" fontId="125" fillId="27" borderId="15" xfId="0" applyFont="1">
      <alignment vertical="center"/>
    </xf>
    <xf numFmtId="200" fontId="125" fillId="27" borderId="15" xfId="0" applyNumberFormat="1" applyFont="1">
      <alignment vertical="center"/>
    </xf>
    <xf numFmtId="0" fontId="115" fillId="27" borderId="15" xfId="0" applyFont="1">
      <alignment vertical="center"/>
    </xf>
    <xf numFmtId="191" fontId="152" fillId="27" borderId="15" xfId="0" applyNumberFormat="1" applyFont="1">
      <alignment vertical="center"/>
    </xf>
    <xf numFmtId="0" fontId="104" fillId="43" borderId="15" xfId="0" applyFill="1">
      <alignment vertical="center"/>
    </xf>
    <xf numFmtId="2" fontId="104" fillId="43" borderId="15" xfId="0" applyNumberFormat="1" applyFill="1">
      <alignment vertical="center"/>
    </xf>
    <xf numFmtId="3" fontId="104" fillId="45" borderId="15" xfId="0" applyNumberFormat="1" applyFill="1">
      <alignment vertical="center"/>
    </xf>
    <xf numFmtId="10" fontId="104" fillId="27" borderId="15" xfId="0" applyNumberFormat="1" applyAlignment="1">
      <alignment horizontal="center" vertical="center"/>
    </xf>
    <xf numFmtId="0" fontId="169" fillId="27" borderId="15" xfId="0" applyFont="1" applyAlignment="1">
      <alignment vertical="center" wrapText="1"/>
    </xf>
    <xf numFmtId="0" fontId="170" fillId="27" borderId="15" xfId="0" applyFont="1">
      <alignment vertical="center"/>
    </xf>
    <xf numFmtId="2" fontId="104" fillId="27" borderId="15" xfId="0" applyNumberFormat="1">
      <alignment vertical="center"/>
    </xf>
    <xf numFmtId="0" fontId="169" fillId="27" borderId="15" xfId="0" applyFont="1">
      <alignment vertical="center"/>
    </xf>
    <xf numFmtId="190" fontId="104" fillId="27" borderId="15" xfId="0" applyFont="1">
      <alignment vertical="center"/>
    </xf>
    <xf numFmtId="0" fontId="109" fillId="32" borderId="15" xfId="0" applyFont="1" applyFill="1" applyAlignment="1">
      <alignment horizontal="center" vertical="center"/>
    </xf>
    <xf numFmtId="0" fontId="104" fillId="27" borderId="29" xfId="0" applyBorder="1" applyAlignment="1"/>
    <xf numFmtId="0" fontId="104" fillId="27" borderId="29" xfId="0" applyBorder="1">
      <alignment vertical="center"/>
    </xf>
    <xf numFmtId="0" fontId="111" fillId="27" borderId="29" xfId="0" applyFont="1" applyBorder="1">
      <alignment vertical="center"/>
    </xf>
    <xf numFmtId="0" fontId="180" fillId="27" borderId="15" xfId="0" applyFont="1" applyAlignment="1">
      <alignment horizontal="center" vertical="center"/>
    </xf>
    <xf numFmtId="10" fontId="104" fillId="39" borderId="15" xfId="0" applyNumberFormat="1" applyFill="1">
      <alignment vertical="center"/>
    </xf>
    <xf numFmtId="3" fontId="104" fillId="39" borderId="15" xfId="0" applyNumberFormat="1" applyFill="1">
      <alignment vertical="center"/>
    </xf>
    <xf numFmtId="0" fontId="181" fillId="27" borderId="15" xfId="0" applyFont="1" applyAlignment="1">
      <alignment horizontal="right" vertical="center"/>
    </xf>
    <xf numFmtId="0" fontId="186" fillId="27" borderId="15" xfId="0" applyFont="1" applyAlignment="1">
      <alignment horizontal="left" vertical="center" indent="1"/>
    </xf>
    <xf numFmtId="0" fontId="187" fillId="27" borderId="29" xfId="0" applyFont="1" applyBorder="1" applyAlignment="1">
      <alignment horizontal="left" vertical="center" indent="1"/>
    </xf>
    <xf numFmtId="1" fontId="124" fillId="37" borderId="15" xfId="0" applyNumberFormat="1" applyFont="1" applyFill="1" applyAlignment="1">
      <alignment horizontal="center" vertical="center"/>
    </xf>
    <xf numFmtId="0" fontId="124" fillId="37" borderId="15" xfId="0" applyFont="1" applyFill="1" applyAlignment="1">
      <alignment horizontal="center" vertical="center"/>
    </xf>
    <xf numFmtId="0" fontId="191" fillId="27" borderId="15" xfId="0" applyFont="1">
      <alignment vertical="center"/>
    </xf>
    <xf numFmtId="0" fontId="142" fillId="27" borderId="15" xfId="0" applyFont="1">
      <alignment vertical="center"/>
    </xf>
    <xf numFmtId="0" fontId="196" fillId="29" borderId="15" xfId="0" applyFont="1" applyFill="1" applyAlignment="1">
      <alignment horizontal="left" vertical="center"/>
    </xf>
    <xf numFmtId="0" fontId="197" fillId="27" borderId="15" xfId="0" applyFont="1" applyAlignment="1"/>
    <xf numFmtId="0" fontId="138" fillId="27" borderId="15" xfId="0" applyFont="1" applyAlignment="1">
      <alignment horizontal="left" vertical="center"/>
    </xf>
    <xf numFmtId="0" fontId="123" fillId="27" borderId="15" xfId="0" applyFont="1" applyAlignment="1">
      <alignment horizontal="left" vertical="center"/>
    </xf>
    <xf numFmtId="0" fontId="137" fillId="27" borderId="15" xfId="0" applyFont="1" applyAlignment="1">
      <alignment horizontal="left" vertical="center"/>
    </xf>
    <xf numFmtId="0" fontId="200" fillId="27" borderId="15" xfId="0" applyFont="1" applyAlignment="1">
      <alignment horizontal="left" vertical="center"/>
    </xf>
    <xf numFmtId="191" fontId="104" fillId="49" borderId="15" xfId="0" applyNumberFormat="1" applyFill="1">
      <alignment vertical="center"/>
    </xf>
    <xf numFmtId="0" fontId="104" fillId="50" borderId="15" xfId="0" applyFill="1">
      <alignment vertical="center"/>
    </xf>
    <xf numFmtId="0" fontId="208" fillId="27" borderId="15" xfId="0" applyFont="1" applyAlignment="1">
      <alignment horizontal="right" vertical="center"/>
    </xf>
    <xf numFmtId="0" fontId="138" fillId="29" borderId="15" xfId="0" applyFont="1" applyFill="1" applyAlignment="1">
      <alignment horizontal="right" vertical="center"/>
    </xf>
    <xf numFmtId="0" fontId="200" fillId="29" borderId="15" xfId="0" applyFont="1" applyFill="1" applyAlignment="1">
      <alignment horizontal="center" vertical="center"/>
    </xf>
    <xf numFmtId="0" fontId="138" fillId="29" borderId="32" xfId="0" applyFont="1" applyFill="1" applyBorder="1" applyAlignment="1">
      <alignment horizontal="right" vertical="center"/>
    </xf>
    <xf numFmtId="0" fontId="200" fillId="29" borderId="32" xfId="0" applyFont="1" applyFill="1" applyBorder="1" applyAlignment="1">
      <alignment horizontal="center" vertical="center"/>
    </xf>
    <xf numFmtId="0" fontId="201" fillId="40" borderId="35" xfId="0" applyFont="1" applyFill="1" applyBorder="1" applyAlignment="1">
      <alignment horizontal="left" vertical="center" indent="2"/>
    </xf>
    <xf numFmtId="0" fontId="139" fillId="40" borderId="35" xfId="0" applyFont="1" applyFill="1" applyBorder="1" applyAlignment="1">
      <alignment horizontal="center" vertical="center"/>
    </xf>
    <xf numFmtId="0" fontId="138" fillId="29" borderId="35" xfId="0" applyFont="1" applyFill="1" applyBorder="1" applyAlignment="1">
      <alignment horizontal="right" vertical="center"/>
    </xf>
    <xf numFmtId="0" fontId="152" fillId="29" borderId="35" xfId="0" applyFont="1" applyFill="1" applyBorder="1" applyAlignment="1">
      <alignment horizontal="center" vertical="center"/>
    </xf>
    <xf numFmtId="0" fontId="139" fillId="40" borderId="36" xfId="0" applyFont="1" applyFill="1" applyBorder="1" applyAlignment="1">
      <alignment horizontal="center" vertical="center"/>
    </xf>
    <xf numFmtId="0" fontId="138" fillId="40" borderId="36" xfId="0" applyFont="1" applyFill="1" applyBorder="1" applyAlignment="1">
      <alignment horizontal="center" vertical="center"/>
    </xf>
    <xf numFmtId="194" fontId="200" fillId="29" borderId="36" xfId="0" applyNumberFormat="1" applyFont="1" applyFill="1" applyBorder="1" applyAlignment="1">
      <alignment horizontal="center" vertical="center"/>
    </xf>
    <xf numFmtId="194" fontId="200" fillId="29" borderId="37" xfId="0" applyNumberFormat="1" applyFont="1" applyFill="1" applyBorder="1" applyAlignment="1">
      <alignment horizontal="center" vertical="center"/>
    </xf>
    <xf numFmtId="194" fontId="200" fillId="29" borderId="38" xfId="0" applyNumberFormat="1" applyFont="1" applyFill="1" applyBorder="1" applyAlignment="1">
      <alignment horizontal="center" vertical="center"/>
    </xf>
    <xf numFmtId="200" fontId="133" fillId="29" borderId="36" xfId="0" applyNumberFormat="1" applyFont="1" applyFill="1" applyBorder="1" applyAlignment="1">
      <alignment horizontal="center" vertical="center"/>
    </xf>
    <xf numFmtId="193" fontId="133" fillId="29" borderId="35" xfId="0" applyNumberFormat="1" applyFont="1" applyFill="1" applyBorder="1" applyAlignment="1">
      <alignment horizontal="center" vertical="center"/>
    </xf>
    <xf numFmtId="200" fontId="133" fillId="29" borderId="37" xfId="0" applyNumberFormat="1" applyFont="1" applyFill="1" applyBorder="1" applyAlignment="1">
      <alignment horizontal="center" vertical="center"/>
    </xf>
    <xf numFmtId="193" fontId="133" fillId="29" borderId="15" xfId="0" applyNumberFormat="1" applyFont="1" applyFill="1" applyAlignment="1">
      <alignment horizontal="center" vertical="center"/>
    </xf>
    <xf numFmtId="200" fontId="133" fillId="29" borderId="38" xfId="0" applyNumberFormat="1" applyFont="1" applyFill="1" applyBorder="1" applyAlignment="1">
      <alignment horizontal="center" vertical="center"/>
    </xf>
    <xf numFmtId="193" fontId="133" fillId="29" borderId="32" xfId="0" applyNumberFormat="1" applyFont="1" applyFill="1" applyBorder="1" applyAlignment="1">
      <alignment horizontal="center" vertical="center"/>
    </xf>
    <xf numFmtId="0" fontId="200" fillId="29" borderId="15" xfId="0" applyFont="1" applyFill="1">
      <alignment vertical="center"/>
    </xf>
    <xf numFmtId="0" fontId="200" fillId="27" borderId="15" xfId="0" applyFont="1" applyAlignment="1">
      <alignment horizontal="right" vertical="center"/>
    </xf>
    <xf numFmtId="0" fontId="200" fillId="29" borderId="15" xfId="0" applyFont="1" applyFill="1" applyAlignment="1">
      <alignment horizontal="left" vertical="center"/>
    </xf>
    <xf numFmtId="0" fontId="209" fillId="29" borderId="15" xfId="0" applyFont="1" applyFill="1" applyAlignment="1">
      <alignment horizontal="left" vertical="center"/>
    </xf>
    <xf numFmtId="0" fontId="142" fillId="27" borderId="15" xfId="0" applyFont="1" applyAlignment="1">
      <alignment horizontal="left" vertical="center"/>
    </xf>
    <xf numFmtId="0" fontId="152" fillId="29" borderId="15" xfId="0" applyFont="1" applyFill="1">
      <alignment vertical="center"/>
    </xf>
    <xf numFmtId="0" fontId="152" fillId="27" borderId="15" xfId="0" applyFont="1" applyAlignment="1"/>
    <xf numFmtId="0" fontId="200" fillId="27" borderId="15" xfId="0" applyFont="1" applyAlignment="1"/>
    <xf numFmtId="0" fontId="200" fillId="29" borderId="15" xfId="0" applyFont="1" applyFill="1" applyAlignment="1">
      <alignment horizontal="right" vertical="center"/>
    </xf>
    <xf numFmtId="0" fontId="200" fillId="29" borderId="15" xfId="0" applyFont="1" applyFill="1" applyAlignment="1">
      <alignment horizontal="left" vertical="center" indent="1"/>
    </xf>
    <xf numFmtId="0" fontId="200" fillId="29" borderId="32" xfId="0" applyFont="1" applyFill="1" applyBorder="1" applyAlignment="1">
      <alignment horizontal="right" vertical="center"/>
    </xf>
    <xf numFmtId="0" fontId="200" fillId="29" borderId="32" xfId="0" applyFont="1" applyFill="1" applyBorder="1" applyAlignment="1">
      <alignment horizontal="left" vertical="center" indent="1"/>
    </xf>
    <xf numFmtId="0" fontId="196" fillId="40" borderId="35" xfId="0" applyFont="1" applyFill="1" applyBorder="1" applyAlignment="1">
      <alignment horizontal="left" vertical="center" indent="1"/>
    </xf>
    <xf numFmtId="0" fontId="200" fillId="29" borderId="35" xfId="0" applyFont="1" applyFill="1" applyBorder="1" applyAlignment="1">
      <alignment horizontal="right" vertical="center"/>
    </xf>
    <xf numFmtId="0" fontId="200" fillId="29" borderId="35" xfId="0" applyFont="1" applyFill="1" applyBorder="1" applyAlignment="1">
      <alignment horizontal="left" vertical="center" indent="1"/>
    </xf>
    <xf numFmtId="0" fontId="196" fillId="40" borderId="36" xfId="0" applyFont="1" applyFill="1" applyBorder="1" applyAlignment="1">
      <alignment horizontal="center" vertical="center"/>
    </xf>
    <xf numFmtId="2" fontId="133" fillId="29" borderId="36" xfId="0" applyNumberFormat="1" applyFont="1" applyFill="1" applyBorder="1">
      <alignment vertical="center"/>
    </xf>
    <xf numFmtId="2" fontId="133" fillId="29" borderId="37" xfId="0" applyNumberFormat="1" applyFont="1" applyFill="1" applyBorder="1">
      <alignment vertical="center"/>
    </xf>
    <xf numFmtId="2" fontId="133" fillId="29" borderId="38" xfId="0" applyNumberFormat="1" applyFont="1" applyFill="1" applyBorder="1">
      <alignment vertical="center"/>
    </xf>
    <xf numFmtId="190" fontId="119" fillId="27" borderId="15" xfId="0" applyFont="1" applyAlignment="1">
      <alignment horizontal="left" vertical="center"/>
    </xf>
    <xf numFmtId="0" fontId="174" fillId="27" borderId="15" xfId="0" applyFont="1" applyAlignment="1"/>
    <xf numFmtId="0" fontId="211" fillId="27" borderId="15" xfId="0" applyFont="1" applyAlignment="1"/>
    <xf numFmtId="0" fontId="200" fillId="29" borderId="35" xfId="0" applyFont="1" applyFill="1" applyBorder="1" applyAlignment="1">
      <alignment horizontal="left" vertical="center"/>
    </xf>
    <xf numFmtId="0" fontId="200" fillId="29" borderId="32" xfId="0" applyFont="1" applyFill="1" applyBorder="1" applyAlignment="1">
      <alignment horizontal="left" vertical="center"/>
    </xf>
    <xf numFmtId="0" fontId="212" fillId="27" borderId="15" xfId="0" applyFont="1" applyAlignment="1"/>
    <xf numFmtId="0" fontId="213" fillId="27" borderId="15" xfId="0" applyFont="1" applyAlignment="1">
      <alignment horizontal="left" vertical="center" indent="7"/>
    </xf>
    <xf numFmtId="0" fontId="104" fillId="38" borderId="15" xfId="0" applyFill="1">
      <alignment vertical="center"/>
    </xf>
    <xf numFmtId="0" fontId="132" fillId="38" borderId="15" xfId="0" applyFont="1" applyFill="1" applyAlignment="1">
      <alignment horizontal="left" vertical="center"/>
    </xf>
    <xf numFmtId="193" fontId="115" fillId="49" borderId="15" xfId="0" applyNumberFormat="1" applyFont="1" applyFill="1">
      <alignment vertical="center"/>
    </xf>
    <xf numFmtId="191" fontId="143" fillId="51" borderId="15" xfId="0" applyNumberFormat="1" applyFont="1" applyFill="1">
      <alignment vertical="center"/>
    </xf>
    <xf numFmtId="0" fontId="200" fillId="27" borderId="15" xfId="0" applyFont="1" applyAlignment="1">
      <alignment horizontal="right"/>
    </xf>
    <xf numFmtId="0" fontId="215" fillId="27" borderId="15" xfId="0" applyFont="1" applyAlignment="1"/>
    <xf numFmtId="0" fontId="216" fillId="27" borderId="15" xfId="0" applyFont="1" applyAlignment="1"/>
    <xf numFmtId="0" fontId="218" fillId="27" borderId="15" xfId="0" applyFont="1" applyAlignment="1">
      <alignment horizontal="left" vertical="center" indent="1"/>
    </xf>
    <xf numFmtId="0" fontId="134" fillId="27" borderId="15" xfId="0" applyFont="1" applyAlignment="1">
      <alignment horizontal="left" vertical="center" indent="3"/>
    </xf>
    <xf numFmtId="0" fontId="200" fillId="29" borderId="15" xfId="0" applyFont="1" applyFill="1" applyAlignment="1">
      <alignment horizontal="left" vertical="center" indent="6"/>
    </xf>
    <xf numFmtId="191" fontId="134" fillId="27" borderId="15" xfId="0" applyNumberFormat="1" applyFont="1" applyAlignment="1">
      <alignment vertical="center"/>
    </xf>
    <xf numFmtId="195" fontId="111" fillId="27" borderId="15" xfId="0" applyNumberFormat="1" applyFont="1" applyAlignment="1"/>
    <xf numFmtId="191" fontId="134" fillId="27" borderId="15" xfId="0" applyNumberFormat="1" applyFont="1"/>
    <xf numFmtId="0" fontId="162" fillId="27" borderId="15" xfId="0" applyFont="1" applyAlignment="1"/>
    <xf numFmtId="191" fontId="196" fillId="27" borderId="15" xfId="0" applyNumberFormat="1" applyFont="1" applyAlignment="1">
      <alignment vertical="center"/>
    </xf>
    <xf numFmtId="0" fontId="220" fillId="27" borderId="15" xfId="0" applyFont="1" applyAlignment="1">
      <alignment horizontal="right" vertical="center" indent="1"/>
    </xf>
    <xf numFmtId="193" fontId="220" fillId="27" borderId="15" xfId="0" applyNumberFormat="1" applyFont="1" applyAlignment="1">
      <alignment horizontal="center"/>
    </xf>
    <xf numFmtId="194" fontId="220" fillId="27" borderId="15" xfId="0" applyNumberFormat="1" applyFont="1" applyAlignment="1">
      <alignment horizontal="center"/>
    </xf>
    <xf numFmtId="193" fontId="220" fillId="27" borderId="37" xfId="0" applyNumberFormat="1" applyFont="1" applyBorder="1" applyAlignment="1">
      <alignment horizontal="center"/>
    </xf>
    <xf numFmtId="0" fontId="200" fillId="27" borderId="15" xfId="0" applyFont="1" applyAlignment="1">
      <alignment horizontal="center"/>
    </xf>
    <xf numFmtId="193" fontId="220" fillId="27" borderId="32" xfId="0" applyNumberFormat="1" applyFont="1" applyBorder="1" applyAlignment="1">
      <alignment horizontal="center"/>
    </xf>
    <xf numFmtId="0" fontId="219" fillId="27" borderId="15" xfId="0" applyFont="1" applyAlignment="1">
      <alignment horizontal="center"/>
    </xf>
    <xf numFmtId="193" fontId="220" fillId="27" borderId="38" xfId="0" applyNumberFormat="1" applyFont="1" applyBorder="1" applyAlignment="1">
      <alignment horizontal="center"/>
    </xf>
    <xf numFmtId="2" fontId="220" fillId="27" borderId="32" xfId="0" applyNumberFormat="1" applyFont="1" applyBorder="1" applyAlignment="1">
      <alignment horizontal="center"/>
    </xf>
    <xf numFmtId="0" fontId="200" fillId="27" borderId="15" xfId="0" applyFont="1">
      <alignment vertical="center"/>
    </xf>
    <xf numFmtId="203" fontId="134" fillId="27" borderId="15" xfId="0" applyNumberFormat="1" applyFont="1"/>
    <xf numFmtId="204" fontId="134" fillId="27" borderId="15" xfId="0" applyNumberFormat="1" applyFont="1"/>
    <xf numFmtId="0" fontId="219" fillId="27" borderId="39" xfId="0" applyFont="1" applyBorder="1" applyAlignment="1">
      <alignment horizontal="center"/>
    </xf>
    <xf numFmtId="194" fontId="220" fillId="27" borderId="39" xfId="0" applyNumberFormat="1" applyFont="1" applyBorder="1" applyAlignment="1">
      <alignment horizontal="center"/>
    </xf>
    <xf numFmtId="0" fontId="132" fillId="27" borderId="15" xfId="0" applyFont="1" applyAlignment="1">
      <alignment horizontal="right" vertical="center"/>
    </xf>
    <xf numFmtId="2" fontId="220" fillId="27" borderId="15" xfId="0" applyNumberFormat="1" applyFont="1" applyAlignment="1">
      <alignment horizontal="center"/>
    </xf>
    <xf numFmtId="0" fontId="196" fillId="52" borderId="35" xfId="0" applyFont="1" applyFill="1" applyBorder="1" applyAlignment="1">
      <alignment horizontal="right" vertical="center"/>
    </xf>
    <xf numFmtId="0" fontId="219" fillId="53" borderId="39" xfId="0" applyFont="1" applyFill="1" applyBorder="1" applyAlignment="1">
      <alignment horizontal="center"/>
    </xf>
    <xf numFmtId="0" fontId="219" fillId="53" borderId="33" xfId="0" applyFont="1" applyFill="1" applyBorder="1" applyAlignment="1">
      <alignment horizontal="center" vertical="center"/>
    </xf>
    <xf numFmtId="0" fontId="220" fillId="27" borderId="41" xfId="0" applyFont="1" applyBorder="1" applyAlignment="1">
      <alignment horizontal="center" vertical="center"/>
    </xf>
    <xf numFmtId="0" fontId="220" fillId="27" borderId="42" xfId="0" applyFont="1" applyBorder="1" applyAlignment="1">
      <alignment horizontal="center" vertical="center"/>
    </xf>
    <xf numFmtId="0" fontId="219" fillId="53" borderId="16" xfId="0" applyFont="1" applyFill="1" applyBorder="1" applyAlignment="1">
      <alignment horizontal="center" vertical="center"/>
    </xf>
    <xf numFmtId="0" fontId="220" fillId="27" borderId="37" xfId="0" applyFont="1" applyBorder="1" applyAlignment="1">
      <alignment horizontal="center" vertical="center"/>
    </xf>
    <xf numFmtId="0" fontId="220" fillId="27" borderId="38" xfId="0" applyFont="1" applyBorder="1" applyAlignment="1">
      <alignment horizontal="center" vertical="center"/>
    </xf>
    <xf numFmtId="0" fontId="111" fillId="27" borderId="32" xfId="0" applyFont="1" applyBorder="1" applyAlignment="1">
      <alignment horizontal="center" vertical="center"/>
    </xf>
    <xf numFmtId="0" fontId="219" fillId="53" borderId="16" xfId="0" applyFont="1" applyFill="1" applyBorder="1" applyAlignment="1">
      <alignment horizontal="center"/>
    </xf>
    <xf numFmtId="0" fontId="219" fillId="53" borderId="33" xfId="0" applyFont="1" applyFill="1" applyBorder="1" applyAlignment="1">
      <alignment horizontal="center"/>
    </xf>
    <xf numFmtId="194" fontId="220" fillId="27" borderId="41" xfId="0" applyNumberFormat="1" applyFont="1" applyBorder="1" applyAlignment="1">
      <alignment horizontal="center"/>
    </xf>
    <xf numFmtId="194" fontId="220" fillId="27" borderId="42" xfId="0" applyNumberFormat="1" applyFont="1" applyBorder="1" applyAlignment="1">
      <alignment horizontal="center"/>
    </xf>
    <xf numFmtId="193" fontId="220" fillId="27" borderId="41" xfId="0" applyNumberFormat="1" applyFont="1" applyBorder="1" applyAlignment="1">
      <alignment horizontal="center"/>
    </xf>
    <xf numFmtId="193" fontId="220" fillId="27" borderId="42" xfId="0" applyNumberFormat="1" applyFont="1" applyBorder="1" applyAlignment="1">
      <alignment horizontal="center"/>
    </xf>
    <xf numFmtId="10" fontId="200" fillId="27" borderId="39" xfId="0" applyNumberFormat="1" applyFont="1" applyBorder="1" applyAlignment="1">
      <alignment horizontal="left"/>
    </xf>
    <xf numFmtId="0" fontId="111" fillId="27" borderId="15" xfId="0" applyFont="1" applyAlignment="1">
      <alignment horizontal="center"/>
    </xf>
    <xf numFmtId="0" fontId="111" fillId="27" borderId="44" xfId="0" applyFont="1" applyBorder="1">
      <alignment vertical="center"/>
    </xf>
    <xf numFmtId="0" fontId="221" fillId="27" borderId="35" xfId="0" applyFont="1" applyBorder="1" applyAlignment="1">
      <alignment horizontal="center" vertical="center"/>
    </xf>
    <xf numFmtId="10" fontId="111" fillId="54" borderId="15" xfId="0" applyNumberFormat="1" applyFont="1" applyFill="1">
      <alignment vertical="center"/>
    </xf>
    <xf numFmtId="10" fontId="111" fillId="54" borderId="32" xfId="0" applyNumberFormat="1" applyFont="1" applyFill="1" applyBorder="1">
      <alignment vertical="center"/>
    </xf>
    <xf numFmtId="10" fontId="111" fillId="54" borderId="35" xfId="0" applyNumberFormat="1" applyFont="1" applyFill="1" applyBorder="1">
      <alignment vertical="center"/>
    </xf>
    <xf numFmtId="0" fontId="111" fillId="38" borderId="17" xfId="0" applyFont="1" applyFill="1" applyBorder="1">
      <alignment vertical="center"/>
    </xf>
    <xf numFmtId="3" fontId="111" fillId="27" borderId="18" xfId="0" applyNumberFormat="1" applyFont="1" applyBorder="1">
      <alignment vertical="center"/>
    </xf>
    <xf numFmtId="191" fontId="140" fillId="29" borderId="15" xfId="0" applyNumberFormat="1" applyFont="1" applyFill="1">
      <alignment vertical="center"/>
    </xf>
    <xf numFmtId="191" fontId="222" fillId="39" borderId="15" xfId="0" applyNumberFormat="1" applyFont="1" applyFill="1">
      <alignment vertical="center"/>
    </xf>
    <xf numFmtId="191" fontId="140" fillId="29" borderId="18" xfId="0" applyNumberFormat="1" applyFont="1" applyFill="1" applyBorder="1">
      <alignment vertical="center"/>
    </xf>
    <xf numFmtId="191" fontId="222" fillId="39" borderId="18" xfId="0" applyNumberFormat="1" applyFont="1" applyFill="1" applyBorder="1">
      <alignment vertical="center"/>
    </xf>
    <xf numFmtId="0" fontId="131" fillId="27" borderId="15" xfId="0" applyFont="1" applyAlignment="1">
      <alignment horizontal="left" vertical="center" indent="5"/>
    </xf>
    <xf numFmtId="195" fontId="140" fillId="29" borderId="15" xfId="0" applyNumberFormat="1" applyFont="1" applyFill="1">
      <alignment vertical="center"/>
    </xf>
    <xf numFmtId="195" fontId="221" fillId="39" borderId="15" xfId="0" applyNumberFormat="1" applyFont="1" applyFill="1">
      <alignment vertical="center"/>
    </xf>
    <xf numFmtId="191" fontId="159" fillId="27" borderId="15" xfId="0" applyNumberFormat="1" applyFont="1" applyAlignment="1">
      <alignment vertical="center"/>
    </xf>
    <xf numFmtId="191" fontId="159" fillId="27" borderId="18" xfId="0" applyNumberFormat="1" applyFont="1" applyBorder="1" applyAlignment="1">
      <alignment vertical="center"/>
    </xf>
    <xf numFmtId="0" fontId="223" fillId="27" borderId="15" xfId="0" applyFont="1" applyAlignment="1">
      <alignment horizontal="right" vertical="center" indent="1"/>
    </xf>
    <xf numFmtId="0" fontId="110" fillId="27" borderId="39" xfId="0" applyFont="1" applyBorder="1" applyAlignment="1">
      <alignment horizontal="center" vertical="center"/>
    </xf>
    <xf numFmtId="0" fontId="111" fillId="27" borderId="39" xfId="0" applyFont="1" applyBorder="1" applyAlignment="1">
      <alignment horizontal="center" vertical="center"/>
    </xf>
    <xf numFmtId="0" fontId="143" fillId="40" borderId="17" xfId="0" applyFont="1" applyFill="1" applyBorder="1" applyAlignment="1">
      <alignment horizontal="left" vertical="center" indent="1"/>
    </xf>
    <xf numFmtId="0" fontId="111" fillId="40" borderId="15" xfId="0" applyFont="1" applyFill="1">
      <alignment vertical="center"/>
    </xf>
    <xf numFmtId="0" fontId="225" fillId="40" borderId="15" xfId="0" applyFont="1" applyFill="1" applyAlignment="1"/>
    <xf numFmtId="0" fontId="225" fillId="40" borderId="15" xfId="0" applyFont="1" applyFill="1">
      <alignment vertical="center"/>
    </xf>
    <xf numFmtId="0" fontId="225" fillId="27" borderId="15" xfId="0" applyFont="1">
      <alignment vertical="center"/>
    </xf>
    <xf numFmtId="0" fontId="209" fillId="40" borderId="15" xfId="0" applyFont="1" applyFill="1" applyAlignment="1">
      <alignment horizontal="left" vertical="center" indent="1"/>
    </xf>
    <xf numFmtId="200" fontId="111" fillId="27" borderId="15" xfId="0" applyNumberFormat="1" applyFont="1" applyAlignment="1">
      <alignment horizontal="left" vertical="center" indent="1"/>
    </xf>
    <xf numFmtId="0" fontId="156" fillId="55" borderId="45" xfId="0" applyFont="1" applyFill="1" applyBorder="1">
      <alignment vertical="center"/>
    </xf>
    <xf numFmtId="0" fontId="158" fillId="55" borderId="45" xfId="0" applyFont="1" applyFill="1" applyBorder="1">
      <alignment vertical="center"/>
    </xf>
    <xf numFmtId="0" fontId="133" fillId="27" borderId="15" xfId="0" applyFont="1">
      <alignment vertical="center"/>
    </xf>
    <xf numFmtId="0" fontId="111" fillId="40" borderId="45" xfId="0" applyFont="1" applyFill="1" applyBorder="1">
      <alignment vertical="center"/>
    </xf>
    <xf numFmtId="0" fontId="111" fillId="40" borderId="45" xfId="0" applyFont="1" applyFill="1" applyBorder="1" applyAlignment="1"/>
    <xf numFmtId="0" fontId="111" fillId="40" borderId="46" xfId="0" applyFont="1" applyFill="1" applyBorder="1">
      <alignment vertical="center"/>
    </xf>
    <xf numFmtId="0" fontId="111" fillId="40" borderId="46" xfId="0" applyFont="1" applyFill="1" applyBorder="1" applyAlignment="1"/>
    <xf numFmtId="0" fontId="224" fillId="40" borderId="46" xfId="0" applyFont="1" applyFill="1" applyBorder="1" applyAlignment="1">
      <alignment horizontal="left" vertical="center" indent="1"/>
    </xf>
    <xf numFmtId="0" fontId="223" fillId="27" borderId="15" xfId="0" applyFont="1">
      <alignment vertical="center"/>
    </xf>
    <xf numFmtId="0" fontId="111" fillId="27" borderId="15" xfId="0" applyFont="1" applyAlignment="1">
      <alignment horizontal="left" vertical="center" indent="11"/>
    </xf>
    <xf numFmtId="0" fontId="229" fillId="40" borderId="46" xfId="0" applyFont="1" applyFill="1" applyBorder="1" applyAlignment="1">
      <alignment horizontal="left" vertical="center" indent="1"/>
    </xf>
    <xf numFmtId="0" fontId="131" fillId="27" borderId="15" xfId="0" applyFont="1" applyAlignment="1">
      <alignment horizontal="center" vertical="center"/>
    </xf>
    <xf numFmtId="0" fontId="110" fillId="56" borderId="15" xfId="0" applyFont="1" applyFill="1">
      <alignment vertical="center"/>
    </xf>
    <xf numFmtId="0" fontId="148" fillId="27" borderId="29" xfId="0" applyFont="1" applyBorder="1" applyAlignment="1"/>
    <xf numFmtId="0" fontId="148" fillId="27" borderId="29" xfId="0" applyFont="1" applyBorder="1">
      <alignment vertical="center"/>
    </xf>
    <xf numFmtId="0" fontId="148" fillId="27" borderId="15" xfId="0" applyFont="1">
      <alignment vertical="center"/>
    </xf>
    <xf numFmtId="0" fontId="230" fillId="27" borderId="15" xfId="0" applyFont="1">
      <alignment vertical="center"/>
    </xf>
    <xf numFmtId="0" fontId="231" fillId="27" borderId="15" xfId="0" applyFont="1" applyAlignment="1"/>
    <xf numFmtId="0" fontId="231" fillId="27" borderId="15" xfId="0" applyFont="1">
      <alignment vertical="center"/>
    </xf>
    <xf numFmtId="0" fontId="179" fillId="27" borderId="15" xfId="0" applyFont="1">
      <alignment vertical="center"/>
    </xf>
    <xf numFmtId="191" fontId="232" fillId="39" borderId="15" xfId="0" applyNumberFormat="1" applyFont="1" applyFill="1">
      <alignment vertical="center"/>
    </xf>
    <xf numFmtId="191" fontId="233" fillId="27" borderId="15" xfId="0" applyNumberFormat="1" applyFont="1"/>
    <xf numFmtId="0" fontId="179" fillId="27" borderId="15" xfId="0" applyFont="1" applyAlignment="1">
      <alignment horizontal="right"/>
    </xf>
    <xf numFmtId="198" fontId="179" fillId="27" borderId="15" xfId="0" applyNumberFormat="1" applyFont="1"/>
    <xf numFmtId="198" fontId="179" fillId="27" borderId="15" xfId="0" applyNumberFormat="1" applyFont="1" applyAlignment="1"/>
    <xf numFmtId="0" fontId="111" fillId="46" borderId="46" xfId="0" applyFont="1" applyFill="1" applyBorder="1" applyAlignment="1"/>
    <xf numFmtId="0" fontId="115" fillId="59" borderId="15" xfId="0" applyFont="1" applyFill="1">
      <alignment vertical="center"/>
    </xf>
    <xf numFmtId="190" fontId="104" fillId="50" borderId="46" xfId="0" applyFont="1" applyFill="1" applyBorder="1">
      <alignment vertical="center"/>
    </xf>
    <xf numFmtId="190" fontId="104" fillId="56" borderId="46" xfId="0" applyFont="1" applyFill="1" applyBorder="1">
      <alignment vertical="center"/>
    </xf>
    <xf numFmtId="0" fontId="233" fillId="27" borderId="15" xfId="0" applyFont="1">
      <alignment vertical="center"/>
    </xf>
    <xf numFmtId="0" fontId="231" fillId="50" borderId="15" xfId="0" applyFont="1" applyFill="1">
      <alignment vertical="center"/>
    </xf>
    <xf numFmtId="0" fontId="111" fillId="46" borderId="15" xfId="0" applyFont="1" applyFill="1" applyAlignment="1"/>
    <xf numFmtId="3" fontId="150" fillId="58" borderId="15" xfId="0" applyNumberFormat="1" applyFont="1" applyFill="1">
      <alignment vertical="center"/>
    </xf>
    <xf numFmtId="3" fontId="235" fillId="46" borderId="15" xfId="0" applyNumberFormat="1" applyFont="1" applyFill="1"/>
    <xf numFmtId="3" fontId="203" fillId="46" borderId="15" xfId="0" applyNumberFormat="1" applyFont="1" applyFill="1" applyAlignment="1"/>
    <xf numFmtId="0" fontId="115" fillId="46" borderId="15" xfId="0" applyFont="1" applyFill="1">
      <alignment vertical="center"/>
    </xf>
    <xf numFmtId="3" fontId="115" fillId="57" borderId="15" xfId="0" applyNumberFormat="1" applyFont="1" applyFill="1">
      <alignment vertical="center"/>
    </xf>
    <xf numFmtId="0" fontId="115" fillId="46" borderId="15" xfId="0" applyFont="1" applyFill="1" applyAlignment="1"/>
    <xf numFmtId="0" fontId="231" fillId="46" borderId="15" xfId="0" applyFont="1" applyFill="1" applyAlignment="1"/>
    <xf numFmtId="191" fontId="233" fillId="46" borderId="15" xfId="0" applyNumberFormat="1" applyFont="1" applyFill="1"/>
    <xf numFmtId="3" fontId="175" fillId="46" borderId="15" xfId="0" applyNumberFormat="1" applyFont="1" applyFill="1"/>
    <xf numFmtId="3" fontId="175" fillId="46" borderId="15" xfId="0" applyNumberFormat="1" applyFont="1" applyFill="1" applyAlignment="1"/>
    <xf numFmtId="3" fontId="178" fillId="46" borderId="15" xfId="0" applyNumberFormat="1" applyFont="1" applyFill="1"/>
    <xf numFmtId="3" fontId="178" fillId="46" borderId="15" xfId="0" applyNumberFormat="1" applyFont="1" applyFill="1" applyAlignment="1"/>
    <xf numFmtId="0" fontId="115" fillId="38" borderId="45" xfId="0" applyFont="1" applyFill="1" applyBorder="1">
      <alignment vertical="center"/>
    </xf>
    <xf numFmtId="0" fontId="104" fillId="38" borderId="45" xfId="0" applyFill="1" applyBorder="1">
      <alignment vertical="center"/>
    </xf>
    <xf numFmtId="0" fontId="135" fillId="50" borderId="15" xfId="0" applyFont="1" applyFill="1">
      <alignment vertical="center"/>
    </xf>
    <xf numFmtId="3" fontId="125" fillId="60" borderId="15" xfId="0" applyNumberFormat="1" applyFont="1" applyFill="1">
      <alignment vertical="center"/>
    </xf>
    <xf numFmtId="3" fontId="115" fillId="49" borderId="15" xfId="0" applyNumberFormat="1" applyFont="1" applyFill="1">
      <alignment vertical="center"/>
    </xf>
    <xf numFmtId="0" fontId="132" fillId="50" borderId="15" xfId="0" applyFont="1" applyFill="1" applyAlignment="1"/>
    <xf numFmtId="0" fontId="104" fillId="50" borderId="15" xfId="0" applyFill="1" applyAlignment="1"/>
    <xf numFmtId="191" fontId="234" fillId="50" borderId="15" xfId="0" applyNumberFormat="1" applyFont="1" applyFill="1"/>
    <xf numFmtId="0" fontId="231" fillId="50" borderId="15" xfId="0" applyFont="1" applyFill="1" applyAlignment="1"/>
    <xf numFmtId="191" fontId="233" fillId="50" borderId="15" xfId="0" applyNumberFormat="1" applyFont="1" applyFill="1"/>
    <xf numFmtId="0" fontId="175" fillId="46" borderId="15" xfId="0" applyFont="1" applyFill="1" applyAlignment="1">
      <alignment horizontal="left"/>
    </xf>
    <xf numFmtId="0" fontId="178" fillId="46" borderId="15" xfId="0" applyFont="1" applyFill="1" applyAlignment="1">
      <alignment horizontal="left"/>
    </xf>
    <xf numFmtId="0" fontId="132" fillId="50" borderId="46" xfId="0" applyFont="1" applyFill="1" applyBorder="1" applyAlignment="1"/>
    <xf numFmtId="0" fontId="231" fillId="50" borderId="46" xfId="0" applyFont="1" applyFill="1" applyBorder="1" applyAlignment="1"/>
    <xf numFmtId="191" fontId="233" fillId="50" borderId="46" xfId="0" applyNumberFormat="1" applyFont="1" applyFill="1" applyBorder="1"/>
    <xf numFmtId="0" fontId="104" fillId="46" borderId="15" xfId="0" applyFill="1" applyAlignment="1"/>
    <xf numFmtId="191" fontId="234" fillId="46" borderId="15" xfId="0" applyNumberFormat="1" applyFont="1" applyFill="1"/>
    <xf numFmtId="3" fontId="125" fillId="58" borderId="15" xfId="0" applyNumberFormat="1" applyFont="1" applyFill="1">
      <alignment vertical="center"/>
    </xf>
    <xf numFmtId="0" fontId="115" fillId="27" borderId="15" xfId="0" applyFont="1" applyAlignment="1">
      <alignment horizontal="center" vertical="center"/>
    </xf>
    <xf numFmtId="9" fontId="104" fillId="50" borderId="15" xfId="0" applyNumberFormat="1" applyFill="1" applyAlignment="1">
      <alignment horizontal="center" vertical="center"/>
    </xf>
    <xf numFmtId="202" fontId="115" fillId="50" borderId="15" xfId="0" applyNumberFormat="1" applyFont="1" applyFill="1" applyAlignment="1">
      <alignment horizontal="center" vertical="center"/>
    </xf>
    <xf numFmtId="0" fontId="132" fillId="27" borderId="15" xfId="0" applyFont="1" applyAlignment="1">
      <alignment horizontal="left" vertical="center"/>
    </xf>
    <xf numFmtId="190" fontId="115" fillId="50" borderId="46" xfId="0" applyFont="1" applyFill="1" applyBorder="1">
      <alignment vertical="center"/>
    </xf>
    <xf numFmtId="3" fontId="149" fillId="36" borderId="15" xfId="0" applyNumberFormat="1" applyFont="1" applyFill="1" applyAlignment="1">
      <alignment horizontal="center" vertical="center"/>
    </xf>
    <xf numFmtId="3" fontId="140" fillId="36" borderId="15" xfId="0" applyNumberFormat="1" applyFont="1" applyFill="1">
      <alignment vertical="center"/>
    </xf>
    <xf numFmtId="3" fontId="115" fillId="46" borderId="15" xfId="0" applyNumberFormat="1" applyFont="1" applyFill="1">
      <alignment vertical="center"/>
    </xf>
    <xf numFmtId="0" fontId="233" fillId="27" borderId="15" xfId="0" applyFont="1" applyAlignment="1"/>
    <xf numFmtId="198" fontId="223" fillId="27" borderId="15" xfId="0" applyNumberFormat="1" applyFont="1" applyAlignment="1">
      <alignment horizontal="center" vertical="center"/>
    </xf>
    <xf numFmtId="198" fontId="223" fillId="27" borderId="15" xfId="0" applyNumberFormat="1" applyFont="1">
      <alignment vertical="center"/>
    </xf>
    <xf numFmtId="0" fontId="111" fillId="38" borderId="45" xfId="0" applyFont="1" applyFill="1" applyBorder="1">
      <alignment vertical="center"/>
    </xf>
    <xf numFmtId="198" fontId="236" fillId="27" borderId="15" xfId="0" applyNumberFormat="1" applyFont="1" applyAlignment="1">
      <alignment horizontal="center" vertical="center"/>
    </xf>
    <xf numFmtId="198" fontId="236" fillId="27" borderId="15" xfId="0" applyNumberFormat="1" applyFont="1">
      <alignment vertical="center"/>
    </xf>
    <xf numFmtId="0" fontId="132" fillId="59" borderId="15" xfId="0" applyFont="1" applyFill="1">
      <alignment vertical="center"/>
    </xf>
    <xf numFmtId="198" fontId="236" fillId="46" borderId="15" xfId="0" applyNumberFormat="1" applyFont="1" applyFill="1" applyAlignment="1">
      <alignment horizontal="center" vertical="center"/>
    </xf>
    <xf numFmtId="198" fontId="236" fillId="46" borderId="15" xfId="0" applyNumberFormat="1" applyFont="1" applyFill="1">
      <alignment vertical="center"/>
    </xf>
    <xf numFmtId="3" fontId="175" fillId="46" borderId="15" xfId="0" applyNumberFormat="1" applyFont="1" applyFill="1">
      <alignment vertical="center"/>
    </xf>
    <xf numFmtId="0" fontId="233" fillId="27" borderId="15" xfId="0" applyFont="1" applyAlignment="1">
      <alignment horizontal="right" vertical="center"/>
    </xf>
    <xf numFmtId="0" fontId="175" fillId="46" borderId="15" xfId="0" applyFont="1" applyFill="1">
      <alignment vertical="center"/>
    </xf>
    <xf numFmtId="0" fontId="178" fillId="46" borderId="46" xfId="0" applyFont="1" applyFill="1" applyBorder="1">
      <alignment vertical="center"/>
    </xf>
    <xf numFmtId="198" fontId="236" fillId="46" borderId="46" xfId="0" applyNumberFormat="1" applyFont="1" applyFill="1" applyBorder="1" applyAlignment="1">
      <alignment horizontal="center" vertical="center"/>
    </xf>
    <xf numFmtId="198" fontId="236" fillId="46" borderId="46" xfId="0" applyNumberFormat="1" applyFont="1" applyFill="1" applyBorder="1">
      <alignment vertical="center"/>
    </xf>
    <xf numFmtId="3" fontId="178" fillId="46" borderId="46" xfId="0" applyNumberFormat="1" applyFont="1" applyFill="1" applyBorder="1">
      <alignment vertical="center"/>
    </xf>
    <xf numFmtId="0" fontId="137" fillId="27" borderId="15" xfId="0" applyFont="1">
      <alignment vertical="center"/>
    </xf>
    <xf numFmtId="0" fontId="138" fillId="27" borderId="15" xfId="0" applyFont="1">
      <alignment vertical="center"/>
    </xf>
    <xf numFmtId="0" fontId="237" fillId="27" borderId="29" xfId="0" applyFont="1" applyBorder="1" applyAlignment="1">
      <alignment horizontal="left" vertical="center" indent="1"/>
    </xf>
    <xf numFmtId="0" fontId="240" fillId="27" borderId="15" xfId="0" applyFont="1">
      <alignment vertical="center"/>
    </xf>
    <xf numFmtId="0" fontId="196" fillId="27" borderId="15" xfId="0" quotePrefix="1" applyFont="1" applyAlignment="1">
      <alignment horizontal="left" vertical="center" indent="1"/>
    </xf>
    <xf numFmtId="0" fontId="196" fillId="27" borderId="15" xfId="0" quotePrefix="1" applyFont="1" applyAlignment="1">
      <alignment horizontal="left" vertical="center" indent="2"/>
    </xf>
    <xf numFmtId="0" fontId="196" fillId="27" borderId="15" xfId="0" applyFont="1" applyAlignment="1">
      <alignment horizontal="left" vertical="center" indent="1"/>
    </xf>
    <xf numFmtId="198" fontId="200" fillId="27" borderId="15" xfId="0" applyNumberFormat="1" applyFont="1" applyAlignment="1">
      <alignment horizontal="center" vertical="center"/>
    </xf>
    <xf numFmtId="198" fontId="200" fillId="27" borderId="15" xfId="0" applyNumberFormat="1" applyFont="1">
      <alignment vertical="center"/>
    </xf>
    <xf numFmtId="0" fontId="200" fillId="27" borderId="15" xfId="0" quotePrefix="1" applyFont="1" applyAlignment="1">
      <alignment horizontal="left" vertical="center" indent="2"/>
    </xf>
    <xf numFmtId="0" fontId="200" fillId="27" borderId="15" xfId="0" quotePrefix="1" applyFont="1" applyAlignment="1">
      <alignment horizontal="left" indent="2"/>
    </xf>
    <xf numFmtId="0" fontId="104" fillId="27" borderId="15" xfId="0" applyAlignment="1">
      <alignment wrapText="1"/>
    </xf>
    <xf numFmtId="0" fontId="109" fillId="32" borderId="36" xfId="0" applyFont="1" applyFill="1" applyBorder="1" applyAlignment="1">
      <alignment horizontal="center" vertical="center"/>
    </xf>
    <xf numFmtId="0" fontId="185" fillId="32" borderId="36" xfId="0" applyFont="1" applyFill="1" applyBorder="1" applyAlignment="1">
      <alignment horizontal="center" vertical="center"/>
    </xf>
    <xf numFmtId="0" fontId="109" fillId="32" borderId="47" xfId="0" applyFont="1" applyFill="1" applyBorder="1" applyAlignment="1">
      <alignment horizontal="center" vertical="center"/>
    </xf>
    <xf numFmtId="0" fontId="109" fillId="32" borderId="43" xfId="0" applyFont="1" applyFill="1" applyBorder="1" applyAlignment="1">
      <alignment horizontal="center" vertical="center"/>
    </xf>
    <xf numFmtId="0" fontId="104" fillId="27" borderId="33" xfId="0" applyBorder="1" applyAlignment="1">
      <alignment horizontal="center" vertical="center"/>
    </xf>
    <xf numFmtId="0" fontId="113" fillId="27" borderId="33" xfId="0" applyFont="1" applyBorder="1" applyAlignment="1">
      <alignment horizontal="center" vertical="center"/>
    </xf>
    <xf numFmtId="3" fontId="104" fillId="27" borderId="48" xfId="0" applyNumberFormat="1" applyBorder="1" applyAlignment="1">
      <alignment horizontal="right" vertical="center"/>
    </xf>
    <xf numFmtId="0" fontId="111" fillId="27" borderId="48" xfId="0" applyFont="1" applyBorder="1" applyAlignment="1">
      <alignment horizontal="left" vertical="center" wrapText="1"/>
    </xf>
    <xf numFmtId="0" fontId="112" fillId="27" borderId="48" xfId="0" applyFont="1" applyBorder="1" applyAlignment="1">
      <alignment horizontal="center" vertical="center"/>
    </xf>
    <xf numFmtId="192" fontId="104" fillId="27" borderId="48" xfId="0" applyNumberFormat="1" applyBorder="1" applyAlignment="1">
      <alignment horizontal="right" vertical="center"/>
    </xf>
    <xf numFmtId="191" fontId="104" fillId="27" borderId="48" xfId="0" applyNumberFormat="1" applyBorder="1" applyAlignment="1">
      <alignment horizontal="right" vertical="center"/>
    </xf>
    <xf numFmtId="191" fontId="111" fillId="27" borderId="48" xfId="0" applyNumberFormat="1" applyFont="1" applyBorder="1" applyAlignment="1">
      <alignment horizontal="left" vertical="center" wrapText="1"/>
    </xf>
    <xf numFmtId="0" fontId="115" fillId="36" borderId="48" xfId="0" applyFont="1" applyFill="1" applyBorder="1" applyAlignment="1">
      <alignment horizontal="center" vertical="center"/>
    </xf>
    <xf numFmtId="3" fontId="115" fillId="36" borderId="48" xfId="0" applyNumberFormat="1" applyFont="1" applyFill="1" applyBorder="1" applyAlignment="1">
      <alignment horizontal="right" vertical="center"/>
    </xf>
    <xf numFmtId="0" fontId="115" fillId="36" borderId="48" xfId="0" applyFont="1" applyFill="1" applyBorder="1" applyAlignment="1">
      <alignment vertical="center" wrapText="1"/>
    </xf>
    <xf numFmtId="3" fontId="117" fillId="36" borderId="48" xfId="0" applyNumberFormat="1" applyFont="1" applyFill="1" applyBorder="1" applyAlignment="1">
      <alignment horizontal="right" vertical="center"/>
    </xf>
    <xf numFmtId="0" fontId="112" fillId="27" borderId="48" xfId="0" applyBorder="1" applyAlignment="1">
      <alignment horizontal="center" vertical="center"/>
    </xf>
    <xf numFmtId="3" fontId="242" fillId="27" borderId="48" xfId="0" applyNumberFormat="1" applyFont="1" applyBorder="1" applyAlignment="1">
      <alignment horizontal="right" vertical="center"/>
    </xf>
    <xf numFmtId="4" fontId="242" fillId="27" borderId="48" xfId="0" applyNumberFormat="1" applyFont="1" applyBorder="1" applyAlignment="1">
      <alignment horizontal="right" vertical="center"/>
    </xf>
    <xf numFmtId="191" fontId="242" fillId="27" borderId="48" xfId="0" applyNumberFormat="1" applyFont="1" applyBorder="1" applyAlignment="1">
      <alignment horizontal="right" vertical="center"/>
    </xf>
    <xf numFmtId="0" fontId="223" fillId="27" borderId="18" xfId="0" applyFont="1" applyBorder="1" applyAlignment="1">
      <alignment horizontal="right" vertical="center" indent="1"/>
    </xf>
    <xf numFmtId="0" fontId="174" fillId="27" borderId="15" xfId="0" applyFont="1" applyAlignment="1">
      <alignment horizontal="right"/>
    </xf>
    <xf numFmtId="0" fontId="243" fillId="27" borderId="15" xfId="0" applyFont="1">
      <alignment vertical="center"/>
    </xf>
    <xf numFmtId="192" fontId="104" fillId="27" borderId="30" xfId="0" applyNumberFormat="1" applyBorder="1" applyAlignment="1">
      <alignment horizontal="center" vertical="center"/>
    </xf>
    <xf numFmtId="192" fontId="104" fillId="27" borderId="31" xfId="0" applyNumberFormat="1" applyBorder="1" applyAlignment="1">
      <alignment horizontal="center" vertical="center"/>
    </xf>
    <xf numFmtId="3" fontId="104" fillId="27" borderId="30" xfId="0" applyNumberFormat="1" applyBorder="1" applyAlignment="1">
      <alignment horizontal="center" vertical="center"/>
    </xf>
    <xf numFmtId="3" fontId="104" fillId="27" borderId="31" xfId="0" applyNumberFormat="1" applyBorder="1" applyAlignment="1">
      <alignment horizontal="center" vertical="center"/>
    </xf>
    <xf numFmtId="192" fontId="104" fillId="27" borderId="15" xfId="0" applyNumberFormat="1" applyAlignment="1">
      <alignment horizontal="center" vertical="center"/>
    </xf>
    <xf numFmtId="0" fontId="104" fillId="27" borderId="52" xfId="0" applyBorder="1" applyAlignment="1">
      <alignment horizontal="right" vertical="center"/>
    </xf>
    <xf numFmtId="0" fontId="104" fillId="27" borderId="51" xfId="0" applyBorder="1">
      <alignment vertical="center"/>
    </xf>
    <xf numFmtId="0" fontId="104" fillId="27" borderId="52" xfId="0" applyBorder="1">
      <alignment vertical="center"/>
    </xf>
    <xf numFmtId="0" fontId="244" fillId="27" borderId="51" xfId="0" applyFont="1" applyBorder="1">
      <alignment vertical="center"/>
    </xf>
    <xf numFmtId="0" fontId="124" fillId="47" borderId="51" xfId="0" applyFont="1" applyFill="1" applyBorder="1">
      <alignment vertical="center"/>
    </xf>
    <xf numFmtId="0" fontId="124" fillId="47" borderId="15" xfId="0" applyFont="1" applyFill="1" applyAlignment="1">
      <alignment horizontal="center" vertical="center"/>
    </xf>
    <xf numFmtId="0" fontId="124" fillId="47" borderId="52" xfId="0" applyFont="1" applyFill="1" applyBorder="1" applyAlignment="1">
      <alignment horizontal="center" vertical="center"/>
    </xf>
    <xf numFmtId="0" fontId="176" fillId="48" borderId="51" xfId="0" applyFont="1" applyFill="1" applyBorder="1">
      <alignment vertical="center"/>
    </xf>
    <xf numFmtId="192" fontId="104" fillId="48" borderId="15" xfId="0" applyNumberFormat="1" applyFill="1" applyAlignment="1">
      <alignment horizontal="center" vertical="center"/>
    </xf>
    <xf numFmtId="192" fontId="104" fillId="48" borderId="52" xfId="0" applyNumberFormat="1" applyFill="1" applyBorder="1" applyAlignment="1">
      <alignment horizontal="center" vertical="center"/>
    </xf>
    <xf numFmtId="0" fontId="177" fillId="27" borderId="53" xfId="0" applyFont="1" applyBorder="1">
      <alignment vertical="center"/>
    </xf>
    <xf numFmtId="192" fontId="104" fillId="27" borderId="54" xfId="0" applyNumberFormat="1" applyBorder="1" applyAlignment="1">
      <alignment horizontal="center" vertical="center"/>
    </xf>
    <xf numFmtId="0" fontId="175" fillId="27" borderId="53" xfId="0" applyFont="1" applyBorder="1">
      <alignment vertical="center"/>
    </xf>
    <xf numFmtId="0" fontId="178" fillId="27" borderId="55" xfId="0" applyFont="1" applyBorder="1">
      <alignment vertical="center"/>
    </xf>
    <xf numFmtId="192" fontId="104" fillId="27" borderId="56" xfId="0" applyNumberFormat="1" applyBorder="1" applyAlignment="1">
      <alignment horizontal="center" vertical="center"/>
    </xf>
    <xf numFmtId="0" fontId="178" fillId="27" borderId="51" xfId="0" applyFont="1" applyBorder="1">
      <alignment vertical="center"/>
    </xf>
    <xf numFmtId="192" fontId="104" fillId="27" borderId="52" xfId="0" applyNumberFormat="1" applyBorder="1" applyAlignment="1">
      <alignment horizontal="center" vertical="center"/>
    </xf>
    <xf numFmtId="3" fontId="104" fillId="48" borderId="15" xfId="0" applyNumberFormat="1" applyFill="1" applyAlignment="1">
      <alignment horizontal="center" vertical="center"/>
    </xf>
    <xf numFmtId="3" fontId="104" fillId="48" borderId="52" xfId="0" applyNumberFormat="1" applyFill="1" applyBorder="1" applyAlignment="1">
      <alignment horizontal="center" vertical="center"/>
    </xf>
    <xf numFmtId="3" fontId="104" fillId="27" borderId="54" xfId="0" applyNumberFormat="1" applyBorder="1" applyAlignment="1">
      <alignment horizontal="center" vertical="center"/>
    </xf>
    <xf numFmtId="3" fontId="104" fillId="27" borderId="56" xfId="0" applyNumberFormat="1" applyBorder="1" applyAlignment="1">
      <alignment horizontal="center" vertical="center"/>
    </xf>
    <xf numFmtId="0" fontId="104" fillId="27" borderId="57" xfId="0" applyBorder="1">
      <alignment vertical="center"/>
    </xf>
    <xf numFmtId="0" fontId="104" fillId="27" borderId="58" xfId="0" applyBorder="1">
      <alignment vertical="center"/>
    </xf>
    <xf numFmtId="0" fontId="104" fillId="27" borderId="59" xfId="0" applyBorder="1">
      <alignment vertical="center"/>
    </xf>
    <xf numFmtId="0" fontId="176" fillId="27" borderId="15" xfId="0" applyFont="1">
      <alignment vertical="center"/>
    </xf>
    <xf numFmtId="0" fontId="211" fillId="27" borderId="15" xfId="0" applyFont="1">
      <alignment vertical="center"/>
    </xf>
    <xf numFmtId="0" fontId="176" fillId="27" borderId="15" xfId="0" applyFont="1" applyAlignment="1"/>
    <xf numFmtId="0" fontId="112" fillId="27" borderId="15" xfId="0">
      <alignment vertical="center"/>
    </xf>
    <xf numFmtId="0" fontId="171" fillId="62" borderId="15" xfId="0" applyFont="1" applyFill="1" applyAlignment="1">
      <alignment horizontal="left" vertical="center"/>
    </xf>
    <xf numFmtId="0" fontId="115" fillId="62" borderId="15" xfId="0" applyFont="1" applyFill="1" applyAlignment="1">
      <alignment horizontal="left" vertical="center"/>
    </xf>
    <xf numFmtId="0" fontId="115" fillId="62" borderId="15" xfId="0" applyFont="1" applyFill="1" applyAlignment="1">
      <alignment horizontal="left" vertical="center" indent="2"/>
    </xf>
    <xf numFmtId="0" fontId="211" fillId="50" borderId="15" xfId="0" applyFont="1" applyFill="1">
      <alignment vertical="center"/>
    </xf>
    <xf numFmtId="0" fontId="115" fillId="50" borderId="15" xfId="0" applyFont="1" applyFill="1">
      <alignment vertical="center"/>
    </xf>
    <xf numFmtId="0" fontId="158" fillId="50" borderId="15" xfId="0" applyFont="1" applyFill="1">
      <alignment vertical="center"/>
    </xf>
    <xf numFmtId="0" fontId="135" fillId="50" borderId="15" xfId="0" applyFont="1" applyFill="1" applyAlignment="1">
      <alignment horizontal="left" vertical="center" indent="1"/>
    </xf>
    <xf numFmtId="0" fontId="135" fillId="50" borderId="60" xfId="0" applyFont="1" applyFill="1" applyBorder="1" applyAlignment="1">
      <alignment horizontal="left" vertical="center" indent="1"/>
    </xf>
    <xf numFmtId="0" fontId="135" fillId="50" borderId="58" xfId="0" applyFont="1" applyFill="1" applyBorder="1" applyAlignment="1">
      <alignment horizontal="left" vertical="center" indent="1"/>
    </xf>
    <xf numFmtId="0" fontId="111" fillId="62" borderId="15" xfId="0" quotePrefix="1" applyFont="1" applyFill="1" applyAlignment="1">
      <alignment horizontal="left" vertical="center" indent="3"/>
    </xf>
    <xf numFmtId="0" fontId="111" fillId="27" borderId="15" xfId="0" quotePrefix="1" applyFont="1" applyAlignment="1">
      <alignment horizontal="left" vertical="center" indent="3"/>
    </xf>
    <xf numFmtId="0" fontId="104" fillId="27" borderId="15" xfId="0" applyAlignment="1">
      <alignment horizontal="left" vertical="center" indent="3"/>
    </xf>
    <xf numFmtId="0" fontId="250" fillId="50" borderId="15" xfId="0" applyFont="1" applyFill="1">
      <alignment vertical="center"/>
    </xf>
    <xf numFmtId="0" fontId="211" fillId="27" borderId="15" xfId="0" applyFont="1" applyAlignment="1">
      <alignment horizontal="left" vertical="center" indent="1"/>
    </xf>
    <xf numFmtId="0" fontId="187" fillId="27" borderId="15" xfId="0" applyFont="1" applyAlignment="1">
      <alignment horizontal="left" vertical="center" indent="1"/>
    </xf>
    <xf numFmtId="0" fontId="251" fillId="50" borderId="58" xfId="0" applyFont="1" applyFill="1" applyBorder="1" applyAlignment="1">
      <alignment horizontal="right" vertical="center"/>
    </xf>
    <xf numFmtId="0" fontId="251" fillId="50" borderId="61" xfId="0" applyFont="1" applyFill="1" applyBorder="1" applyAlignment="1">
      <alignment horizontal="right" vertical="center"/>
    </xf>
    <xf numFmtId="0" fontId="251" fillId="50" borderId="61" xfId="0" applyFont="1" applyFill="1" applyBorder="1" applyAlignment="1">
      <alignment horizontal="center" vertical="center"/>
    </xf>
    <xf numFmtId="0" fontId="251" fillId="50" borderId="58" xfId="0" applyFont="1" applyFill="1" applyBorder="1" applyAlignment="1">
      <alignment horizontal="center" vertical="center"/>
    </xf>
    <xf numFmtId="0" fontId="132" fillId="50" borderId="58" xfId="0" applyFont="1" applyFill="1" applyBorder="1" applyAlignment="1">
      <alignment horizontal="center" vertical="center"/>
    </xf>
    <xf numFmtId="0" fontId="251" fillId="50" borderId="62" xfId="0" applyFont="1" applyFill="1" applyBorder="1" applyAlignment="1">
      <alignment horizontal="center" vertical="center"/>
    </xf>
    <xf numFmtId="0" fontId="251" fillId="50" borderId="63" xfId="0" applyFont="1" applyFill="1" applyBorder="1" applyAlignment="1">
      <alignment horizontal="center" vertical="center"/>
    </xf>
    <xf numFmtId="0" fontId="251" fillId="50" borderId="64" xfId="0" applyFont="1" applyFill="1" applyBorder="1" applyAlignment="1">
      <alignment horizontal="center" vertical="center"/>
    </xf>
    <xf numFmtId="0" fontId="251" fillId="63" borderId="61" xfId="0" applyFont="1" applyFill="1" applyBorder="1" applyAlignment="1">
      <alignment horizontal="right" vertical="center"/>
    </xf>
    <xf numFmtId="0" fontId="251" fillId="63" borderId="63" xfId="0" applyFont="1" applyFill="1" applyBorder="1" applyAlignment="1">
      <alignment horizontal="left" vertical="center"/>
    </xf>
    <xf numFmtId="0" fontId="251" fillId="63" borderId="61" xfId="0" applyFont="1" applyFill="1" applyBorder="1" applyAlignment="1">
      <alignment horizontal="left" vertical="center"/>
    </xf>
    <xf numFmtId="0" fontId="132" fillId="63" borderId="61" xfId="0" applyFont="1" applyFill="1" applyBorder="1" applyAlignment="1">
      <alignment horizontal="left" vertical="center"/>
    </xf>
    <xf numFmtId="0" fontId="251" fillId="63" borderId="60" xfId="0" applyFont="1" applyFill="1" applyBorder="1" applyAlignment="1">
      <alignment horizontal="right" vertical="center"/>
    </xf>
    <xf numFmtId="0" fontId="251" fillId="63" borderId="66" xfId="0" applyFont="1" applyFill="1" applyBorder="1" applyAlignment="1">
      <alignment horizontal="center" vertical="center"/>
    </xf>
    <xf numFmtId="0" fontId="251" fillId="63" borderId="60" xfId="0" applyFont="1" applyFill="1" applyBorder="1" applyAlignment="1">
      <alignment horizontal="center" vertical="center"/>
    </xf>
    <xf numFmtId="0" fontId="251" fillId="63" borderId="65" xfId="0" applyFont="1" applyFill="1" applyBorder="1" applyAlignment="1">
      <alignment horizontal="center" vertical="center"/>
    </xf>
    <xf numFmtId="0" fontId="111" fillId="50" borderId="15" xfId="0" applyFont="1" applyFill="1" applyAlignment="1">
      <alignment horizontal="center" vertical="center"/>
    </xf>
    <xf numFmtId="0" fontId="115" fillId="63" borderId="61" xfId="0" applyFont="1" applyFill="1" applyBorder="1" applyAlignment="1">
      <alignment horizontal="center" vertical="center"/>
    </xf>
    <xf numFmtId="0" fontId="111" fillId="63" borderId="61" xfId="0" applyFont="1" applyFill="1" applyBorder="1" applyAlignment="1">
      <alignment horizontal="center" vertical="center"/>
    </xf>
    <xf numFmtId="0" fontId="111" fillId="63" borderId="62" xfId="0" applyFont="1" applyFill="1" applyBorder="1" applyAlignment="1">
      <alignment horizontal="center" vertical="center"/>
    </xf>
    <xf numFmtId="0" fontId="135" fillId="50" borderId="65" xfId="0" applyFont="1" applyFill="1" applyBorder="1">
      <alignment vertical="center"/>
    </xf>
    <xf numFmtId="0" fontId="135" fillId="50" borderId="51" xfId="0" applyFont="1" applyFill="1" applyBorder="1">
      <alignment vertical="center"/>
    </xf>
    <xf numFmtId="0" fontId="135" fillId="50" borderId="57" xfId="0" applyFont="1" applyFill="1" applyBorder="1">
      <alignment vertical="center"/>
    </xf>
    <xf numFmtId="0" fontId="111" fillId="63" borderId="63" xfId="0" applyFont="1" applyFill="1" applyBorder="1" applyAlignment="1">
      <alignment horizontal="center" vertical="center"/>
    </xf>
    <xf numFmtId="0" fontId="135" fillId="50" borderId="66" xfId="0" applyFont="1" applyFill="1" applyBorder="1">
      <alignment vertical="center"/>
    </xf>
    <xf numFmtId="0" fontId="135" fillId="50" borderId="67" xfId="0" applyFont="1" applyFill="1" applyBorder="1">
      <alignment vertical="center"/>
    </xf>
    <xf numFmtId="0" fontId="135" fillId="50" borderId="64" xfId="0" applyFont="1" applyFill="1" applyBorder="1">
      <alignment vertical="center"/>
    </xf>
    <xf numFmtId="0" fontId="135" fillId="50" borderId="60" xfId="0" applyFont="1" applyFill="1" applyBorder="1" applyAlignment="1">
      <alignment horizontal="center" vertical="center"/>
    </xf>
    <xf numFmtId="0" fontId="135" fillId="50" borderId="15" xfId="0" applyFont="1" applyFill="1" applyAlignment="1">
      <alignment horizontal="center" vertical="center"/>
    </xf>
    <xf numFmtId="10" fontId="132" fillId="50" borderId="15" xfId="0" applyNumberFormat="1" applyFont="1" applyFill="1" applyAlignment="1">
      <alignment horizontal="center" vertical="center"/>
    </xf>
    <xf numFmtId="0" fontId="135" fillId="50" borderId="58" xfId="0" applyFont="1" applyFill="1" applyBorder="1" applyAlignment="1">
      <alignment horizontal="center" vertical="center"/>
    </xf>
    <xf numFmtId="9" fontId="132" fillId="50" borderId="66" xfId="0" applyNumberFormat="1" applyFont="1" applyFill="1" applyBorder="1" applyAlignment="1">
      <alignment horizontal="center" vertical="center"/>
    </xf>
    <xf numFmtId="0" fontId="135" fillId="50" borderId="67" xfId="0" applyFont="1" applyFill="1" applyBorder="1" applyAlignment="1">
      <alignment horizontal="center" vertical="center"/>
    </xf>
    <xf numFmtId="10" fontId="132" fillId="50" borderId="67" xfId="0" applyNumberFormat="1" applyFont="1" applyFill="1" applyBorder="1" applyAlignment="1">
      <alignment horizontal="center" vertical="center"/>
    </xf>
    <xf numFmtId="0" fontId="135" fillId="50" borderId="64" xfId="0" applyFont="1" applyFill="1" applyBorder="1" applyAlignment="1">
      <alignment horizontal="center" vertical="center"/>
    </xf>
    <xf numFmtId="9" fontId="132" fillId="50" borderId="60" xfId="0" applyNumberFormat="1" applyFont="1" applyFill="1" applyBorder="1" applyAlignment="1">
      <alignment horizontal="center" vertical="center"/>
    </xf>
    <xf numFmtId="0" fontId="104" fillId="50" borderId="58" xfId="0" applyFill="1" applyBorder="1">
      <alignment vertical="center"/>
    </xf>
    <xf numFmtId="205" fontId="132" fillId="50" borderId="15" xfId="0" applyNumberFormat="1" applyFont="1" applyFill="1">
      <alignment vertical="center"/>
    </xf>
    <xf numFmtId="205" fontId="132" fillId="50" borderId="58" xfId="0" applyNumberFormat="1" applyFont="1" applyFill="1" applyBorder="1">
      <alignment vertical="center"/>
    </xf>
    <xf numFmtId="0" fontId="130" fillId="50" borderId="60" xfId="0" applyFont="1" applyFill="1" applyBorder="1" applyAlignment="1">
      <alignment horizontal="left" vertical="center" indent="1"/>
    </xf>
    <xf numFmtId="205" fontId="130" fillId="50" borderId="60" xfId="0" applyNumberFormat="1" applyFont="1" applyFill="1" applyBorder="1">
      <alignment vertical="center"/>
    </xf>
    <xf numFmtId="0" fontId="115" fillId="63" borderId="61" xfId="0" applyFont="1" applyFill="1" applyBorder="1">
      <alignment vertical="center"/>
    </xf>
    <xf numFmtId="205" fontId="130" fillId="50" borderId="65" xfId="0" applyNumberFormat="1" applyFont="1" applyFill="1" applyBorder="1">
      <alignment vertical="center"/>
    </xf>
    <xf numFmtId="205" fontId="132" fillId="50" borderId="51" xfId="0" applyNumberFormat="1" applyFont="1" applyFill="1" applyBorder="1">
      <alignment vertical="center"/>
    </xf>
    <xf numFmtId="205" fontId="132" fillId="50" borderId="57" xfId="0" applyNumberFormat="1" applyFont="1" applyFill="1" applyBorder="1">
      <alignment vertical="center"/>
    </xf>
    <xf numFmtId="205" fontId="130" fillId="50" borderId="66" xfId="0" applyNumberFormat="1" applyFont="1" applyFill="1" applyBorder="1">
      <alignment vertical="center"/>
    </xf>
    <xf numFmtId="205" fontId="132" fillId="50" borderId="67" xfId="0" applyNumberFormat="1" applyFont="1" applyFill="1" applyBorder="1">
      <alignment vertical="center"/>
    </xf>
    <xf numFmtId="205" fontId="132" fillId="50" borderId="64" xfId="0" applyNumberFormat="1" applyFont="1" applyFill="1" applyBorder="1">
      <alignment vertical="center"/>
    </xf>
    <xf numFmtId="0" fontId="111" fillId="63" borderId="62" xfId="0" applyFont="1" applyFill="1" applyBorder="1" applyAlignment="1">
      <alignment horizontal="left" vertical="center"/>
    </xf>
    <xf numFmtId="206" fontId="104" fillId="27" borderId="15" xfId="0" applyNumberFormat="1">
      <alignment vertical="center"/>
    </xf>
    <xf numFmtId="191" fontId="252" fillId="27" borderId="15" xfId="0" applyNumberFormat="1" applyFont="1"/>
    <xf numFmtId="191" fontId="252" fillId="27" borderId="18" xfId="0" applyNumberFormat="1" applyFont="1" applyBorder="1"/>
    <xf numFmtId="0" fontId="146" fillId="33" borderId="28" xfId="0" applyFont="1" applyFill="1" applyBorder="1" applyAlignment="1">
      <alignment horizontal="center" wrapText="1"/>
    </xf>
    <xf numFmtId="0" fontId="124" fillId="33" borderId="28" xfId="0" applyFont="1" applyFill="1" applyBorder="1" applyAlignment="1">
      <alignment horizontal="center" wrapText="1"/>
    </xf>
    <xf numFmtId="0" fontId="111" fillId="27" borderId="15" xfId="0" applyFont="1" applyAlignment="1">
      <alignment vertical="center" wrapText="1"/>
    </xf>
    <xf numFmtId="0" fontId="171" fillId="62" borderId="15" xfId="0" applyFont="1" applyFill="1" applyAlignment="1">
      <alignment horizontal="left" vertical="center" indent="2"/>
    </xf>
    <xf numFmtId="0" fontId="115" fillId="62" borderId="15" xfId="0" applyFont="1" applyFill="1" applyAlignment="1">
      <alignment horizontal="left" vertical="center" indent="2"/>
    </xf>
    <xf numFmtId="0" fontId="109" fillId="32" borderId="49" xfId="0" applyFont="1" applyFill="1" applyBorder="1" applyAlignment="1">
      <alignment horizontal="center" vertical="center"/>
    </xf>
    <xf numFmtId="0" fontId="109" fillId="32" borderId="50" xfId="0" applyFont="1" applyFill="1" applyBorder="1" applyAlignment="1">
      <alignment horizontal="center" vertical="center"/>
    </xf>
    <xf numFmtId="0" fontId="180" fillId="27" borderId="32" xfId="0" applyFont="1" applyBorder="1" applyAlignment="1">
      <alignment horizontal="center" vertical="center"/>
    </xf>
    <xf numFmtId="0" fontId="109" fillId="33" borderId="16" xfId="0" applyFont="1" applyFill="1" applyBorder="1" applyAlignment="1">
      <alignment horizontal="center" vertical="center"/>
    </xf>
    <xf numFmtId="0" fontId="109" fillId="34" borderId="16" xfId="0" applyFont="1" applyFill="1" applyBorder="1" applyAlignment="1">
      <alignment horizontal="center" vertical="center"/>
    </xf>
    <xf numFmtId="0" fontId="109" fillId="35" borderId="16" xfId="0" applyFont="1" applyFill="1" applyBorder="1" applyAlignment="1">
      <alignment horizontal="center" vertical="center"/>
    </xf>
    <xf numFmtId="0" fontId="109" fillId="61" borderId="16" xfId="0" applyFont="1" applyFill="1" applyBorder="1" applyAlignment="1">
      <alignment horizontal="center" vertical="center"/>
    </xf>
    <xf numFmtId="0" fontId="200" fillId="27" borderId="15" xfId="0" applyFont="1" applyAlignment="1">
      <alignment horizontal="center"/>
    </xf>
    <xf numFmtId="0" fontId="200" fillId="27" borderId="32" xfId="0" applyFont="1" applyBorder="1" applyAlignment="1">
      <alignment horizontal="center"/>
    </xf>
    <xf numFmtId="0" fontId="200" fillId="53" borderId="39" xfId="0" applyFont="1" applyFill="1" applyBorder="1" applyAlignment="1">
      <alignment horizontal="center"/>
    </xf>
    <xf numFmtId="0" fontId="200" fillId="29" borderId="15" xfId="0" applyFont="1" applyFill="1" applyAlignment="1">
      <alignment horizontal="left" vertical="center"/>
    </xf>
    <xf numFmtId="0" fontId="220" fillId="27" borderId="33" xfId="0" applyFont="1" applyBorder="1" applyAlignment="1">
      <alignment horizontal="left" vertical="center"/>
    </xf>
    <xf numFmtId="0" fontId="220" fillId="27" borderId="39" xfId="0" applyFont="1" applyBorder="1" applyAlignment="1">
      <alignment horizontal="left" vertical="center"/>
    </xf>
    <xf numFmtId="0" fontId="200" fillId="53" borderId="34" xfId="0" applyFont="1" applyFill="1" applyBorder="1" applyAlignment="1">
      <alignment horizontal="center"/>
    </xf>
    <xf numFmtId="0" fontId="200" fillId="27" borderId="35" xfId="0" applyFont="1" applyBorder="1" applyAlignment="1">
      <alignment horizontal="center"/>
    </xf>
    <xf numFmtId="0" fontId="200" fillId="27" borderId="43" xfId="0" applyFont="1" applyBorder="1" applyAlignment="1">
      <alignment horizontal="center"/>
    </xf>
    <xf numFmtId="0" fontId="200" fillId="27" borderId="40" xfId="0" applyFont="1" applyBorder="1" applyAlignment="1">
      <alignment horizontal="center"/>
    </xf>
    <xf numFmtId="0" fontId="200" fillId="27" borderId="39" xfId="0" applyFont="1" applyBorder="1" applyAlignment="1">
      <alignment horizontal="center"/>
    </xf>
    <xf numFmtId="0" fontId="173" fillId="50" borderId="15" xfId="0" applyFont="1" applyFill="1" applyAlignment="1">
      <alignment vertical="center"/>
    </xf>
    <xf numFmtId="0" fontId="172" fillId="50" borderId="15" xfId="0" applyFont="1" applyFill="1" applyAlignment="1">
      <alignment vertical="center"/>
    </xf>
    <xf numFmtId="0" fontId="247" fillId="50" borderId="15" xfId="0" applyFont="1" applyFill="1" applyAlignment="1">
      <alignment vertical="center"/>
    </xf>
    <xf numFmtId="0" fontId="248" fillId="50" borderId="15" xfId="0" applyFont="1" applyFill="1" applyAlignment="1">
      <alignment vertical="center"/>
    </xf>
    <xf numFmtId="0" fontId="143" fillId="27" borderId="15" xfId="0" applyFont="1">
      <alignment vertical="center"/>
    </xf>
    <xf numFmtId="0" fontId="143" fillId="40" borderId="45" xfId="0" applyFont="1" applyFill="1" applyBorder="1" applyAlignment="1">
      <alignment horizontal="left" vertical="center" indent="1"/>
    </xf>
    <xf numFmtId="0" fontId="143" fillId="29" borderId="15" xfId="0" applyFont="1" applyFill="1">
      <alignment vertical="center"/>
    </xf>
    <xf numFmtId="0" fontId="145" fillId="27" borderId="29" xfId="0" applyFont="1" applyBorder="1" applyAlignment="1"/>
    <xf numFmtId="0" fontId="145" fillId="27" borderId="15" xfId="0" applyFont="1">
      <alignment vertical="center"/>
    </xf>
    <xf numFmtId="0" fontId="145" fillId="27" borderId="15" xfId="0" applyFont="1" applyAlignment="1"/>
    <xf numFmtId="0" fontId="145" fillId="27" borderId="15" xfId="0" applyFont="1" applyAlignment="1">
      <alignment horizontal="left" vertical="center"/>
    </xf>
    <xf numFmtId="0" fontId="145" fillId="27" borderId="28" xfId="0" applyFont="1" applyBorder="1" applyAlignment="1">
      <alignment horizontal="center"/>
    </xf>
    <xf numFmtId="191" fontId="145" fillId="27" borderId="28" xfId="0" applyNumberFormat="1" applyFont="1" applyBorder="1" applyAlignment="1">
      <alignment horizontal="right"/>
    </xf>
    <xf numFmtId="0" fontId="145" fillId="27" borderId="15" xfId="0" applyFont="1" applyAlignment="1">
      <alignment horizontal="center" vertical="center"/>
    </xf>
    <xf numFmtId="0" fontId="145" fillId="27" borderId="28" xfId="0" applyFont="1" applyBorder="1" applyAlignment="1"/>
    <xf numFmtId="0" fontId="145" fillId="27" borderId="28" xfId="0" applyFont="1" applyBorder="1">
      <alignment vertical="center"/>
    </xf>
    <xf numFmtId="0" fontId="145" fillId="27" borderId="28" xfId="0" applyFont="1" applyBorder="1" applyAlignment="1">
      <alignment horizontal="center" vertical="center"/>
    </xf>
    <xf numFmtId="191" fontId="145" fillId="27" borderId="28" xfId="0" applyNumberFormat="1" applyFont="1" applyBorder="1">
      <alignment vertical="center"/>
    </xf>
    <xf numFmtId="191" fontId="145" fillId="27" borderId="15" xfId="0" applyNumberFormat="1" applyFont="1">
      <alignment vertical="center"/>
    </xf>
    <xf numFmtId="0" fontId="145" fillId="27" borderId="15" xfId="0" applyFont="1" applyAlignment="1">
      <alignment wrapText="1"/>
    </xf>
    <xf numFmtId="194" fontId="145" fillId="27" borderId="28" xfId="0" applyNumberFormat="1" applyFont="1" applyBorder="1">
      <alignment vertical="center"/>
    </xf>
    <xf numFmtId="0" fontId="124" fillId="44" borderId="15" xfId="0" applyFont="1" applyFill="1" applyAlignment="1">
      <alignment horizontal="center" vertical="center"/>
    </xf>
  </cellXfs>
  <cellStyles count="11">
    <cellStyle name="표준" xfId="0" builtinId="0"/>
    <cellStyle name="쉼표 [0]" xfId="1" builtinId="6"/>
    <cellStyle name="백분율" xfId="2" builtinId="5"/>
    <cellStyle name="백분율 2" xfId="3"/>
    <cellStyle name="쉼표 [0] 2" xfId="4"/>
    <cellStyle name="표준 2" xfId="5"/>
    <cellStyle name="표준 3" xfId="6"/>
    <cellStyle name="표준 4" xfId="7"/>
    <cellStyle name="하이퍼링크" xfId="8" builtinId="8"/>
    <cellStyle name="쉼표 [0] 3" xfId="9"/>
    <cellStyle name="백분율 3" xfId="10"/>
  </cellStyles>
  <dxfs count="1">
    <dxf>
      <font>
        <color rgb="FFFFFFFF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703C"/>
      <rgbColor rgb="FF006100"/>
      <rgbColor rgb="FF787878"/>
      <rgbColor rgb="FF800080"/>
      <rgbColor rgb="FF167C74"/>
      <rgbColor rgb="FFC0C0C0"/>
      <rgbColor rgb="FF808080"/>
      <rgbColor rgb="FF9999FF"/>
      <rgbColor rgb="FF993366"/>
      <rgbColor rgb="FFFFF2CC"/>
      <rgbColor rgb="FFE6F4EA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196B24"/>
      <rgbColor rgb="FF0000FF"/>
      <rgbColor rgb="FF00B4ED"/>
      <rgbColor rgb="FFDDEBF7"/>
      <rgbColor rgb="FFE2EFDA"/>
      <rgbColor rgb="FFF2F2F2"/>
      <rgbColor rgb="FF99CCFF"/>
      <rgbColor rgb="FFFF99CC"/>
      <rgbColor rgb="FFCC99FF"/>
      <rgbColor rgb="FFFFCC99"/>
      <rgbColor rgb="FF1F4E78"/>
      <rgbColor rgb="FF33CCCC"/>
      <rgbColor rgb="FF6BB745"/>
      <rgbColor rgb="FFFFCC00"/>
      <rgbColor rgb="FFFF9900"/>
      <rgbColor rgb="FFFF6600"/>
      <rgbColor rgb="FF666666"/>
      <rgbColor rgb="FFA6A6A6"/>
      <rgbColor rgb="FF17375E"/>
      <rgbColor rgb="FF467886"/>
      <rgbColor rgb="FF153C5F"/>
      <rgbColor rgb="FF535353"/>
      <rgbColor rgb="FF993300"/>
      <rgbColor rgb="FF993366"/>
      <rgbColor rgb="FF5B388C"/>
      <rgbColor rgb="FF1F38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_rels/lixchart1.xml.rels><?xml version="1.0" encoding="UTF-8" standalone="yes"?>
<Relationships xmlns="http://schemas.openxmlformats.org/package/2006/relationships"><Relationship Id="rId2" Type="http://schemas.microsoft.com/office/2011/relationships/chartColorStyle" Target="lixcolors1.xml"/><Relationship Id="rId1" Type="http://schemas.microsoft.com/office/2011/relationships/chartStyle" Target="lixstyle1.xml"/></Relationships>
</file>

<file path=xl/charts/_rels/lixchart2.xml.rels><?xml version="1.0" encoding="UTF-8" standalone="yes"?>
<Relationships xmlns="http://schemas.openxmlformats.org/package/2006/relationships"><Relationship Id="rId2" Type="http://schemas.microsoft.com/office/2011/relationships/chartColorStyle" Target="lixcolors2.xml"/><Relationship Id="rId1" Type="http://schemas.microsoft.com/office/2011/relationships/chartStyle" Target="lixstyle2.xml"/></Relationships>
</file>

<file path=xl/charts/lix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967731244457792"/>
          <c:y val="5.2380952380952382E-2"/>
          <c:w val="0.76609106191812371"/>
          <c:h val="0.88060300513169565"/>
        </c:manualLayout>
      </c:layout>
      <c:lineChart>
        <c:grouping val="standard"/>
        <c:varyColors val="0"/>
        <c:ser>
          <c:idx val="0"/>
          <c:order val="0"/>
          <c:tx>
            <c:strRef>
              <c:f>'FCST RESULT'!$B$22</c:f>
            </c:strRef>
          </c:tx>
          <c:spPr>
            <a:ln w="31750" cap="rnd">
              <a:solidFill>
                <a:srgbClr val="1F3864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1F3864"/>
              </a:solidFill>
              <a:ln w="31750">
                <a:solidFill>
                  <a:srgbClr val="1F3864"/>
                </a:solidFill>
                <a:prstDash val="solid"/>
              </a:ln>
              <a:effectLst/>
            </c:spPr>
          </c:marker>
          <c:cat>
            <c:strRef>
              <c:f>'FCST RESULT'!$C$21:$G$21</c:f>
            </c:strRef>
          </c:cat>
          <c:val>
            <c:numRef>
              <c:f>'FCST RESULT'!$C$22:$G$22</c:f>
            </c:numRef>
          </c:val>
          <c:smooth val="0"/>
          <c:extLst>
            <c:ext xmlns:c16="http://schemas.microsoft.com/office/drawing/2014/chart" uri="{C3380CC4-5D6E-409C-BE32-E72D297353CC}">
              <c16:uniqueId val="{00000000-0C78-469C-87A6-7B964A98AF1B}"/>
            </c:ext>
          </c:extLst>
        </c:ser>
        <c:ser>
          <c:idx val="1"/>
          <c:order val="1"/>
          <c:tx>
            <c:strRef>
              <c:f>'FCST RESULT'!$B$23</c:f>
            </c:strRef>
          </c:tx>
          <c:spPr>
            <a:ln w="22225" cap="rnd">
              <a:solidFill>
                <a:srgbClr val="005BAA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005BAA"/>
              </a:solidFill>
              <a:ln w="22225">
                <a:solidFill>
                  <a:srgbClr val="005BAA"/>
                </a:solidFill>
                <a:prstDash val="solid"/>
              </a:ln>
              <a:effectLst/>
            </c:spPr>
          </c:marker>
          <c:cat>
            <c:strRef>
              <c:f>'FCST RESULT'!$C$21:$G$21</c:f>
            </c:strRef>
          </c:cat>
          <c:val>
            <c:numRef>
              <c:f>'FCST RESULT'!$C$23:$G$23</c:f>
            </c:numRef>
          </c:val>
          <c:smooth val="0"/>
          <c:extLst>
            <c:ext xmlns:c16="http://schemas.microsoft.com/office/drawing/2014/chart" uri="{C3380CC4-5D6E-409C-BE32-E72D297353CC}">
              <c16:uniqueId val="{00000001-0C78-469C-87A6-7B964A98AF1B}"/>
            </c:ext>
          </c:extLst>
        </c:ser>
        <c:ser>
          <c:idx val="2"/>
          <c:order val="2"/>
          <c:tx>
            <c:strRef>
              <c:f>'FCST RESULT'!$B$24</c:f>
            </c:strRef>
          </c:tx>
          <c:spPr>
            <a:ln w="22225" cap="rnd">
              <a:solidFill>
                <a:srgbClr val="00A656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00A656"/>
              </a:solidFill>
              <a:ln w="22225">
                <a:solidFill>
                  <a:srgbClr val="00A656"/>
                </a:solidFill>
                <a:prstDash val="solid"/>
              </a:ln>
              <a:effectLst/>
            </c:spPr>
          </c:marker>
          <c:cat>
            <c:strRef>
              <c:f>'FCST RESULT'!$C$21:$G$21</c:f>
            </c:strRef>
          </c:cat>
          <c:val>
            <c:numRef>
              <c:f>'FCST RESULT'!$C$24:$G$24</c:f>
            </c:numRef>
          </c:val>
          <c:smooth val="0"/>
          <c:extLst>
            <c:ext xmlns:c16="http://schemas.microsoft.com/office/drawing/2014/chart" uri="{C3380CC4-5D6E-409C-BE32-E72D297353CC}">
              <c16:uniqueId val="{00000002-0C78-469C-87A6-7B964A98AF1B}"/>
            </c:ext>
          </c:extLst>
        </c:ser>
        <c:ser>
          <c:idx val="3"/>
          <c:order val="3"/>
          <c:tx>
            <c:strRef>
              <c:f>'FCST RESULT'!$B$25</c:f>
            </c:strRef>
          </c:tx>
          <c:spPr>
            <a:ln w="22225" cap="rnd">
              <a:solidFill>
                <a:srgbClr val="CC2B2B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CC2B2B"/>
              </a:solidFill>
              <a:ln w="22225">
                <a:solidFill>
                  <a:srgbClr val="CC2B2B"/>
                </a:solidFill>
                <a:prstDash val="solid"/>
              </a:ln>
              <a:effectLst/>
            </c:spPr>
          </c:marker>
          <c:cat>
            <c:strRef>
              <c:f>'FCST RESULT'!$C$21:$G$21</c:f>
            </c:strRef>
          </c:cat>
          <c:val>
            <c:numRef>
              <c:f>'FCST RESULT'!$C$25:$G$25</c:f>
            </c:numRef>
          </c:val>
          <c:smooth val="0"/>
          <c:extLst>
            <c:ext xmlns:c16="http://schemas.microsoft.com/office/drawing/2014/chart" uri="{C3380CC4-5D6E-409C-BE32-E72D297353CC}">
              <c16:uniqueId val="{00000003-0C78-469C-87A6-7B964A98AF1B}"/>
            </c:ext>
          </c:extLst>
        </c:ser>
        <c:ser>
          <c:idx val="4"/>
          <c:order val="4"/>
          <c:tx>
            <c:strRef>
              <c:f>'FCST RESULT'!$B$26</c:f>
            </c:strRef>
          </c:tx>
          <c:spPr>
            <a:ln w="22225" cap="rnd">
              <a:solidFill>
                <a:srgbClr val="8CD4B0"/>
              </a:solidFill>
              <a:prstDash val="dash"/>
              <a:round/>
            </a:ln>
            <a:effectLst/>
          </c:spPr>
          <c:marker>
            <c:symbol val="circle"/>
            <c:size val="7"/>
            <c:spPr>
              <a:solidFill>
                <a:srgbClr val="8CD4B0"/>
              </a:solidFill>
              <a:ln w="22225">
                <a:solidFill>
                  <a:srgbClr val="8CD4B0"/>
                </a:solidFill>
                <a:prstDash val="solid"/>
              </a:ln>
              <a:effectLst/>
            </c:spPr>
          </c:marker>
          <c:cat>
            <c:strRef>
              <c:f>'FCST RESULT'!$C$21:$G$21</c:f>
            </c:strRef>
          </c:cat>
          <c:val>
            <c:numRef>
              <c:f>'FCST RESULT'!$C$26:$G$26</c:f>
            </c:numRef>
          </c:val>
          <c:smooth val="0"/>
        </c:ser>
        <c:ser>
          <c:idx val="5"/>
          <c:order val="5"/>
          <c:tx>
            <c:strRef>
              <c:f>'FCST RESULT'!$B$27</c:f>
            </c:strRef>
          </c:tx>
          <c:spPr>
            <a:ln w="22225" cap="rnd">
              <a:solidFill>
                <a:srgbClr val="E9A0A0"/>
              </a:solidFill>
              <a:prstDash val="dash"/>
              <a:round/>
            </a:ln>
            <a:effectLst/>
          </c:spPr>
          <c:marker>
            <c:symbol val="circle"/>
            <c:size val="7"/>
            <c:spPr>
              <a:solidFill>
                <a:srgbClr val="E9A0A0"/>
              </a:solidFill>
              <a:ln w="22225">
                <a:solidFill>
                  <a:srgbClr val="E9A0A0"/>
                </a:solidFill>
                <a:prstDash val="solid"/>
              </a:ln>
              <a:effectLst/>
            </c:spPr>
          </c:marker>
          <c:cat>
            <c:strRef>
              <c:f>'FCST RESULT'!$C$21:$G$21</c:f>
            </c:strRef>
          </c:cat>
          <c:val>
            <c:numRef>
              <c:f>'FCST RESULT'!$C$27:$G$27</c:f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2645248"/>
        <c:axId val="701014480"/>
      </c:lineChart>
      <c:catAx>
        <c:axId val="8126452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01014480"/>
        <c:crosses val="autoZero"/>
        <c:auto val="1"/>
        <c:lblAlgn val="ctr"/>
        <c:lblOffset val="100"/>
        <c:noMultiLvlLbl val="0"/>
      </c:catAx>
      <c:valAx>
        <c:axId val="7010144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12645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8.4632512745967409E-3"/>
          <c:y val="4.4046494188226468E-2"/>
          <c:w val="0.16262137324137638"/>
          <c:h val="0.69285939257592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rgbClr val="000000">
              <a:lumMod val="15000"/>
              <a:lumOff val="85000"/>
            </a:srgbClr>
          </a:solidFill>
          <a:round/>
        </a14:hiddenLine>
      </a:ext>
    </a:extLst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lix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2047022801465"/>
          <c:y val="5.2380952380952382E-2"/>
          <c:w val="0.76513189344033605"/>
          <c:h val="0.88574578177727781"/>
        </c:manualLayout>
      </c:layout>
      <c:lineChart>
        <c:grouping val="standard"/>
        <c:varyColors val="0"/>
        <c:ser>
          <c:idx val="0"/>
          <c:order val="0"/>
          <c:tx>
            <c:strRef>
              <c:f>'FCST RESULT'!$B$45</c:f>
            </c:strRef>
          </c:tx>
          <c:spPr>
            <a:ln w="31750" cap="rnd">
              <a:solidFill>
                <a:srgbClr val="1F3864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1F3864"/>
              </a:solidFill>
              <a:ln w="31750">
                <a:solidFill>
                  <a:srgbClr val="1F3864"/>
                </a:solidFill>
                <a:prstDash val="solid"/>
              </a:ln>
              <a:effectLst/>
            </c:spPr>
          </c:marker>
          <c:cat>
            <c:strRef>
              <c:f>'FCST RESULT'!$C$44:$G$44</c:f>
            </c:strRef>
          </c:cat>
          <c:val>
            <c:numRef>
              <c:f>'FCST RESULT'!$C$45:$G$45</c:f>
            </c:numRef>
          </c:val>
          <c:smooth val="0"/>
          <c:extLst>
            <c:ext xmlns:c16="http://schemas.microsoft.com/office/drawing/2014/chart" uri="{C3380CC4-5D6E-409C-BE32-E72D297353CC}">
              <c16:uniqueId val="{00000000-375A-4F29-BA9B-7AA5E8000AE7}"/>
            </c:ext>
          </c:extLst>
        </c:ser>
        <c:ser>
          <c:idx val="1"/>
          <c:order val="1"/>
          <c:tx>
            <c:strRef>
              <c:f>'FCST RESULT'!$B$46</c:f>
            </c:strRef>
          </c:tx>
          <c:spPr>
            <a:ln w="22225" cap="rnd">
              <a:solidFill>
                <a:srgbClr val="005BAA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005BAA"/>
              </a:solidFill>
              <a:ln w="22225">
                <a:solidFill>
                  <a:srgbClr val="005BAA"/>
                </a:solidFill>
                <a:prstDash val="solid"/>
              </a:ln>
              <a:effectLst/>
            </c:spPr>
          </c:marker>
          <c:cat>
            <c:strRef>
              <c:f>'FCST RESULT'!$C$44:$G$44</c:f>
            </c:strRef>
          </c:cat>
          <c:val>
            <c:numRef>
              <c:f>'FCST RESULT'!$C$46:$G$46</c:f>
            </c:numRef>
          </c:val>
          <c:smooth val="0"/>
          <c:extLst>
            <c:ext xmlns:c16="http://schemas.microsoft.com/office/drawing/2014/chart" uri="{C3380CC4-5D6E-409C-BE32-E72D297353CC}">
              <c16:uniqueId val="{00000001-375A-4F29-BA9B-7AA5E8000AE7}"/>
            </c:ext>
          </c:extLst>
        </c:ser>
        <c:ser>
          <c:idx val="2"/>
          <c:order val="2"/>
          <c:tx>
            <c:strRef>
              <c:f>'FCST RESULT'!$B$47</c:f>
            </c:strRef>
          </c:tx>
          <c:spPr>
            <a:ln w="22225" cap="rnd">
              <a:solidFill>
                <a:srgbClr val="00A656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00A656"/>
              </a:solidFill>
              <a:ln w="22225">
                <a:solidFill>
                  <a:srgbClr val="00A656"/>
                </a:solidFill>
                <a:prstDash val="solid"/>
              </a:ln>
              <a:effectLst/>
            </c:spPr>
          </c:marker>
          <c:cat>
            <c:strRef>
              <c:f>'FCST RESULT'!$C$44:$G$44</c:f>
            </c:strRef>
          </c:cat>
          <c:val>
            <c:numRef>
              <c:f>'FCST RESULT'!$C$47:$G$47</c:f>
            </c:numRef>
          </c:val>
          <c:smooth val="0"/>
          <c:extLst>
            <c:ext xmlns:c16="http://schemas.microsoft.com/office/drawing/2014/chart" uri="{C3380CC4-5D6E-409C-BE32-E72D297353CC}">
              <c16:uniqueId val="{00000002-375A-4F29-BA9B-7AA5E8000AE7}"/>
            </c:ext>
          </c:extLst>
        </c:ser>
        <c:ser>
          <c:idx val="3"/>
          <c:order val="3"/>
          <c:tx>
            <c:strRef>
              <c:f>'FCST RESULT'!$B$48</c:f>
            </c:strRef>
          </c:tx>
          <c:spPr>
            <a:ln w="22225" cap="rnd">
              <a:solidFill>
                <a:srgbClr val="CC2B2B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CC2B2B"/>
              </a:solidFill>
              <a:ln w="22225">
                <a:solidFill>
                  <a:srgbClr val="CC2B2B"/>
                </a:solidFill>
                <a:prstDash val="solid"/>
              </a:ln>
              <a:effectLst/>
            </c:spPr>
          </c:marker>
          <c:cat>
            <c:strRef>
              <c:f>'FCST RESULT'!$C$44:$G$44</c:f>
            </c:strRef>
          </c:cat>
          <c:val>
            <c:numRef>
              <c:f>'FCST RESULT'!$C$48:$G$48</c:f>
            </c:numRef>
          </c:val>
          <c:smooth val="0"/>
          <c:extLst>
            <c:ext xmlns:c16="http://schemas.microsoft.com/office/drawing/2014/chart" uri="{C3380CC4-5D6E-409C-BE32-E72D297353CC}">
              <c16:uniqueId val="{00000003-375A-4F29-BA9B-7AA5E8000AE7}"/>
            </c:ext>
          </c:extLst>
        </c:ser>
        <c:ser>
          <c:idx val="4"/>
          <c:order val="4"/>
          <c:tx>
            <c:strRef>
              <c:f>'FCST RESULT'!$B$49</c:f>
            </c:strRef>
          </c:tx>
          <c:spPr>
            <a:ln w="22225" cap="rnd">
              <a:solidFill>
                <a:srgbClr val="8CD4B0"/>
              </a:solidFill>
              <a:prstDash val="dash"/>
              <a:round/>
            </a:ln>
            <a:effectLst/>
          </c:spPr>
          <c:marker>
            <c:symbol val="circle"/>
            <c:size val="7"/>
            <c:spPr>
              <a:solidFill>
                <a:srgbClr val="8CD4B0"/>
              </a:solidFill>
              <a:ln w="22225">
                <a:solidFill>
                  <a:srgbClr val="8CD4B0"/>
                </a:solidFill>
                <a:prstDash val="solid"/>
              </a:ln>
              <a:effectLst/>
            </c:spPr>
          </c:marker>
          <c:cat>
            <c:strRef>
              <c:f>'FCST RESULT'!$C$44:$G$44</c:f>
            </c:strRef>
          </c:cat>
          <c:val>
            <c:numRef>
              <c:f>'FCST RESULT'!$C$49:$G$49</c:f>
            </c:numRef>
          </c:val>
          <c:smooth val="0"/>
        </c:ser>
        <c:ser>
          <c:idx val="5"/>
          <c:order val="5"/>
          <c:tx>
            <c:strRef>
              <c:f>'FCST RESULT'!$B$50</c:f>
            </c:strRef>
          </c:tx>
          <c:spPr>
            <a:ln w="22225" cap="rnd">
              <a:solidFill>
                <a:srgbClr val="E9A0A0"/>
              </a:solidFill>
              <a:prstDash val="dash"/>
              <a:round/>
            </a:ln>
            <a:effectLst/>
          </c:spPr>
          <c:marker>
            <c:symbol val="circle"/>
            <c:size val="7"/>
            <c:spPr>
              <a:solidFill>
                <a:srgbClr val="E9A0A0"/>
              </a:solidFill>
              <a:ln w="22225">
                <a:solidFill>
                  <a:srgbClr val="E9A0A0"/>
                </a:solidFill>
                <a:prstDash val="solid"/>
              </a:ln>
              <a:effectLst/>
            </c:spPr>
          </c:marker>
          <c:cat>
            <c:strRef>
              <c:f>'FCST RESULT'!$C$44:$G$44</c:f>
            </c:strRef>
          </c:cat>
          <c:val>
            <c:numRef>
              <c:f>'FCST RESULT'!$C$50:$G$50</c:f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8885600"/>
        <c:axId val="701011600"/>
      </c:lineChart>
      <c:catAx>
        <c:axId val="82888560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01011600"/>
        <c:crosses val="autoZero"/>
        <c:auto val="1"/>
        <c:lblAlgn val="ctr"/>
        <c:lblOffset val="100"/>
        <c:noMultiLvlLbl val="0"/>
      </c:catAx>
      <c:valAx>
        <c:axId val="7010116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28885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8.4632512745967409E-3"/>
          <c:y val="0.11071316085489312"/>
          <c:w val="0.15697920572497853"/>
          <c:h val="0.55000224971878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rgbClr val="000000">
              <a:lumMod val="15000"/>
              <a:lumOff val="85000"/>
            </a:srgbClr>
          </a:solidFill>
          <a:round/>
        </a14:hiddenLine>
      </a:ext>
    </a:extLst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lix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/>
          <a:lstStyle/>
          <a:p>
            <a:pPr>
              <a:defRPr sz="1200" b="1">
                <a:solidFill>
                  <a:srgbClr val="1F3864"/>
                </a:solidFill>
              </a:defRPr>
            </a:pPr>
            <a:r>
              <a:rPr lang="ko-KR" altLang="en-US" sz="1200" b="1">
                <a:solidFill>
                  <a:sysClr val="windowText" lastClr="000000"/>
                </a:solidFill>
              </a:rPr>
              <a:t>매출 변동 요인 분석 </a:t>
            </a:r>
            <a:r>
              <a:rPr lang="en-US" altLang="ko-KR" sz="1050" b="0">
                <a:solidFill>
                  <a:sysClr val="windowText" lastClr="000000"/>
                </a:solidFill>
              </a:rPr>
              <a:t>(</a:t>
            </a:r>
            <a:r>
              <a:rPr lang="ko-KR" altLang="en-US" sz="1050" b="0">
                <a:solidFill>
                  <a:sysClr val="windowText" lastClr="000000"/>
                </a:solidFill>
              </a:rPr>
              <a:t>단위</a:t>
            </a:r>
            <a:r>
              <a:rPr lang="en-US" altLang="ko-KR" sz="1050" b="0">
                <a:solidFill>
                  <a:sysClr val="windowText" lastClr="000000"/>
                </a:solidFill>
              </a:rPr>
              <a:t>: </a:t>
            </a:r>
            <a:r>
              <a:rPr lang="ko-KR" altLang="en-US" sz="1050" b="0">
                <a:solidFill>
                  <a:sysClr val="windowText" lastClr="000000"/>
                </a:solidFill>
              </a:rPr>
              <a:t>매출 대비 </a:t>
            </a:r>
            <a:r>
              <a:rPr lang="en-US" altLang="ko-KR" sz="1050" b="0">
                <a:solidFill>
                  <a:sysClr val="windowText" lastClr="000000"/>
                </a:solidFill>
              </a:rPr>
              <a:t>±%)</a:t>
            </a:r>
            <a:endParaRPr lang="en-US" altLang="ko-KR" sz="1200" b="0">
              <a:solidFill>
                <a:sysClr val="windowText" lastClr="000000"/>
              </a:solidFill>
            </a:endParaRP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26859206467804664"/>
          <c:y val="0.15812975301164278"/>
          <c:w val="0.72250963262481838"/>
          <c:h val="0.7991850989522700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근거_민감도!$A$41</c:f>
            </c:strRef>
          </c:tx>
          <c:spPr>
            <a:solidFill>
              <a:srgbClr val="A6A6A6"/>
            </a:solidFill>
          </c:spPr>
          <c:invertIfNegative val="1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C4FB-49BC-A200-6C15713F3CF7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C4FB-49BC-A200-6C15713F3CF7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C4FB-49BC-A200-6C15713F3CF7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C4FB-49BC-A200-6C15713F3CF7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C4FB-49BC-A200-6C15713F3CF7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C4FB-49BC-A200-6C15713F3CF7}"/>
              </c:ext>
            </c:extLst>
          </c:dPt>
          <c:dPt>
            <c:idx val="8"/>
            <c:invertIfNegative val="0"/>
            <c:bubble3D val="0"/>
            <c:spPr>
              <a:solidFill>
                <a:srgbClr val="ED7D31"/>
              </a:solidFill>
            </c:spPr>
            <c:extLst>
              <c:ext xmlns:c16="http://schemas.microsoft.com/office/drawing/2014/chart" uri="{C3380CC4-5D6E-409C-BE32-E72D297353CC}">
                <c16:uniqueId val="{0000000D-C4FB-49BC-A200-6C15713F3CF7}"/>
              </c:ext>
            </c:extLst>
          </c:dPt>
          <c:dLbls>
            <c:numFmt formatCode="0.0&quot;%&quot;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1"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근거_민감도!$B$40:$J$40</c:f>
            </c:strRef>
          </c:cat>
          <c:val>
            <c:numRef>
              <c:f>근거_민감도!$B$41:$J$41</c:f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E-C4FB-49BC-A200-6C15713F3C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0"/>
        <c:axId val="200"/>
      </c:barChart>
      <c:catAx>
        <c:axId val="100"/>
        <c:scaling>
          <c:orientation val="minMax"/>
        </c:scaling>
        <c:delete val="0"/>
        <c:axPos val="l"/>
        <c:numFmt formatCode="General" sourceLinked="0"/>
        <c:majorTickMark val="cross"/>
        <c:minorTickMark val="cross"/>
        <c:tickLblPos val="nextTo"/>
        <c:txPr>
          <a:bodyPr/>
          <a:lstStyle/>
          <a:p>
            <a:pPr>
              <a:defRPr sz="900"/>
            </a:pPr>
            <a:endParaRPr lang="ko-KR"/>
          </a:p>
        </c:txPr>
        <c:crossAx val="200"/>
        <c:crosses val="autoZero"/>
        <c:auto val="1"/>
        <c:lblAlgn val="ctr"/>
        <c:lblOffset val="100"/>
        <c:noMultiLvlLbl val="1"/>
      </c:catAx>
      <c:valAx>
        <c:axId val="200"/>
        <c:scaling>
          <c:orientation val="minMax"/>
        </c:scaling>
        <c:delete val="1"/>
        <c:axPos val="b"/>
        <c:numFmt formatCode="General" sourceLinked="1"/>
        <c:majorTickMark val="cross"/>
        <c:minorTickMark val="cross"/>
        <c:tickLblPos val="nextTo"/>
        <c:crossAx val="100"/>
        <c:crosses val="autoZero"/>
        <c:crossBetween val="between"/>
      </c:valAx>
    </c:plotArea>
    <c:plotVisOnly val="0"/>
    <c:dispBlanksAs val="gap"/>
    <c:showDLblsOverMax val="1"/>
  </c:chart>
  <c:spPr>
    <a:ln>
      <a:solidFill>
        <a:schemeClr val="bg1">
          <a:lumMod val="85000"/>
        </a:schemeClr>
      </a:solidFill>
    </a:ln>
  </c:spPr>
  <c:printSettings>
    <c:headerFooter/>
    <c:pageMargins b="0.75" l="0.7" r="0.7" t="0.75" header="0.3" footer="0.3"/>
    <c:pageSetup/>
  </c:printSettings>
</c:chartSpace>
</file>

<file path=xl/charts/lix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/>
          <a:lstStyle/>
          <a:p>
            <a:pPr>
              <a:defRPr sz="1200" b="1">
                <a:solidFill>
                  <a:schemeClr val="tx1"/>
                </a:solidFill>
              </a:defRPr>
            </a:pPr>
            <a:r>
              <a:rPr lang="ko-KR" altLang="en-US" sz="1200" b="1">
                <a:solidFill>
                  <a:schemeClr val="tx1"/>
                </a:solidFill>
              </a:rPr>
              <a:t>NSA MS 시나리오별 매출 격차 </a:t>
            </a:r>
            <a:r>
              <a:rPr lang="en-US" altLang="ko-KR" sz="1100" b="0">
                <a:solidFill>
                  <a:schemeClr val="tx1"/>
                </a:solidFill>
              </a:rPr>
              <a:t>(</a:t>
            </a:r>
            <a:r>
              <a:rPr lang="ko-KR" altLang="en-US" sz="1100" b="0">
                <a:solidFill>
                  <a:schemeClr val="tx1"/>
                </a:solidFill>
              </a:rPr>
              <a:t>단위</a:t>
            </a:r>
            <a:r>
              <a:rPr lang="en-US" altLang="ko-KR" sz="1100" b="0">
                <a:solidFill>
                  <a:schemeClr val="tx1"/>
                </a:solidFill>
              </a:rPr>
              <a:t>:</a:t>
            </a:r>
            <a:r>
              <a:rPr lang="ko-KR" altLang="en-US" sz="1100" b="0">
                <a:solidFill>
                  <a:schemeClr val="tx1"/>
                </a:solidFill>
              </a:rPr>
              <a:t>억원</a:t>
            </a:r>
            <a:r>
              <a:rPr lang="ko-KR" sz="1100" b="0">
                <a:solidFill>
                  <a:schemeClr val="tx1"/>
                </a:solidFill>
              </a:rPr>
              <a:t>)</a:t>
            </a:r>
            <a:endParaRPr lang="ko-KR" sz="1200" b="0">
              <a:solidFill>
                <a:schemeClr val="tx1"/>
              </a:solidFill>
            </a:endParaRP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근거_민감도!$A$44</c:f>
            </c:strRef>
          </c:tx>
          <c:spPr>
            <a:solidFill>
              <a:srgbClr val="FFC000"/>
            </a:solidFill>
          </c:spPr>
          <c:invertIfNegative val="1"/>
          <c:dPt>
            <c:idx val="0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1-89B7-4638-AE70-F626E1A357CC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89B7-4638-AE70-F626E1A357CC}"/>
              </c:ext>
            </c:extLst>
          </c:dPt>
          <c:dPt>
            <c:idx val="2"/>
            <c:invertIfNegative val="0"/>
            <c:bubble3D val="0"/>
            <c:spPr>
              <a:solidFill>
                <a:srgbClr val="70AD47"/>
              </a:solidFill>
            </c:spPr>
            <c:extLst>
              <c:ext xmlns:c16="http://schemas.microsoft.com/office/drawing/2014/chart" uri="{C3380CC4-5D6E-409C-BE32-E72D297353CC}">
                <c16:uniqueId val="{00000005-89B7-4638-AE70-F626E1A357CC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1"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근거_민감도!$B$43:$D$43</c:f>
            </c:strRef>
          </c:cat>
          <c:val>
            <c:numRef>
              <c:f>근거_민감도!$B$44:$D$44</c:f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6-89B7-4638-AE70-F626E1A357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00"/>
        <c:axId val="200"/>
      </c:barChart>
      <c:catAx>
        <c:axId val="100"/>
        <c:scaling>
          <c:orientation val="minMax"/>
        </c:scaling>
        <c:delete val="0"/>
        <c:axPos val="b"/>
        <c:numFmt formatCode="General" sourceLinked="0"/>
        <c:majorTickMark val="cross"/>
        <c:minorTickMark val="cross"/>
        <c:tickLblPos val="nextTo"/>
        <c:crossAx val="200"/>
        <c:crosses val="autoZero"/>
        <c:auto val="1"/>
        <c:lblAlgn val="ctr"/>
        <c:lblOffset val="100"/>
        <c:noMultiLvlLbl val="1"/>
      </c:catAx>
      <c:valAx>
        <c:axId val="200"/>
        <c:scaling>
          <c:orientation val="minMax"/>
        </c:scaling>
        <c:delete val="1"/>
        <c:axPos val="l"/>
        <c:numFmt formatCode="General" sourceLinked="1"/>
        <c:majorTickMark val="cross"/>
        <c:minorTickMark val="cross"/>
        <c:tickLblPos val="nextTo"/>
        <c:crossAx val="100"/>
        <c:crosses val="autoZero"/>
        <c:crossBetween val="between"/>
      </c:valAx>
    </c:plotArea>
    <c:plotVisOnly val="0"/>
    <c:dispBlanksAs val="gap"/>
    <c:showDLblsOverMax val="1"/>
  </c:chart>
  <c:spPr>
    <a:ln>
      <a:solidFill>
        <a:schemeClr val="bg1">
          <a:lumMod val="85000"/>
        </a:schemeClr>
      </a:solidFill>
    </a:ln>
  </c:spPr>
  <c:printSettings>
    <c:headerFooter/>
    <c:pageMargins b="0.75" l="0.7" r="0.7" t="0.75" header="0.3" footer="0.3"/>
    <c:pageSetup/>
  </c:printSettings>
</c:chartSpace>
</file>

<file path=xl/charts/lix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lix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lix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lix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lixdrawing1.xml.rels><?xml version="1.0" encoding="UTF-8" standalone="yes"?>
<Relationships xmlns="http://schemas.openxmlformats.org/package/2006/relationships"><Relationship Id="rId8" Type="http://schemas.openxmlformats.org/officeDocument/2006/relationships/hyperlink" Target="#&#44540;&#44144;_&#48124;&#44048;&#46020;!A1"/><Relationship Id="rId3" Type="http://schemas.openxmlformats.org/officeDocument/2006/relationships/hyperlink" Target="#'FCST FLOW'!A1"/><Relationship Id="rId7" Type="http://schemas.openxmlformats.org/officeDocument/2006/relationships/hyperlink" Target="#&#44540;&#44144;_&#47588;&#52636;!A1"/><Relationship Id="rId2" Type="http://schemas.openxmlformats.org/officeDocument/2006/relationships/hyperlink" Target="#&#48320;&#46041;&#50836;&#51064;&#48516;&#49437;!A1"/><Relationship Id="rId1" Type="http://schemas.openxmlformats.org/officeDocument/2006/relationships/hyperlink" Target="#'FCST RESULT'!A1"/><Relationship Id="rId6" Type="http://schemas.openxmlformats.org/officeDocument/2006/relationships/hyperlink" Target="#'&#44540;&#44144;_NSA&#49688;&#47049;(IQVIA&#44592;&#51456;)'!A1"/><Relationship Id="rId11" Type="http://schemas.openxmlformats.org/officeDocument/2006/relationships/hyperlink" Target="#&#50896;&#51088;&#47308;_&#48516;&#44592;&#49892;&#52769;!A1"/><Relationship Id="rId5" Type="http://schemas.openxmlformats.org/officeDocument/2006/relationships/hyperlink" Target="#'&#44540;&#44144;_Ramosetron &#49884;&#51109; &#49688;&#47049;'!A1"/><Relationship Id="rId10" Type="http://schemas.openxmlformats.org/officeDocument/2006/relationships/hyperlink" Target="#&#50896;&#48376;_NSA_&#50672;&#44036;&#50696;&#52769;!A1"/><Relationship Id="rId4" Type="http://schemas.openxmlformats.org/officeDocument/2006/relationships/hyperlink" Target="#&#44540;&#44144;_&#51204;&#49888;&#47560;&#52712;&#54872;&#51088;&#49688;!A1"/><Relationship Id="rId9" Type="http://schemas.openxmlformats.org/officeDocument/2006/relationships/hyperlink" Target="#CALC!A1"/></Relationships>
</file>

<file path=xl/drawings/_rels/lixdrawing2.xml.rels><?xml version="1.0" encoding="UTF-8" standalone="yes"?>
<Relationships xmlns="http://schemas.openxmlformats.org/package/2006/relationships"><Relationship Id="rId3" Type="http://schemas.openxmlformats.org/officeDocument/2006/relationships/hyperlink" Target="#&#54364;&#51648;!A1"/><Relationship Id="rId2" Type="http://schemas.openxmlformats.org/officeDocument/2006/relationships/chart" Target="../charts/lixchart2.xml"/><Relationship Id="rId1" Type="http://schemas.openxmlformats.org/officeDocument/2006/relationships/chart" Target="../charts/lixchart1.xml"/></Relationships>
</file>

<file path=xl/drawings/_rels/lixdrawing3.xml.rels><?xml version="1.0" encoding="UTF-8" standalone="yes"?>
<Relationships xmlns="http://schemas.openxmlformats.org/package/2006/relationships"><Relationship Id="rId3" Type="http://schemas.openxmlformats.org/officeDocument/2006/relationships/hyperlink" Target="#&#54364;&#51648;!A1"/><Relationship Id="rId2" Type="http://schemas.openxmlformats.org/officeDocument/2006/relationships/chart" Target="../charts/lixchart4.xml"/><Relationship Id="rId1" Type="http://schemas.openxmlformats.org/officeDocument/2006/relationships/chart" Target="../charts/lixchart3.xml"/></Relationships>
</file>

<file path=xl/drawings/_rels/lixdrawing4.xml.rels><?xml version="1.0" encoding="UTF-8" standalone="yes"?>
<Relationships xmlns="http://schemas.openxmlformats.org/package/2006/relationships"><Relationship Id="rId1" Type="http://schemas.openxmlformats.org/officeDocument/2006/relationships/hyperlink" Target="#&#54364;&#51648;!A1"/></Relationships>
</file>

<file path=xl/drawings/lix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327660</xdr:colOff>
      <xdr:row>1</xdr:row>
      <xdr:rowOff>287020</xdr:rowOff>
    </xdr:from>
    <xdr:to>
      <xdr:col>3</xdr:col>
      <xdr:colOff>223520</xdr:colOff>
      <xdr:row>4</xdr:row>
      <xdr:rowOff>198120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8BADF301-E5E3-12A8-05D9-C51A314BD213}"/>
            </a:ext>
          </a:extLst>
        </xdr:cNvPr>
        <xdr:cNvSpPr/>
      </xdr:nvSpPr>
      <xdr:spPr>
        <a:xfrm>
          <a:off x="533400" y="508000"/>
          <a:ext cx="787400" cy="787400"/>
        </a:xfrm>
        <a:prstGeom prst="roundRect">
          <a:avLst/>
        </a:prstGeom>
        <a:solidFill>
          <a:srgbClr val="1F386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rgbClr val="FFFFFF"/>
              </a:solidFill>
            </a:rPr>
            <a:t>NSA</a:t>
          </a:r>
          <a:endParaRPr lang="ko-KR" altLang="en-US" sz="2000" b="1">
            <a:solidFill>
              <a:srgbClr val="FFFFFF"/>
            </a:solidFill>
          </a:endParaRPr>
        </a:p>
      </xdr:txBody>
    </xdr:sp>
    <xdr:clientData/>
  </xdr:twoCellAnchor>
  <xdr:twoCellAnchor>
    <xdr:from>
      <xdr:col>2</xdr:col>
      <xdr:colOff>401320</xdr:colOff>
      <xdr:row>1</xdr:row>
      <xdr:rowOff>312420</xdr:rowOff>
    </xdr:from>
    <xdr:to>
      <xdr:col>11</xdr:col>
      <xdr:colOff>251460</xdr:colOff>
      <xdr:row>3</xdr:row>
      <xdr:rowOff>139700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E1FF7B67-53C2-38EC-3C7D-CD3BA41A515F}"/>
            </a:ext>
          </a:extLst>
        </xdr:cNvPr>
        <xdr:cNvSpPr/>
      </xdr:nvSpPr>
      <xdr:spPr>
        <a:xfrm>
          <a:off x="1498600" y="533400"/>
          <a:ext cx="7874000" cy="4826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2800" b="1">
              <a:solidFill>
                <a:srgbClr val="333333"/>
              </a:solidFill>
            </a:rPr>
            <a:t>NSA Sales Forecast</a:t>
          </a:r>
          <a:endParaRPr lang="ko-KR" altLang="en-US" sz="2800" b="1">
            <a:solidFill>
              <a:srgbClr val="333333"/>
            </a:solidFill>
          </a:endParaRPr>
        </a:p>
      </xdr:txBody>
    </xdr:sp>
    <xdr:clientData/>
  </xdr:twoCellAnchor>
  <xdr:twoCellAnchor>
    <xdr:from>
      <xdr:col>2</xdr:col>
      <xdr:colOff>426720</xdr:colOff>
      <xdr:row>3</xdr:row>
      <xdr:rowOff>190500</xdr:rowOff>
    </xdr:from>
    <xdr:to>
      <xdr:col>11</xdr:col>
      <xdr:colOff>784860</xdr:colOff>
      <xdr:row>5</xdr:row>
      <xdr:rowOff>2540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DD5DCB3D-623F-8804-6114-11D5FF856101}"/>
            </a:ext>
          </a:extLst>
        </xdr:cNvPr>
        <xdr:cNvSpPr/>
      </xdr:nvSpPr>
      <xdr:spPr>
        <a:xfrm>
          <a:off x="1524000" y="1066800"/>
          <a:ext cx="8382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200">
              <a:solidFill>
                <a:srgbClr val="808080"/>
              </a:solidFill>
            </a:rPr>
            <a:t>FY2027 Budget  ·  FY2028~2030 MTS  </a:t>
          </a:r>
          <a:endParaRPr lang="ko-KR" altLang="en-US" sz="1200">
            <a:solidFill>
              <a:srgbClr val="808080"/>
            </a:solidFill>
          </a:endParaRPr>
        </a:p>
      </xdr:txBody>
    </xdr:sp>
    <xdr:clientData/>
  </xdr:twoCellAnchor>
  <xdr:twoCellAnchor>
    <xdr:from>
      <xdr:col>1</xdr:col>
      <xdr:colOff>607060</xdr:colOff>
      <xdr:row>8</xdr:row>
      <xdr:rowOff>50800</xdr:rowOff>
    </xdr:from>
    <xdr:to>
      <xdr:col>5</xdr:col>
      <xdr:colOff>850900</xdr:colOff>
      <xdr:row>8</xdr:row>
      <xdr:rowOff>254000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A584D137-D121-24D5-B019-8F9241B796B6}"/>
            </a:ext>
          </a:extLst>
        </xdr:cNvPr>
        <xdr:cNvSpPr/>
      </xdr:nvSpPr>
      <xdr:spPr>
        <a:xfrm>
          <a:off x="812800" y="1955800"/>
          <a:ext cx="3810000" cy="2032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950" b="1">
              <a:solidFill>
                <a:srgbClr val="A0A0A8"/>
              </a:solidFill>
            </a:rPr>
            <a:t>요약  </a:t>
          </a:r>
          <a:r>
            <a:rPr lang="en-US" altLang="ko-KR" sz="950" b="1">
              <a:solidFill>
                <a:srgbClr val="A0A0A8"/>
              </a:solidFill>
            </a:rPr>
            <a:t>·  </a:t>
          </a:r>
          <a:r>
            <a:rPr lang="ko-KR" altLang="en-US" sz="950" b="1">
              <a:solidFill>
                <a:srgbClr val="A0A0A8"/>
              </a:solidFill>
            </a:rPr>
            <a:t>보고</a:t>
          </a:r>
        </a:p>
      </xdr:txBody>
    </xdr:sp>
    <xdr:clientData/>
  </xdr:twoCellAnchor>
  <xdr:twoCellAnchor>
    <xdr:from>
      <xdr:col>1</xdr:col>
      <xdr:colOff>607060</xdr:colOff>
      <xdr:row>8</xdr:row>
      <xdr:rowOff>368300</xdr:rowOff>
    </xdr:from>
    <xdr:to>
      <xdr:col>1</xdr:col>
      <xdr:colOff>772160</xdr:colOff>
      <xdr:row>9</xdr:row>
      <xdr:rowOff>106680</xdr:rowOff>
    </xdr:to>
    <xdr:sp macro="" textlink="">
      <xdr:nvSpPr>
        <xdr:cNvPr id="6" name="타원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81D1AA-8824-0B9F-D8A3-4115D64FDB59}"/>
            </a:ext>
          </a:extLst>
        </xdr:cNvPr>
        <xdr:cNvSpPr/>
      </xdr:nvSpPr>
      <xdr:spPr>
        <a:xfrm>
          <a:off x="812800" y="2349500"/>
          <a:ext cx="165100" cy="165100"/>
        </a:xfrm>
        <a:prstGeom prst="ellipse">
          <a:avLst/>
        </a:prstGeom>
        <a:solidFill>
          <a:srgbClr val="1F386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8</xdr:row>
      <xdr:rowOff>330200</xdr:rowOff>
    </xdr:from>
    <xdr:to>
      <xdr:col>6</xdr:col>
      <xdr:colOff>772160</xdr:colOff>
      <xdr:row>9</xdr:row>
      <xdr:rowOff>157480</xdr:rowOff>
    </xdr:to>
    <xdr:sp macro="" textlink="">
      <xdr:nvSpPr>
        <xdr:cNvPr id="7" name="직사각형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CADCEA-1F90-9AB8-92D8-B8A8ED6B99DC}"/>
            </a:ext>
          </a:extLst>
        </xdr:cNvPr>
        <xdr:cNvSpPr/>
      </xdr:nvSpPr>
      <xdr:spPr>
        <a:xfrm>
          <a:off x="1117600" y="22352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50">
              <a:solidFill>
                <a:srgbClr val="333333"/>
              </a:solidFill>
            </a:rPr>
            <a:t>FCST RESULT</a:t>
          </a:r>
          <a:endParaRPr lang="ko-KR" altLang="en-US" sz="1150">
            <a:solidFill>
              <a:srgbClr val="333333"/>
            </a:solidFill>
          </a:endParaRPr>
        </a:p>
      </xdr:txBody>
    </xdr:sp>
    <xdr:clientData/>
  </xdr:twoCellAnchor>
  <xdr:twoCellAnchor>
    <xdr:from>
      <xdr:col>1</xdr:col>
      <xdr:colOff>607060</xdr:colOff>
      <xdr:row>10</xdr:row>
      <xdr:rowOff>60960</xdr:rowOff>
    </xdr:from>
    <xdr:to>
      <xdr:col>1</xdr:col>
      <xdr:colOff>772160</xdr:colOff>
      <xdr:row>11</xdr:row>
      <xdr:rowOff>149860</xdr:rowOff>
    </xdr:to>
    <xdr:sp macro="" textlink="">
      <xdr:nvSpPr>
        <xdr:cNvPr id="8" name="타원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4A6B41F-88F8-1596-44D2-EDD9FAB9C865}"/>
            </a:ext>
          </a:extLst>
        </xdr:cNvPr>
        <xdr:cNvSpPr/>
      </xdr:nvSpPr>
      <xdr:spPr>
        <a:xfrm>
          <a:off x="812800" y="2743200"/>
          <a:ext cx="165100" cy="165100"/>
        </a:xfrm>
        <a:prstGeom prst="ellipse">
          <a:avLst/>
        </a:prstGeom>
        <a:solidFill>
          <a:srgbClr val="1F386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10</xdr:row>
      <xdr:rowOff>22860</xdr:rowOff>
    </xdr:from>
    <xdr:to>
      <xdr:col>6</xdr:col>
      <xdr:colOff>772160</xdr:colOff>
      <xdr:row>11</xdr:row>
      <xdr:rowOff>200660</xdr:rowOff>
    </xdr:to>
    <xdr:sp macro="" textlink="">
      <xdr:nvSpPr>
        <xdr:cNvPr id="9" name="직사각형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1E4D5B3-74D0-E111-F798-C4A6D3D6DC1E}"/>
            </a:ext>
          </a:extLst>
        </xdr:cNvPr>
        <xdr:cNvSpPr/>
      </xdr:nvSpPr>
      <xdr:spPr>
        <a:xfrm>
          <a:off x="1117600" y="26289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150">
              <a:solidFill>
                <a:srgbClr val="333333"/>
              </a:solidFill>
            </a:rPr>
            <a:t>변동요인분석</a:t>
          </a:r>
        </a:p>
      </xdr:txBody>
    </xdr:sp>
    <xdr:clientData/>
  </xdr:twoCellAnchor>
  <xdr:twoCellAnchor>
    <xdr:from>
      <xdr:col>1</xdr:col>
      <xdr:colOff>607060</xdr:colOff>
      <xdr:row>12</xdr:row>
      <xdr:rowOff>157480</xdr:rowOff>
    </xdr:from>
    <xdr:to>
      <xdr:col>1</xdr:col>
      <xdr:colOff>772160</xdr:colOff>
      <xdr:row>12</xdr:row>
      <xdr:rowOff>322580</xdr:rowOff>
    </xdr:to>
    <xdr:sp macro="" textlink="">
      <xdr:nvSpPr>
        <xdr:cNvPr id="10" name="타원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69CFF47-B9C9-12C2-47A2-D647C628ED22}"/>
            </a:ext>
          </a:extLst>
        </xdr:cNvPr>
        <xdr:cNvSpPr/>
      </xdr:nvSpPr>
      <xdr:spPr>
        <a:xfrm>
          <a:off x="812800" y="3136900"/>
          <a:ext cx="165100" cy="165100"/>
        </a:xfrm>
        <a:prstGeom prst="ellipse">
          <a:avLst/>
        </a:prstGeom>
        <a:solidFill>
          <a:srgbClr val="1F386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12</xdr:row>
      <xdr:rowOff>119380</xdr:rowOff>
    </xdr:from>
    <xdr:to>
      <xdr:col>6</xdr:col>
      <xdr:colOff>772160</xdr:colOff>
      <xdr:row>12</xdr:row>
      <xdr:rowOff>373380</xdr:rowOff>
    </xdr:to>
    <xdr:sp macro="" textlink="">
      <xdr:nvSpPr>
        <xdr:cNvPr id="11" name="직사각형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30F0E12-FAAE-E7CE-1608-43E4EDD92439}"/>
            </a:ext>
          </a:extLst>
        </xdr:cNvPr>
        <xdr:cNvSpPr/>
      </xdr:nvSpPr>
      <xdr:spPr>
        <a:xfrm>
          <a:off x="1117600" y="30226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50">
              <a:solidFill>
                <a:srgbClr val="333333"/>
              </a:solidFill>
            </a:rPr>
            <a:t>FCST FLOW</a:t>
          </a:r>
          <a:endParaRPr lang="ko-KR" altLang="en-US" sz="1150">
            <a:solidFill>
              <a:srgbClr val="333333"/>
            </a:solidFill>
          </a:endParaRPr>
        </a:p>
      </xdr:txBody>
    </xdr:sp>
    <xdr:clientData/>
  </xdr:twoCellAnchor>
  <xdr:twoCellAnchor>
    <xdr:from>
      <xdr:col>1</xdr:col>
      <xdr:colOff>607060</xdr:colOff>
      <xdr:row>14</xdr:row>
      <xdr:rowOff>15240</xdr:rowOff>
    </xdr:from>
    <xdr:to>
      <xdr:col>5</xdr:col>
      <xdr:colOff>850900</xdr:colOff>
      <xdr:row>15</xdr:row>
      <xdr:rowOff>142240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DB356841-AB90-1856-CD6E-EAF362EB2F24}"/>
            </a:ext>
          </a:extLst>
        </xdr:cNvPr>
        <xdr:cNvSpPr/>
      </xdr:nvSpPr>
      <xdr:spPr>
        <a:xfrm>
          <a:off x="812800" y="3619500"/>
          <a:ext cx="3810000" cy="2032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950" b="1">
              <a:solidFill>
                <a:srgbClr val="A0A0A8"/>
              </a:solidFill>
            </a:rPr>
            <a:t>산출 근거 체인</a:t>
          </a:r>
        </a:p>
      </xdr:txBody>
    </xdr:sp>
    <xdr:clientData/>
  </xdr:twoCellAnchor>
  <xdr:twoCellAnchor>
    <xdr:from>
      <xdr:col>1</xdr:col>
      <xdr:colOff>607060</xdr:colOff>
      <xdr:row>16</xdr:row>
      <xdr:rowOff>35560</xdr:rowOff>
    </xdr:from>
    <xdr:to>
      <xdr:col>1</xdr:col>
      <xdr:colOff>772160</xdr:colOff>
      <xdr:row>16</xdr:row>
      <xdr:rowOff>200660</xdr:rowOff>
    </xdr:to>
    <xdr:sp macro="" textlink="">
      <xdr:nvSpPr>
        <xdr:cNvPr id="13" name="타원 1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DE7CE05-0C58-B2D8-3C72-47241049AFE6}"/>
            </a:ext>
          </a:extLst>
        </xdr:cNvPr>
        <xdr:cNvSpPr/>
      </xdr:nvSpPr>
      <xdr:spPr>
        <a:xfrm>
          <a:off x="812800" y="4013200"/>
          <a:ext cx="165100" cy="165100"/>
        </a:xfrm>
        <a:prstGeom prst="ellipse">
          <a:avLst/>
        </a:prstGeom>
        <a:solidFill>
          <a:srgbClr val="53813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15</xdr:row>
      <xdr:rowOff>218440</xdr:rowOff>
    </xdr:from>
    <xdr:to>
      <xdr:col>6</xdr:col>
      <xdr:colOff>772160</xdr:colOff>
      <xdr:row>16</xdr:row>
      <xdr:rowOff>251460</xdr:rowOff>
    </xdr:to>
    <xdr:sp macro="" textlink="">
      <xdr:nvSpPr>
        <xdr:cNvPr id="14" name="직사각형 1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3BA810A-6CCC-57E9-710D-46F60C5A7AC0}"/>
            </a:ext>
          </a:extLst>
        </xdr:cNvPr>
        <xdr:cNvSpPr/>
      </xdr:nvSpPr>
      <xdr:spPr>
        <a:xfrm>
          <a:off x="1117600" y="38989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50">
              <a:solidFill>
                <a:srgbClr val="333333"/>
              </a:solidFill>
            </a:rPr>
            <a:t>1  </a:t>
          </a:r>
          <a:r>
            <a:rPr lang="ko-KR" altLang="en-US" sz="1150">
              <a:solidFill>
                <a:srgbClr val="333333"/>
              </a:solidFill>
            </a:rPr>
            <a:t>전신마취환자수</a:t>
          </a:r>
        </a:p>
      </xdr:txBody>
    </xdr:sp>
    <xdr:clientData/>
  </xdr:twoCellAnchor>
  <xdr:twoCellAnchor>
    <xdr:from>
      <xdr:col>1</xdr:col>
      <xdr:colOff>607060</xdr:colOff>
      <xdr:row>17</xdr:row>
      <xdr:rowOff>2540</xdr:rowOff>
    </xdr:from>
    <xdr:to>
      <xdr:col>1</xdr:col>
      <xdr:colOff>772160</xdr:colOff>
      <xdr:row>17</xdr:row>
      <xdr:rowOff>167640</xdr:rowOff>
    </xdr:to>
    <xdr:sp macro="" textlink="">
      <xdr:nvSpPr>
        <xdr:cNvPr id="15" name="타원 1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7427AE7-647A-0F54-202F-C8306C0B063C}"/>
            </a:ext>
          </a:extLst>
        </xdr:cNvPr>
        <xdr:cNvSpPr/>
      </xdr:nvSpPr>
      <xdr:spPr>
        <a:xfrm>
          <a:off x="812800" y="4406900"/>
          <a:ext cx="165100" cy="165100"/>
        </a:xfrm>
        <a:prstGeom prst="ellipse">
          <a:avLst/>
        </a:prstGeom>
        <a:solidFill>
          <a:srgbClr val="53813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16</xdr:row>
      <xdr:rowOff>391160</xdr:rowOff>
    </xdr:from>
    <xdr:to>
      <xdr:col>6</xdr:col>
      <xdr:colOff>772160</xdr:colOff>
      <xdr:row>17</xdr:row>
      <xdr:rowOff>218440</xdr:rowOff>
    </xdr:to>
    <xdr:sp macro="" textlink="">
      <xdr:nvSpPr>
        <xdr:cNvPr id="16" name="직사각형 1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25BD7F7-9A0B-37F3-0E21-DABABFFA0213}"/>
            </a:ext>
          </a:extLst>
        </xdr:cNvPr>
        <xdr:cNvSpPr/>
      </xdr:nvSpPr>
      <xdr:spPr>
        <a:xfrm>
          <a:off x="1117600" y="42926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50">
              <a:solidFill>
                <a:srgbClr val="333333"/>
              </a:solidFill>
            </a:rPr>
            <a:t>2  </a:t>
          </a:r>
          <a:r>
            <a:rPr lang="ko-KR" altLang="en-US" sz="1150">
              <a:solidFill>
                <a:srgbClr val="333333"/>
              </a:solidFill>
            </a:rPr>
            <a:t>Ramosetron 시장 수량</a:t>
          </a:r>
        </a:p>
      </xdr:txBody>
    </xdr:sp>
    <xdr:clientData/>
  </xdr:twoCellAnchor>
  <xdr:twoCellAnchor>
    <xdr:from>
      <xdr:col>1</xdr:col>
      <xdr:colOff>607060</xdr:colOff>
      <xdr:row>19</xdr:row>
      <xdr:rowOff>45720</xdr:rowOff>
    </xdr:from>
    <xdr:to>
      <xdr:col>1</xdr:col>
      <xdr:colOff>772160</xdr:colOff>
      <xdr:row>19</xdr:row>
      <xdr:rowOff>210820</xdr:rowOff>
    </xdr:to>
    <xdr:sp macro="" textlink="">
      <xdr:nvSpPr>
        <xdr:cNvPr id="17" name="타원 1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7A00B6F-C0D7-D6B2-CE25-41ABC5B1C796}"/>
            </a:ext>
          </a:extLst>
        </xdr:cNvPr>
        <xdr:cNvSpPr/>
      </xdr:nvSpPr>
      <xdr:spPr>
        <a:xfrm>
          <a:off x="812800" y="4800600"/>
          <a:ext cx="165100" cy="165100"/>
        </a:xfrm>
        <a:prstGeom prst="ellipse">
          <a:avLst/>
        </a:prstGeom>
        <a:solidFill>
          <a:srgbClr val="53813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19</xdr:row>
      <xdr:rowOff>7620</xdr:rowOff>
    </xdr:from>
    <xdr:to>
      <xdr:col>6</xdr:col>
      <xdr:colOff>772160</xdr:colOff>
      <xdr:row>20</xdr:row>
      <xdr:rowOff>40640</xdr:rowOff>
    </xdr:to>
    <xdr:sp macro="" textlink="">
      <xdr:nvSpPr>
        <xdr:cNvPr id="18" name="직사각형 1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15BE9C4-6D84-199D-C4E3-44AE21B6135A}"/>
            </a:ext>
          </a:extLst>
        </xdr:cNvPr>
        <xdr:cNvSpPr/>
      </xdr:nvSpPr>
      <xdr:spPr>
        <a:xfrm>
          <a:off x="1117600" y="46863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50">
              <a:solidFill>
                <a:srgbClr val="333333"/>
              </a:solidFill>
            </a:rPr>
            <a:t>3  NSA </a:t>
          </a:r>
          <a:r>
            <a:rPr lang="ko-KR" altLang="en-US" sz="1150">
              <a:solidFill>
                <a:srgbClr val="333333"/>
              </a:solidFill>
            </a:rPr>
            <a:t>수량 · MS</a:t>
          </a:r>
        </a:p>
      </xdr:txBody>
    </xdr:sp>
    <xdr:clientData/>
  </xdr:twoCellAnchor>
  <xdr:twoCellAnchor>
    <xdr:from>
      <xdr:col>1</xdr:col>
      <xdr:colOff>607060</xdr:colOff>
      <xdr:row>20</xdr:row>
      <xdr:rowOff>218440</xdr:rowOff>
    </xdr:from>
    <xdr:to>
      <xdr:col>1</xdr:col>
      <xdr:colOff>772160</xdr:colOff>
      <xdr:row>20</xdr:row>
      <xdr:rowOff>383540</xdr:rowOff>
    </xdr:to>
    <xdr:sp macro="" textlink="">
      <xdr:nvSpPr>
        <xdr:cNvPr id="19" name="타원 1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69E19FE-8CE9-2243-6DD1-9A93905E29BD}"/>
            </a:ext>
          </a:extLst>
        </xdr:cNvPr>
        <xdr:cNvSpPr/>
      </xdr:nvSpPr>
      <xdr:spPr>
        <a:xfrm>
          <a:off x="812800" y="5194300"/>
          <a:ext cx="165100" cy="165100"/>
        </a:xfrm>
        <a:prstGeom prst="ellipse">
          <a:avLst/>
        </a:prstGeom>
        <a:solidFill>
          <a:srgbClr val="53813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20</xdr:row>
      <xdr:rowOff>180340</xdr:rowOff>
    </xdr:from>
    <xdr:to>
      <xdr:col>6</xdr:col>
      <xdr:colOff>772160</xdr:colOff>
      <xdr:row>21</xdr:row>
      <xdr:rowOff>7620</xdr:rowOff>
    </xdr:to>
    <xdr:sp macro="" textlink="">
      <xdr:nvSpPr>
        <xdr:cNvPr id="32" name="직사각형 3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9E83820-F550-C087-42A2-22B7E9F7E423}"/>
            </a:ext>
          </a:extLst>
        </xdr:cNvPr>
        <xdr:cNvSpPr/>
      </xdr:nvSpPr>
      <xdr:spPr>
        <a:xfrm>
          <a:off x="1117600" y="50800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50">
              <a:solidFill>
                <a:srgbClr val="333333"/>
              </a:solidFill>
            </a:rPr>
            <a:t>4  매출</a:t>
          </a:r>
          <a:r>
            <a:rPr lang="ko-KR" altLang="en-US" sz="1150">
              <a:solidFill>
                <a:srgbClr val="333333"/>
              </a:solidFill>
            </a:rPr>
            <a:t/>
          </a:r>
          <a:r>
            <a:rPr lang="en-US" altLang="ko-KR" sz="1150">
              <a:solidFill>
                <a:srgbClr val="333333"/>
              </a:solidFill>
            </a:rPr>
            <a:t/>
          </a:r>
          <a:endParaRPr lang="ko-KR" altLang="en-US" sz="1150">
            <a:solidFill>
              <a:srgbClr val="333333"/>
            </a:solidFill>
          </a:endParaRPr>
        </a:p>
      </xdr:txBody>
    </xdr:sp>
    <xdr:clientData/>
  </xdr:twoCellAnchor>
  <xdr:twoCellAnchor>
    <xdr:from>
      <xdr:col>1</xdr:col>
      <xdr:colOff>607060</xdr:colOff>
      <xdr:row>21</xdr:row>
      <xdr:rowOff>185420</xdr:rowOff>
    </xdr:from>
    <xdr:to>
      <xdr:col>1</xdr:col>
      <xdr:colOff>772160</xdr:colOff>
      <xdr:row>23</xdr:row>
      <xdr:rowOff>0</xdr:rowOff>
    </xdr:to>
    <xdr:sp macro="" textlink="">
      <xdr:nvSpPr>
        <xdr:cNvPr id="33" name="타원 3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FC1C8B3B-5129-B49A-6E32-46CC06712E46}"/>
            </a:ext>
          </a:extLst>
        </xdr:cNvPr>
        <xdr:cNvSpPr/>
      </xdr:nvSpPr>
      <xdr:spPr>
        <a:xfrm>
          <a:off x="812800" y="5588000"/>
          <a:ext cx="165100" cy="165100"/>
        </a:xfrm>
        <a:prstGeom prst="ellipse">
          <a:avLst/>
        </a:prstGeom>
        <a:solidFill>
          <a:srgbClr val="53813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21</xdr:row>
      <xdr:rowOff>147320</xdr:rowOff>
    </xdr:from>
    <xdr:to>
      <xdr:col>6</xdr:col>
      <xdr:colOff>772160</xdr:colOff>
      <xdr:row>23</xdr:row>
      <xdr:rowOff>50800</xdr:rowOff>
    </xdr:to>
    <xdr:sp macro="" textlink="">
      <xdr:nvSpPr>
        <xdr:cNvPr id="34" name="직사각형 3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CCBE32D-2674-7876-CB11-CB90BB7BC11D}"/>
            </a:ext>
          </a:extLst>
        </xdr:cNvPr>
        <xdr:cNvSpPr/>
      </xdr:nvSpPr>
      <xdr:spPr>
        <a:xfrm>
          <a:off x="1117600" y="54737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50">
              <a:solidFill>
                <a:srgbClr val="333333"/>
              </a:solidFill>
            </a:rPr>
            <a:t>5  민감도 분석</a:t>
          </a:r>
          <a:r>
            <a:rPr lang="ko-KR" altLang="en-US" sz="1150">
              <a:solidFill>
                <a:srgbClr val="333333"/>
              </a:solidFill>
            </a:rPr>
            <a:t/>
          </a:r>
          <a:r>
            <a:rPr lang="en-US" altLang="ko-KR" sz="1150">
              <a:solidFill>
                <a:srgbClr val="333333"/>
              </a:solidFill>
            </a:rPr>
            <a:t/>
          </a:r>
          <a:endParaRPr lang="ko-KR" altLang="en-US" sz="1150">
            <a:solidFill>
              <a:srgbClr val="333333"/>
            </a:solidFill>
          </a:endParaRPr>
        </a:p>
      </xdr:txBody>
    </xdr:sp>
    <xdr:clientData/>
  </xdr:twoCellAnchor>
  <xdr:twoCellAnchor>
    <xdr:from>
      <xdr:col>1</xdr:col>
      <xdr:colOff>607060</xdr:colOff>
      <xdr:row>24</xdr:row>
      <xdr:rowOff>7620</xdr:rowOff>
    </xdr:from>
    <xdr:to>
      <xdr:col>1</xdr:col>
      <xdr:colOff>772160</xdr:colOff>
      <xdr:row>24</xdr:row>
      <xdr:rowOff>172720</xdr:rowOff>
    </xdr:to>
    <xdr:sp macro="" textlink="">
      <xdr:nvSpPr>
        <xdr:cNvPr id="35" name="타원 3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21B9EBF-B308-24BA-C0D9-8D36F2B9A8CE}"/>
            </a:ext>
          </a:extLst>
        </xdr:cNvPr>
        <xdr:cNvSpPr/>
      </xdr:nvSpPr>
      <xdr:spPr>
        <a:xfrm>
          <a:off x="812800" y="5981700"/>
          <a:ext cx="165100" cy="165100"/>
        </a:xfrm>
        <a:prstGeom prst="ellipse">
          <a:avLst/>
        </a:prstGeom>
        <a:solidFill>
          <a:srgbClr val="53813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23</xdr:row>
      <xdr:rowOff>190500</xdr:rowOff>
    </xdr:from>
    <xdr:to>
      <xdr:col>6</xdr:col>
      <xdr:colOff>772160</xdr:colOff>
      <xdr:row>25</xdr:row>
      <xdr:rowOff>2540</xdr:rowOff>
    </xdr:to>
    <xdr:sp macro="" textlink="">
      <xdr:nvSpPr>
        <xdr:cNvPr id="36" name="직사각형 35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6DFB536-EECC-2331-0D6E-02FEA54ADEF3}"/>
            </a:ext>
          </a:extLst>
        </xdr:cNvPr>
        <xdr:cNvSpPr/>
      </xdr:nvSpPr>
      <xdr:spPr>
        <a:xfrm>
          <a:off x="1117600" y="58674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50">
              <a:solidFill>
                <a:srgbClr val="333333"/>
              </a:solidFill>
            </a:rPr>
            <a:t>6  </a:t>
          </a:r>
          <a:r>
            <a:rPr lang="ko-KR" altLang="en-US" sz="1150">
              <a:solidFill>
                <a:srgbClr val="333333"/>
              </a:solidFill>
            </a:rPr>
            <a:t>CALC (산출 엔진)</a:t>
          </a:r>
        </a:p>
      </xdr:txBody>
    </xdr:sp>
    <xdr:clientData/>
  </xdr:twoCellAnchor>
  <xdr:twoCellAnchor>
    <xdr:from>
      <xdr:col>1</xdr:col>
      <xdr:colOff>607060</xdr:colOff>
      <xdr:row>25</xdr:row>
      <xdr:rowOff>180340</xdr:rowOff>
    </xdr:from>
    <xdr:to>
      <xdr:col>1</xdr:col>
      <xdr:colOff>772160</xdr:colOff>
      <xdr:row>26</xdr:row>
      <xdr:rowOff>40640</xdr:rowOff>
    </xdr:to>
    <xdr:sp macro="" textlink="">
      <xdr:nvSpPr>
        <xdr:cNvPr id="37" name="타원 36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9B74D5BF-02FB-A489-49EF-C7D0D5BCCDD7}"/>
            </a:ext>
          </a:extLst>
        </xdr:cNvPr>
        <xdr:cNvSpPr/>
      </xdr:nvSpPr>
      <xdr:spPr>
        <a:xfrm>
          <a:off x="812800" y="6375400"/>
          <a:ext cx="165100" cy="165100"/>
        </a:xfrm>
        <a:prstGeom prst="ellipse">
          <a:avLst/>
        </a:prstGeom>
        <a:solidFill>
          <a:srgbClr val="53813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25</xdr:row>
      <xdr:rowOff>142240</xdr:rowOff>
    </xdr:from>
    <xdr:to>
      <xdr:col>6</xdr:col>
      <xdr:colOff>772160</xdr:colOff>
      <xdr:row>26</xdr:row>
      <xdr:rowOff>91440</xdr:rowOff>
    </xdr:to>
    <xdr:sp macro="" textlink="">
      <xdr:nvSpPr>
        <xdr:cNvPr id="38" name="직사각형 37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8245E73A-5F51-49E6-649A-918444AA7A7D}"/>
            </a:ext>
          </a:extLst>
        </xdr:cNvPr>
        <xdr:cNvSpPr/>
      </xdr:nvSpPr>
      <xdr:spPr>
        <a:xfrm>
          <a:off x="1117600" y="62611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150">
              <a:solidFill>
                <a:srgbClr val="333333"/>
              </a:solidFill>
            </a:rPr>
            <a:t>참고  연간예측 탑다운 검증</a:t>
          </a:r>
        </a:p>
      </xdr:txBody>
    </xdr:sp>
    <xdr:clientData/>
  </xdr:twoCellAnchor>
  <xdr:twoCellAnchor>
    <xdr:from>
      <xdr:col>1</xdr:col>
      <xdr:colOff>607060</xdr:colOff>
      <xdr:row>27</xdr:row>
      <xdr:rowOff>213360</xdr:rowOff>
    </xdr:from>
    <xdr:to>
      <xdr:col>5</xdr:col>
      <xdr:colOff>850900</xdr:colOff>
      <xdr:row>28</xdr:row>
      <xdr:rowOff>195580</xdr:rowOff>
    </xdr:to>
    <xdr:sp macro="" textlink="">
      <xdr:nvSpPr>
        <xdr:cNvPr id="39" name="직사각형 38">
          <a:extLst>
            <a:ext uri="{FF2B5EF4-FFF2-40B4-BE49-F238E27FC236}">
              <a16:creationId xmlns:a16="http://schemas.microsoft.com/office/drawing/2014/main" id="{9E1A53B3-D05D-4CD6-8A78-DC4D63E71703}"/>
            </a:ext>
          </a:extLst>
        </xdr:cNvPr>
        <xdr:cNvSpPr/>
      </xdr:nvSpPr>
      <xdr:spPr>
        <a:xfrm>
          <a:off x="812800" y="6858000"/>
          <a:ext cx="3810000" cy="2032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950" b="1">
              <a:solidFill>
                <a:srgbClr val="A0A0A8"/>
              </a:solidFill>
            </a:rPr>
            <a:t>데이터  </a:t>
          </a:r>
          <a:r>
            <a:rPr lang="en-US" altLang="ko-KR" sz="950" b="1">
              <a:solidFill>
                <a:srgbClr val="A0A0A8"/>
              </a:solidFill>
            </a:rPr>
            <a:t>·  </a:t>
          </a:r>
          <a:r>
            <a:rPr lang="ko-KR" altLang="en-US" sz="950" b="1">
              <a:solidFill>
                <a:srgbClr val="A0A0A8"/>
              </a:solidFill>
            </a:rPr>
            <a:t>운영</a:t>
          </a:r>
        </a:p>
      </xdr:txBody>
    </xdr:sp>
    <xdr:clientData/>
  </xdr:twoCellAnchor>
  <xdr:twoCellAnchor>
    <xdr:from>
      <xdr:col>1</xdr:col>
      <xdr:colOff>607060</xdr:colOff>
      <xdr:row>29</xdr:row>
      <xdr:rowOff>88900</xdr:rowOff>
    </xdr:from>
    <xdr:to>
      <xdr:col>1</xdr:col>
      <xdr:colOff>772160</xdr:colOff>
      <xdr:row>30</xdr:row>
      <xdr:rowOff>33020</xdr:rowOff>
    </xdr:to>
    <xdr:sp macro="" textlink="">
      <xdr:nvSpPr>
        <xdr:cNvPr id="40" name="타원 39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E6A5AC12-807F-4026-462D-3629FC2D9870}"/>
            </a:ext>
          </a:extLst>
        </xdr:cNvPr>
        <xdr:cNvSpPr/>
      </xdr:nvSpPr>
      <xdr:spPr>
        <a:xfrm>
          <a:off x="812800" y="7251700"/>
          <a:ext cx="165100" cy="165100"/>
        </a:xfrm>
        <a:prstGeom prst="ellipse">
          <a:avLst/>
        </a:prstGeom>
        <a:solidFill>
          <a:srgbClr val="80808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29</xdr:row>
      <xdr:rowOff>50800</xdr:rowOff>
    </xdr:from>
    <xdr:to>
      <xdr:col>6</xdr:col>
      <xdr:colOff>772160</xdr:colOff>
      <xdr:row>30</xdr:row>
      <xdr:rowOff>83820</xdr:rowOff>
    </xdr:to>
    <xdr:sp macro="" textlink="">
      <xdr:nvSpPr>
        <xdr:cNvPr id="41" name="직사각형 4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C39CD4A-5098-A53C-2ABA-CEC2A057AF6A}"/>
            </a:ext>
          </a:extLst>
        </xdr:cNvPr>
        <xdr:cNvSpPr/>
      </xdr:nvSpPr>
      <xdr:spPr>
        <a:xfrm>
          <a:off x="1117600" y="71374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150">
              <a:solidFill>
                <a:srgbClr val="333333"/>
              </a:solidFill>
            </a:rPr>
            <a:t>원자료</a:t>
          </a:r>
          <a:r>
            <a:rPr lang="en-US" altLang="ko-KR" sz="1150">
              <a:solidFill>
                <a:srgbClr val="333333"/>
              </a:solidFill>
            </a:rPr>
            <a:t>_분기실측  (</a:t>
          </a:r>
          <a:r>
            <a:rPr lang="ko-KR" altLang="en-US" sz="1150">
              <a:solidFill>
                <a:srgbClr val="333333"/>
              </a:solidFill>
            </a:rPr>
            <a:t>분기 실측 입력</a:t>
          </a:r>
          <a:r>
            <a:rPr lang="en-US" altLang="ko-KR" sz="1150">
              <a:solidFill>
                <a:srgbClr val="333333"/>
              </a:solidFill>
            </a:rPr>
            <a:t>)</a:t>
          </a:r>
          <a:endParaRPr lang="ko-KR" altLang="en-US" sz="1150">
            <a:solidFill>
              <a:srgbClr val="333333"/>
            </a:solidFill>
          </a:endParaRPr>
        </a:p>
      </xdr:txBody>
    </xdr:sp>
    <xdr:clientData/>
  </xdr:twoCellAnchor>
  <xdr:twoCellAnchor>
    <xdr:from>
      <xdr:col>1</xdr:col>
      <xdr:colOff>492760</xdr:colOff>
      <xdr:row>31</xdr:row>
      <xdr:rowOff>0</xdr:rowOff>
    </xdr:from>
    <xdr:to>
      <xdr:col>8</xdr:col>
      <xdr:colOff>859790</xdr:colOff>
      <xdr:row>31</xdr:row>
      <xdr:rowOff>197485</xdr:rowOff>
    </xdr:to>
    <xdr:sp macro="" textlink="">
      <xdr:nvSpPr>
        <xdr:cNvPr id="50" name="직사각형 49">
          <a:extLst>
            <a:ext uri="{FF2B5EF4-FFF2-40B4-BE49-F238E27FC236}">
              <a16:creationId xmlns:a16="http://schemas.microsoft.com/office/drawing/2014/main" id="{CE836489-AA5A-55D3-84F8-54A0AFC9B103}"/>
            </a:ext>
          </a:extLst>
        </xdr:cNvPr>
        <xdr:cNvSpPr/>
      </xdr:nvSpPr>
      <xdr:spPr>
        <a:xfrm>
          <a:off x="698500" y="7528560"/>
          <a:ext cx="6607810" cy="197485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900">
              <a:solidFill>
                <a:srgbClr val="A0A0A8"/>
              </a:solidFill>
            </a:rPr>
            <a:t>갱신</a:t>
          </a:r>
          <a:r>
            <a:rPr lang="en-US" altLang="ko-KR" sz="900">
              <a:solidFill>
                <a:srgbClr val="A0A0A8"/>
              </a:solidFill>
            </a:rPr>
            <a:t>: </a:t>
          </a:r>
          <a:r>
            <a:rPr lang="ko-KR" altLang="en-US" sz="900">
              <a:solidFill>
                <a:srgbClr val="A0A0A8"/>
              </a:solidFill>
            </a:rPr>
            <a:t>매분기 </a:t>
          </a:r>
          <a:r>
            <a:rPr lang="en-US" altLang="ko-KR" sz="900">
              <a:solidFill>
                <a:srgbClr val="A0A0A8"/>
              </a:solidFill>
            </a:rPr>
            <a:t>IQVIA·HIRA·SS-Chart </a:t>
          </a:r>
          <a:r>
            <a:rPr lang="ko-KR" altLang="en-US" sz="900">
              <a:solidFill>
                <a:srgbClr val="A0A0A8"/>
              </a:solidFill>
            </a:rPr>
            <a:t>실측을 원자료</a:t>
          </a:r>
          <a:r>
            <a:rPr lang="en-US" altLang="ko-KR" sz="900">
              <a:solidFill>
                <a:srgbClr val="A0A0A8"/>
              </a:solidFill>
            </a:rPr>
            <a:t>_분기실측</a:t>
          </a:r>
          <a:r>
            <a:rPr lang="ko-KR" altLang="en-US" sz="900">
              <a:solidFill>
                <a:srgbClr val="A0A0A8"/>
              </a:solidFill>
            </a:rPr>
            <a:t>에 입력하면 전체가 자동 재계산됩니다</a:t>
          </a:r>
        </a:p>
      </xdr:txBody>
    </xdr:sp>
    <xdr:clientData/>
  </xdr:twoCellAnchor>
  <xdr:twoCellAnchor>
    <xdr:from>
      <xdr:col>9</xdr:col>
      <xdr:colOff>403859</xdr:colOff>
      <xdr:row>0</xdr:row>
      <xdr:rowOff>97154</xdr:rowOff>
    </xdr:from>
    <xdr:to>
      <xdr:col>10</xdr:col>
      <xdr:colOff>777874</xdr:colOff>
      <xdr:row>2</xdr:row>
      <xdr:rowOff>142874</xdr:rowOff>
    </xdr:to>
    <xdr:sp macro="" textlink="">
      <xdr:nvSpPr>
        <xdr:cNvPr id="51" name="직사각형 50">
          <a:extLst>
            <a:ext uri="{FF2B5EF4-FFF2-40B4-BE49-F238E27FC236}">
              <a16:creationId xmlns:a16="http://schemas.microsoft.com/office/drawing/2014/main" id="{742BE33C-7E6D-14DD-0832-0039981FD549}"/>
            </a:ext>
          </a:extLst>
        </xdr:cNvPr>
        <xdr:cNvSpPr/>
      </xdr:nvSpPr>
      <xdr:spPr>
        <a:xfrm>
          <a:off x="7776209" y="97154"/>
          <a:ext cx="1269365" cy="360045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ko-KR" altLang="en-US" sz="900">
              <a:solidFill>
                <a:srgbClr val="A0A0A8"/>
              </a:solidFill>
            </a:rPr>
            <a:t>작성일 </a:t>
          </a:r>
          <a:r>
            <a:rPr lang="en-US" altLang="ko-KR" sz="900">
              <a:solidFill>
                <a:srgbClr val="A0A0A8"/>
              </a:solidFill>
            </a:rPr>
            <a:t>:</a:t>
          </a:r>
          <a:r>
            <a:rPr lang="ko-KR" altLang="en-US" sz="900">
              <a:solidFill>
                <a:srgbClr val="A0A0A8"/>
              </a:solidFill>
            </a:rPr>
            <a:t> </a:t>
          </a:r>
          <a:r>
            <a:rPr lang="en-US" altLang="ko-KR" sz="900">
              <a:solidFill>
                <a:srgbClr val="A0A0A8"/>
              </a:solidFill>
            </a:rPr>
            <a:t>2026-09-15</a:t>
          </a:r>
          <a:endParaRPr lang="ko-KR" altLang="en-US" sz="900">
            <a:solidFill>
              <a:srgbClr val="A0A0A8"/>
            </a:solidFill>
          </a:endParaRPr>
        </a:p>
      </xdr:txBody>
    </xdr:sp>
    <xdr:clientData/>
  </xdr:twoCellAnchor>
</xdr:wsDr>
</file>

<file path=xl/drawings/lix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40104</xdr:colOff>
      <xdr:row>6</xdr:row>
      <xdr:rowOff>0</xdr:rowOff>
    </xdr:from>
    <xdr:to>
      <xdr:col>6</xdr:col>
      <xdr:colOff>1393657</xdr:colOff>
      <xdr:row>20</xdr:row>
      <xdr:rowOff>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BEAC66DE-56C2-AF8D-6073-B8249DB3D0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30078</xdr:colOff>
      <xdr:row>29</xdr:row>
      <xdr:rowOff>0</xdr:rowOff>
    </xdr:from>
    <xdr:to>
      <xdr:col>6</xdr:col>
      <xdr:colOff>1393657</xdr:colOff>
      <xdr:row>43</xdr:row>
      <xdr:rowOff>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F0F33484-2E39-C20E-14F0-8A19C02DC8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25400</xdr:colOff>
      <xdr:row>0</xdr:row>
      <xdr:rowOff>25400</xdr:rowOff>
    </xdr:from>
    <xdr:to>
      <xdr:col>1</xdr:col>
      <xdr:colOff>316163</xdr:colOff>
      <xdr:row>1</xdr:row>
      <xdr:rowOff>124326</xdr:rowOff>
    </xdr:to>
    <xdr:sp macro="" textlink="">
      <xdr:nvSpPr>
        <xdr:cNvPr id="2" name="HomeBtn_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F376283-B58F-4B33-92B3-D9C386DABF89}"/>
            </a:ext>
          </a:extLst>
        </xdr:cNvPr>
        <xdr:cNvSpPr/>
      </xdr:nvSpPr>
      <xdr:spPr>
        <a:xfrm>
          <a:off x="25400" y="25400"/>
          <a:ext cx="571500" cy="203200"/>
        </a:xfrm>
        <a:prstGeom prst="roundRect">
          <a:avLst/>
        </a:prstGeom>
        <a:solidFill>
          <a:srgbClr val="1F3864"/>
        </a:solidFill>
        <a:ln w="952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rgbClr val="1F4E78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900" b="1">
              <a:solidFill>
                <a:srgbClr val="FFFFFF"/>
              </a:solidFill>
            </a:rPr>
            <a:t>HOME</a:t>
          </a:r>
          <a:endParaRPr lang="ko-KR" altLang="en-US" sz="900" b="1">
            <a:solidFill>
              <a:srgbClr val="FFFFFF"/>
            </a:solidFill>
          </a:endParaRPr>
        </a:p>
      </xdr:txBody>
    </xdr:sp>
    <xdr:clientData/>
  </xdr:twoCellAnchor>
</xdr:wsDr>
</file>

<file path=xl/drawings/lix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287655</xdr:colOff>
      <xdr:row>7</xdr:row>
      <xdr:rowOff>133350</xdr:rowOff>
    </xdr:from>
    <xdr:to>
      <xdr:col>3</xdr:col>
      <xdr:colOff>1544955</xdr:colOff>
      <xdr:row>22</xdr:row>
      <xdr:rowOff>55245</xdr:rowOff>
    </xdr:to>
    <xdr:graphicFrame macro="">
      <xdr:nvGraphicFramePr>
        <xdr:cNvPr id="2" name="Tornad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430530</xdr:colOff>
      <xdr:row>28</xdr:row>
      <xdr:rowOff>53341</xdr:rowOff>
    </xdr:from>
    <xdr:to>
      <xdr:col>2</xdr:col>
      <xdr:colOff>434340</xdr:colOff>
      <xdr:row>44</xdr:row>
      <xdr:rowOff>205741</xdr:rowOff>
    </xdr:to>
    <xdr:graphicFrame macro="">
      <xdr:nvGraphicFramePr>
        <xdr:cNvPr id="3" name="DefenseValu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25400</xdr:colOff>
      <xdr:row>0</xdr:row>
      <xdr:rowOff>25400</xdr:rowOff>
    </xdr:from>
    <xdr:to>
      <xdr:col>0</xdr:col>
      <xdr:colOff>596900</xdr:colOff>
      <xdr:row>0</xdr:row>
      <xdr:rowOff>228600</xdr:rowOff>
    </xdr:to>
    <xdr:sp macro="" textlink="">
      <xdr:nvSpPr>
        <xdr:cNvPr id="5" name="HomeBtn_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868868A-BED2-C28B-EB66-0526A4122B70}"/>
            </a:ext>
          </a:extLst>
        </xdr:cNvPr>
        <xdr:cNvSpPr/>
      </xdr:nvSpPr>
      <xdr:spPr>
        <a:xfrm>
          <a:off x="25400" y="25400"/>
          <a:ext cx="571500" cy="203200"/>
        </a:xfrm>
        <a:prstGeom prst="roundRect">
          <a:avLst/>
        </a:prstGeom>
        <a:solidFill>
          <a:srgbClr val="1F3864"/>
        </a:solidFill>
        <a:ln w="952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rgbClr val="1F4E78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900" b="1">
              <a:solidFill>
                <a:srgbClr val="FFFFFF"/>
              </a:solidFill>
            </a:rPr>
            <a:t>HOME</a:t>
          </a:r>
          <a:endParaRPr lang="ko-KR" altLang="en-US" sz="900" b="1">
            <a:solidFill>
              <a:srgbClr val="FFFFFF"/>
            </a:solidFill>
          </a:endParaRPr>
        </a:p>
      </xdr:txBody>
    </xdr:sp>
    <xdr:clientData/>
  </xdr:twoCellAnchor>
</xdr:wsDr>
</file>

<file path=xl/drawings/lix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0</xdr:col>
      <xdr:colOff>596900</xdr:colOff>
      <xdr:row>0</xdr:row>
      <xdr:rowOff>228600</xdr:rowOff>
    </xdr:to>
    <xdr:sp macro="" textlink="">
      <xdr:nvSpPr>
        <xdr:cNvPr id="3" name="HomeBtn_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06E5F9-9C0D-9A7D-C471-C34E746F24D8}"/>
            </a:ext>
          </a:extLst>
        </xdr:cNvPr>
        <xdr:cNvSpPr/>
      </xdr:nvSpPr>
      <xdr:spPr>
        <a:xfrm>
          <a:off x="25400" y="25400"/>
          <a:ext cx="571500" cy="203200"/>
        </a:xfrm>
        <a:prstGeom prst="roundRect">
          <a:avLst/>
        </a:prstGeom>
        <a:solidFill>
          <a:srgbClr val="1F3864"/>
        </a:solidFill>
        <a:ln w="952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rgbClr val="1F4E78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900" b="1">
              <a:solidFill>
                <a:srgbClr val="FFFFFF"/>
              </a:solidFill>
            </a:rPr>
            <a:t>HOME</a:t>
          </a:r>
          <a:endParaRPr lang="ko-KR" altLang="en-US" sz="900" b="1">
            <a:solidFill>
              <a:srgbClr val="FFFFFF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lix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lix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lix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lix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12125-0D60-4057-931C-17CCA9F50346}">
  <dimension ref="A2:A31"/>
  <sheetViews>
    <sheetView showGridLines="0" workbookViewId="0">
      <selection activeCell="M21" sqref="M21"/>
    </sheetView>
  </sheetViews>
  <sheetFormatPr defaultRowHeight="17.45"/>
  <cols>
    <col min="1" max="1" width="2.75" customWidth="1"/>
    <col min="2" max="13" width="11.75" customWidth="1"/>
  </cols>
  <sheetData>
    <row r="2" ht="7.9" customHeight="1"/>
    <row r="3" ht="25.9" customHeight="1"/>
    <row r="6" ht="6.6" customHeight="1"/>
    <row r="8" ht="6.6" customHeight="1"/>
    <row r="9" ht="34.15" customHeight="1"/>
    <row r="10" ht="22.15" customHeight="1"/>
    <row r="11" ht="6" customHeight="1"/>
    <row r="13" ht="34.15" customHeight="1"/>
    <row r="14" ht="7.9" customHeight="1"/>
    <row r="15" ht="6" customHeight="1"/>
    <row r="17" ht="34.15" customHeight="1"/>
    <row r="18" ht="22.15" customHeight="1"/>
    <row r="19" ht="6" customHeight="1"/>
    <row r="21" ht="34.15" customHeight="1"/>
    <row r="22" ht="22.15" customHeight="1"/>
    <row r="23" ht="6" customHeight="1"/>
    <row r="26" ht="24" customHeight="1"/>
    <row r="28" ht="8.4499999999999993" customHeight="1"/>
    <row r="31" ht="9.6" customHeight="1"/>
  </sheetData>
  <phoneticPr fontId="64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B52FC-D84C-441B-8D65-FEAA39FDF22F}">
  <sheetPr>
    <tabColor rgb="FF1F3864"/>
    <pageSetUpPr fitToPage="1"/>
  </sheetPr>
  <dimension ref="B1:P51"/>
  <sheetViews>
    <sheetView showGridLines="0" topLeftCell="A6" zoomScale="95" zoomScaleNormal="95" workbookViewId="0">
      <selection activeCell="B3" sqref="B3:G3"/>
    </sheetView>
  </sheetViews>
  <sheetFormatPr defaultRowHeight="17.45"/>
  <cols>
    <col min="1" max="1" width="3.75" customWidth="1"/>
    <col min="2" max="2" width="26.75" customWidth="1"/>
    <col min="3" max="7" width="18.25" customWidth="1"/>
    <col min="8" max="14" width="8.75" customWidth="1"/>
    <col min="15" max="21" width="0" hidden="1" customWidth="1"/>
  </cols>
  <sheetData>
    <row r="1" spans="2:16" ht="8.4499999999999993" customHeight="1"/>
    <row r="2" spans="2:16" s="510" customFormat="1" ht="23.45" customHeight="1">
      <c r="B2" s="875" t="inlineStr">
        <is>
          <t xml:space="preserve"> </t>
          <phoneticPr fontId="64" type="noConversion"/>
        </is>
      </c>
      <c r="C2" s="876"/>
      <c r="D2" s="876"/>
      <c r="E2" s="876"/>
      <c r="F2" s="876"/>
      <c r="G2" s="876"/>
    </row>
    <row r="3" spans="2:16" ht="30" customHeight="1">
      <c r="B3" s="877" t="inlineStr">
        <is>
          <t xml:space="preserve">NSA SALES FORECAST</t>
        </is>
      </c>
      <c r="C3" s="878"/>
      <c r="D3" s="878"/>
      <c r="E3" s="878"/>
      <c r="F3" s="878"/>
      <c r="G3" s="878"/>
    </row>
    <row r="4" spans="2:16" ht="25.9" customHeight="1">
      <c r="G4" s="757"/>
      <c r="P4">
        <v>2026</v>
      </c>
    </row>
    <row r="5" spans="2:16" ht="7.9" customHeight="1">
      <c r="B5" s="758"/>
      <c r="G5" s="759"/>
    </row>
    <row r="6" spans="2:16" ht="19.899999999999999" customHeight="1">
      <c r="B6" s="760" t="inlineStr">
        <is>
          <t xml:space="preserve">1. 매출수량 (백만 A)</t>
        </is>
      </c>
      <c r="G6" s="759"/>
    </row>
    <row r="7" spans="2:16" ht="15" customHeight="1">
      <c r="B7" s="758"/>
      <c r="G7" s="759"/>
    </row>
    <row r="8" spans="2:16" ht="15" customHeight="1">
      <c r="B8" s="758"/>
      <c r="G8" s="759"/>
    </row>
    <row r="9" spans="2:16" ht="15" customHeight="1">
      <c r="B9" s="758"/>
      <c r="G9" s="759"/>
    </row>
    <row r="10" spans="2:16" ht="15" customHeight="1">
      <c r="B10" s="758"/>
      <c r="G10" s="759"/>
    </row>
    <row r="11" spans="2:16" ht="15" customHeight="1">
      <c r="B11" s="758"/>
      <c r="G11" s="759"/>
    </row>
    <row r="12" spans="2:16" ht="15" customHeight="1">
      <c r="B12" s="758"/>
      <c r="G12" s="759"/>
    </row>
    <row r="13" spans="2:16" ht="15" customHeight="1">
      <c r="B13" s="758"/>
      <c r="G13" s="759"/>
    </row>
    <row r="14" spans="2:16" ht="15" customHeight="1">
      <c r="B14" s="758"/>
      <c r="G14" s="759"/>
    </row>
    <row r="15" spans="2:16" ht="15" customHeight="1">
      <c r="B15" s="758"/>
      <c r="G15" s="759"/>
    </row>
    <row r="16" spans="2:16" ht="15" customHeight="1">
      <c r="B16" s="758"/>
      <c r="G16" s="759"/>
    </row>
    <row r="17" spans="2:7" ht="15" customHeight="1">
      <c r="B17" s="758"/>
      <c r="G17" s="759"/>
    </row>
    <row r="18" spans="2:7" ht="15" customHeight="1">
      <c r="B18" s="758"/>
      <c r="G18" s="759"/>
    </row>
    <row r="19" spans="2:7" ht="15" customHeight="1">
      <c r="B19" s="758"/>
      <c r="G19" s="759"/>
    </row>
    <row r="20" spans="2:7" ht="2.4500000000000002" customHeight="1">
      <c r="B20" s="758"/>
      <c r="G20" s="759"/>
    </row>
    <row r="21" spans="2:7" ht="19.899999999999999" customHeight="1">
      <c r="B21" s="761" t="inlineStr">
        <is>
          <t>구분</t>
        </is>
      </c>
      <c r="C21" s="762" t="inlineStr">
        <is>
          <t>FY2026</t>
        </is>
      </c>
      <c r="D21" s="762" t="inlineStr">
        <is>
          <t>FY2027</t>
        </is>
      </c>
      <c r="E21" s="762" t="inlineStr">
        <is>
          <t>FY2028</t>
        </is>
      </c>
      <c r="F21" s="762" t="inlineStr">
        <is>
          <t>FY2029</t>
        </is>
      </c>
      <c r="G21" s="763" t="inlineStr">
        <is>
          <t>FY2030</t>
        </is>
      </c>
    </row>
    <row r="22" spans="2:7" ht="19.899999999999999" customHeight="1">
      <c r="B22" s="764" t="inlineStr">
        <is>
          <t>Model Base</t>
        </is>
      </c>
      <c r="C22" s="765">
        <f ca="1">근거_매출!J10/1000000</f>
      </c>
      <c r="D22" s="765">
        <f ca="1">근거_매출!K10/1000000</f>
      </c>
      <c r="E22" s="765">
        <f ca="1">근거_매출!L10/1000000</f>
      </c>
      <c r="F22" s="765">
        <f ca="1">근거_매출!M10/1000000</f>
      </c>
      <c r="G22" s="766">
        <f ca="1">근거_매출!N10/1000000</f>
      </c>
    </row>
    <row r="23" spans="2:7" ht="19.899999999999999" customHeight="1">
      <c r="B23" s="767" t="inlineStr">
        <is>
          <t>MKT Base</t>
        </is>
      </c>
      <c r="C23" s="753">
        <f>IF(근거_매출!$J$12="",NA(),근거_매출!J12/1000000)</f>
      </c>
      <c r="D23" s="753">
        <f>IF(근거_매출!$J$12="",NA(),근거_매출!K12/1000000)</f>
      </c>
      <c r="E23" s="753">
        <f>IF(근거_매출!$J$12="",NA(),근거_매출!L12/1000000)</f>
      </c>
      <c r="F23" s="753">
        <f>IF(근거_매출!$J$12="",NA(),근거_매출!M12/1000000)</f>
      </c>
      <c r="G23" s="768">
        <f>IF(근거_매출!$J$12="",NA(),근거_매출!N12/1000000)</f>
      </c>
    </row>
    <row r="24" spans="2:7" ht="19.899999999999999" customHeight="1">
      <c r="B24" s="769" t="inlineStr">
        <is>
          <t xml:space="preserve">Best (MS +10%p)</t>
        </is>
      </c>
      <c r="C24" s="753">
        <f ca="1">근거_매출!J14/1000000</f>
      </c>
      <c r="D24" s="753">
        <f ca="1">근거_매출!K14/1000000</f>
      </c>
      <c r="E24" s="753">
        <f ca="1">근거_매출!L14/1000000</f>
      </c>
      <c r="F24" s="753">
        <f ca="1">근거_매출!M14/1000000</f>
      </c>
      <c r="G24" s="768">
        <f ca="1">근거_매출!N14/1000000</f>
      </c>
    </row>
    <row r="25" spans="2:7" ht="19.899999999999999" customHeight="1">
      <c r="B25" s="770" t="inlineStr">
        <is>
          <t xml:space="preserve">Worst (MS -10%p)</t>
        </is>
      </c>
      <c r="C25" s="752">
        <f ca="1">근거_매출!J16/1000000</f>
      </c>
      <c r="D25" s="752">
        <f ca="1">근거_매출!K16/1000000</f>
      </c>
      <c r="E25" s="752">
        <f ca="1">근거_매출!L16/1000000</f>
      </c>
      <c r="F25" s="752">
        <f ca="1">근거_매출!M16/1000000</f>
      </c>
      <c r="G25" s="771">
        <f ca="1">근거_매출!N16/1000000</f>
      </c>
    </row>
    <row r="26" spans="2:7" ht="19.899999999999999" customHeight="1">
      <c r="B26" s="769" t="inlineStr">
        <is>
          <t xml:space="preserve">Best (MS +5%p)</t>
        </is>
      </c>
      <c r="C26" s="753">
        <f ca="1">근거_매출!J18/1000000</f>
      </c>
      <c r="D26" s="753">
        <f ca="1">근거_매출!K18/1000000</f>
      </c>
      <c r="E26" s="753">
        <f ca="1">근거_매출!L18/1000000</f>
      </c>
      <c r="F26" s="753">
        <f ca="1">근거_매출!M18/1000000</f>
      </c>
      <c r="G26" s="768">
        <f ca="1">근거_매출!N18/1000000</f>
      </c>
    </row>
    <row r="27" spans="2:7" ht="19.899999999999999" customHeight="1">
      <c r="B27" s="770" t="inlineStr">
        <is>
          <t xml:space="preserve">Worst (MS -5%p)</t>
        </is>
      </c>
      <c r="C27" s="752">
        <f ca="1">근거_매출!J20/1000000</f>
      </c>
      <c r="D27" s="752">
        <f ca="1">근거_매출!K20/1000000</f>
      </c>
      <c r="E27" s="752">
        <f ca="1">근거_매출!L20/1000000</f>
      </c>
      <c r="F27" s="752">
        <f ca="1">근거_매출!M20/1000000</f>
      </c>
      <c r="G27" s="771">
        <f ca="1">근거_매출!N20/1000000</f>
      </c>
    </row>
    <row r="26" spans="2:7" ht="19.899999999999999" customHeight="1">
      <c r="B26" s="772"/>
      <c r="C26" s="756"/>
      <c r="D26" s="756"/>
      <c r="E26" s="756"/>
      <c r="F26" s="756"/>
      <c r="G26" s="773"/>
    </row>
    <row r="27" spans="2:7" ht="19.899999999999999" customHeight="1">
      <c r="B27" s="758"/>
      <c r="G27" s="759"/>
    </row>
    <row r="28" spans="2:7" ht="7.9" customHeight="1">
      <c r="B28" s="758"/>
      <c r="G28" s="759"/>
    </row>
    <row r="29" spans="2:7" ht="15" customHeight="1">
      <c r="B29" s="760" t="inlineStr">
        <is>
          <r>
            <t xml:space="preserve">2. </t>
          </r>
          <r>
            <rPr>
              <b/>
              <sz val="14"/>
              <rFont val="맑은 고딕"/>
              <family val="2"/>
              <charset val="129"/>
            </rPr>
            <t>매출액</t>
          </r>
          <r>
            <rPr>
              <b/>
              <sz val="14"/>
              <rFont val="Gmarket Sans"/>
              <family val="2"/>
            </rPr>
            <t xml:space="preserve"> (</t>
          </r>
          <r>
            <rPr>
              <b/>
              <sz val="14"/>
              <rFont val="맑은 고딕"/>
              <family val="2"/>
              <charset val="129"/>
            </rPr>
            <t>백만원</t>
          </r>
          <r>
            <rPr>
              <b/>
              <sz val="14"/>
              <rFont val="Gmarket Sans"/>
              <family val="2"/>
            </rPr>
            <t>)</t>
          </r>
        </is>
      </c>
      <c r="G29" s="759"/>
    </row>
    <row r="30" spans="2:7" ht="15" customHeight="1">
      <c r="B30" s="758"/>
      <c r="G30" s="759"/>
    </row>
    <row r="31" spans="2:7" ht="15" customHeight="1">
      <c r="B31" s="758"/>
      <c r="G31" s="759"/>
    </row>
    <row r="32" spans="2:7" ht="15" customHeight="1">
      <c r="B32" s="758"/>
      <c r="G32" s="759"/>
    </row>
    <row r="33" spans="2:7" ht="15" customHeight="1">
      <c r="B33" s="758"/>
      <c r="G33" s="759"/>
    </row>
    <row r="34" spans="2:7" ht="15" customHeight="1">
      <c r="B34" s="758"/>
      <c r="G34" s="759"/>
    </row>
    <row r="35" spans="2:7" ht="15" customHeight="1">
      <c r="B35" s="758"/>
      <c r="G35" s="759"/>
    </row>
    <row r="36" spans="2:7" ht="15" customHeight="1">
      <c r="B36" s="758"/>
      <c r="G36" s="759"/>
    </row>
    <row r="37" spans="2:7" ht="15" customHeight="1">
      <c r="B37" s="758"/>
      <c r="G37" s="759"/>
    </row>
    <row r="38" spans="2:7" ht="15" customHeight="1">
      <c r="B38" s="758"/>
      <c r="G38" s="759"/>
    </row>
    <row r="39" spans="2:7" ht="15" customHeight="1">
      <c r="B39" s="758"/>
      <c r="G39" s="759"/>
    </row>
    <row r="40" spans="2:7" ht="15" customHeight="1">
      <c r="B40" s="758"/>
      <c r="G40" s="759"/>
    </row>
    <row r="41" spans="2:7" ht="15" customHeight="1">
      <c r="B41" s="758"/>
      <c r="G41" s="759"/>
    </row>
    <row r="42" spans="2:7" ht="15" customHeight="1">
      <c r="B42" s="758"/>
      <c r="G42" s="759"/>
    </row>
    <row r="43" spans="2:7" ht="15" customHeight="1">
      <c r="B43" s="758"/>
      <c r="G43" s="759"/>
    </row>
    <row r="44" spans="2:7" ht="19.899999999999999" customHeight="1">
      <c r="B44" s="761" t="inlineStr">
        <is>
          <t>구분</t>
        </is>
      </c>
      <c r="C44" s="762" t="inlineStr">
        <is>
          <t>FY2026</t>
        </is>
      </c>
      <c r="D44" s="762" t="inlineStr">
        <is>
          <t>FY2027</t>
        </is>
      </c>
      <c r="E44" s="762" t="inlineStr">
        <is>
          <t>FY2028</t>
        </is>
      </c>
      <c r="F44" s="762" t="inlineStr">
        <is>
          <t>FY2029</t>
        </is>
      </c>
      <c r="G44" s="763" t="inlineStr">
        <is>
          <t>FY2030</t>
        </is>
      </c>
    </row>
    <row r="45" spans="2:7" ht="19.899999999999999" customHeight="1">
      <c r="B45" s="764" t="inlineStr">
        <is>
          <t>Model Base</t>
        </is>
      </c>
      <c r="C45" s="774">
        <f ca="1">근거_매출!J32</f>
      </c>
      <c r="D45" s="774">
        <f ca="1">근거_매출!K32</f>
      </c>
      <c r="E45" s="774">
        <f ca="1">근거_매출!L32</f>
      </c>
      <c r="F45" s="774">
        <f ca="1">근거_매출!M32</f>
      </c>
      <c r="G45" s="775">
        <f ca="1">근거_매출!N32</f>
      </c>
    </row>
    <row r="46" spans="2:7" ht="19.899999999999999" customHeight="1">
      <c r="B46" s="767" t="inlineStr">
        <is>
          <t>MKT Base</t>
        </is>
      </c>
      <c r="C46" s="755">
        <f>IF(근거_매출!$J$12="",NA(),근거_매출!J34)</f>
      </c>
      <c r="D46" s="755">
        <f>IF(근거_매출!$J$12="",NA(),근거_매출!K34)</f>
      </c>
      <c r="E46" s="755">
        <f>IF(근거_매출!$J$12="",NA(),근거_매출!L34)</f>
      </c>
      <c r="F46" s="755">
        <f>IF(근거_매출!$J$12="",NA(),근거_매출!M34)</f>
      </c>
      <c r="G46" s="776">
        <f>IF(근거_매출!$J$12="",NA(),근거_매출!N34)</f>
      </c>
    </row>
    <row r="47" spans="2:7" ht="19.899999999999999" customHeight="1">
      <c r="B47" s="769" t="inlineStr">
        <is>
          <t xml:space="preserve">Best (MS +10%p)</t>
        </is>
      </c>
      <c r="C47" s="755">
        <f ca="1">근거_매출!J35</f>
      </c>
      <c r="D47" s="755">
        <f ca="1">근거_매출!K35</f>
      </c>
      <c r="E47" s="755">
        <f ca="1">근거_매출!L35</f>
      </c>
      <c r="F47" s="755">
        <f ca="1">근거_매출!M35</f>
      </c>
      <c r="G47" s="776">
        <f ca="1">근거_매출!N35</f>
      </c>
    </row>
    <row r="48" spans="2:7" ht="19.899999999999999" customHeight="1">
      <c r="B48" s="770" t="inlineStr">
        <is>
          <t xml:space="preserve">Worst (MS -10%p)</t>
        </is>
      </c>
      <c r="C48" s="754">
        <f ca="1">근거_매출!J36</f>
      </c>
      <c r="D48" s="754">
        <f ca="1">근거_매출!K36</f>
      </c>
      <c r="E48" s="754">
        <f ca="1">근거_매출!L36</f>
      </c>
      <c r="F48" s="754">
        <f ca="1">근거_매출!M36</f>
      </c>
      <c r="G48" s="777">
        <f ca="1">근거_매출!N36</f>
      </c>
    </row>
    <row r="49" spans="2:7" ht="19.899999999999999" customHeight="1">
      <c r="B49" s="769" t="inlineStr">
        <is>
          <t xml:space="preserve">Best (MS +5%p)</t>
        </is>
      </c>
      <c r="C49" s="755">
        <f ca="1">근거_매출!J37</f>
      </c>
      <c r="D49" s="755">
        <f ca="1">근거_매출!K37</f>
      </c>
      <c r="E49" s="755">
        <f ca="1">근거_매출!L37</f>
      </c>
      <c r="F49" s="755">
        <f ca="1">근거_매출!M37</f>
      </c>
      <c r="G49" s="776">
        <f ca="1">근거_매출!N37</f>
      </c>
    </row>
    <row r="50" spans="2:7" ht="19.899999999999999" customHeight="1">
      <c r="B50" s="770" t="inlineStr">
        <is>
          <t xml:space="preserve">Worst (MS -5%p)</t>
        </is>
      </c>
      <c r="C50" s="754">
        <f ca="1">근거_매출!J38</f>
      </c>
      <c r="D50" s="754">
        <f ca="1">근거_매출!K38</f>
      </c>
      <c r="E50" s="754">
        <f ca="1">근거_매출!L38</f>
      </c>
      <c r="F50" s="754">
        <f ca="1">근거_매출!M38</f>
      </c>
      <c r="G50" s="777">
        <f ca="1">근거_매출!N38</f>
      </c>
    </row>
    <row r="49" spans="2:7" ht="19.899999999999999" customHeight="1">
      <c r="B49" s="778"/>
      <c r="C49" s="779"/>
      <c r="D49" s="779"/>
      <c r="E49" s="779"/>
      <c r="F49" s="779"/>
      <c r="G49" s="780"/>
    </row>
    <row r="51" spans="2:7">
      <c r="B51" s="751" t="inlineStr">
        <is>
          <t xml:space="preserve"> </t>
          <phoneticPr fontId="64" type="noConversion"/>
        </is>
      </c>
    </row>
  </sheetData>
  <mergeCells count="2">
    <mergeCell ref="B2:G2"/>
    <mergeCell ref="B3:G3"/>
  </mergeCells>
  <phoneticPr fontId="64" type="noConversion"/>
  <conditionalFormatting sqref="C23:G23 C46:G46">
    <cfRule type="expression" dxfId="0" priority="1">
      <formula>ISNA(C23)</formula>
    </cfRule>
  </conditionalFormatting>
  <pageMargins left="0.7" right="0.7" top="0.75" bottom="0.75" header="0.3" footer="0.3"/>
  <pageSetup paperSize="9" scale="68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A1:F48"/>
  <sheetViews>
    <sheetView showGridLines="0" topLeftCell="A32" workbookViewId="0">
      <selection activeCell="D56" sqref="D56"/>
    </sheetView>
  </sheetViews>
  <sheetFormatPr defaultRowHeight="17.45"/>
  <cols>
    <col min="1" max="1" width="16" customWidth="1"/>
    <col min="2" max="4" width="42" customWidth="1"/>
  </cols>
  <sheetData>
    <row r="1" spans="1:6" ht="19.899999999999999" customHeight="1"/>
    <row r="2" spans="1:6" ht="28.15" customHeight="1">
      <c r="A2" s="498" t="inlineStr">
        <is>
          <t xml:space="preserve">NSA FCST 변동 요인 분석과 시뮬레이션</t>
        </is>
      </c>
      <c r="B2" s="498"/>
      <c r="C2" s="498"/>
      <c r="D2" s="498"/>
      <c r="E2" s="498"/>
      <c r="F2" s="498"/>
    </row>
    <row r="4" spans="1:6" s="510" customFormat="1" ht="19.899999999999999" customHeight="1">
      <c r="A4" s="855" t="inlineStr">
        <is>
          <t xml:space="preserve">① 변동 요인 분석  </t>
          <phoneticPr fontId="64" type="noConversion"/>
        </is>
      </c>
      <c r="B4" s="856"/>
      <c r="C4" s="856"/>
      <c r="D4" s="856"/>
    </row>
    <row r="5" spans="1:6" s="510" customFormat="1" ht="19.899999999999999" customHeight="1">
      <c r="A5" s="794" t="inlineStr">
        <is>
          <t xml:space="preserve">- 핵심 변동 요인 : NSA MS (Ramosetron 시장 내 점유율) (매출 변동성 ±18.9%로, 타 요인 대비 압도적인 영향력을 행사함)</t>
        </is>
      </c>
      <c r="C5" s="786"/>
      <c r="D5" s="786"/>
    </row>
    <row r="6" spans="1:6" s="510" customFormat="1" ht="19.899999999999999" customHeight="1">
      <c r="A6" s="795" t="inlineStr">
        <is>
          <t xml:space="preserve">- 기타 변동 요인: 환자당 Ramo 사용량(±5.6%), 전환비율(±3.4%), NSA MS 상급종합 하한(±3.0%) 등 (구조 파라미터 성격, 분기 실측 갱신 시 자동 재추정)</t>
        </is>
      </c>
      <c r="C6" s="786"/>
      <c r="D6" s="786"/>
    </row>
    <row r="7" spans="1:6" s="510" customFormat="1" ht="19.899999999999999" customHeight="1">
      <c r="A7" s="795" t="inlineStr">
        <is>
          <t xml:space="preserve">- 예외 요인: 약가 인하 고시(현재 없음) 및 MKT 제출 수치와의 차이는 본 시뮬레이션 외 별도 리스크로 분류 · 입찰(저가 제네릭) 단발 이벤트는 분기 모니터링으로 감시</t>
        </is>
      </c>
      <c r="C7" s="786"/>
      <c r="D7" s="786"/>
    </row>
    <row r="8" spans="1:6" s="510" customFormat="1" ht="19.899999999999999" customHeight="1">
      <c r="A8" s="785"/>
      <c r="B8" s="786"/>
      <c r="C8" s="786"/>
      <c r="D8" s="786"/>
    </row>
    <row r="9" spans="1:6" s="510" customFormat="1" ht="19.899999999999999" customHeight="1">
      <c r="A9" s="785"/>
      <c r="B9" s="786"/>
      <c r="C9" s="786"/>
      <c r="D9" s="786"/>
    </row>
    <row r="25" spans="1:4">
      <c r="A25" s="855" t="inlineStr">
        <is>
          <t xml:space="preserve">② 시뮬레이션 : NSA MS 변동의 재무적 가치 </t>
        </is>
      </c>
      <c r="B25" s="856"/>
      <c r="C25" s="856"/>
      <c r="D25" s="856"/>
    </row>
    <row r="26" spans="1:4">
      <c r="A26" s="794" t="inlineStr">
        <is>
          <t xml:space="preserve">- Best (MS 확대): NSA MS +10%p 시 → FY2030 매출 437억 (상단) · +5%p 시 402억</t>
        </is>
      </c>
      <c r="B26" s="787"/>
      <c r="C26" s="787"/>
      <c r="D26" s="787"/>
    </row>
    <row r="27" spans="1:4">
      <c r="A27" s="794" t="inlineStr">
        <is>
          <t xml:space="preserve">- Worst (MS 잠식): NSA MS -10%p 시 → FY2030 매출 298억 (하단) · -5%p 시 332억</t>
        </is>
      </c>
      <c r="B27" s="787"/>
      <c r="C27" s="787"/>
      <c r="D27" s="787"/>
    </row>
    <row r="28" spans="1:4">
      <c r="A28" s="796" t="inlineStr">
        <is>
          <t xml:space="preserve">(※ 기준선 Base: 367억 · 세일즈 포캐스트 밴드는 FY2027부터 적용)</t>
        </is>
      </c>
    </row>
    <row r="47" spans="1:1">
      <c r="A47" s="798" t="inlineStr">
        <is>
          <t xml:space="preserve">  · 근거: 근거_민감도 참조</t>
          <phoneticPr fontId="64" type="noConversion"/>
        </is>
      </c>
    </row>
    <row r="48" spans="1:1">
      <c r="A48" s="798" t="inlineStr">
        <is>
          <t xml:space="preserve"> </t>
          <phoneticPr fontId="64" type="noConversion"/>
        </is>
      </c>
    </row>
  </sheetData>
  <mergeCells count="2">
    <mergeCell ref="A25:D25"/>
    <mergeCell ref="A4:D4"/>
  </mergeCells>
  <phoneticPr fontId="64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01680-D545-48CE-AEA2-E6EA0D3D15D8}">
  <sheetPr>
    <tabColor theme="3"/>
  </sheetPr>
  <dimension ref="A1:J36"/>
  <sheetViews>
    <sheetView showGridLines="0" zoomScaleNormal="100" workbookViewId="0">
      <selection activeCell="D16" sqref="D16"/>
    </sheetView>
  </sheetViews>
  <sheetFormatPr defaultColWidth="8.5" defaultRowHeight="17.45"/>
  <cols>
    <col min="1" max="1" width="15.5" style="335" customWidth="1"/>
    <col min="2" max="2" width="31" style="335" customWidth="1"/>
    <col min="3" max="3" width="16.75" style="335" customWidth="1"/>
    <col min="4" max="4" width="64.75" style="335" customWidth="1"/>
    <col min="5" max="9" width="14.75" style="335" customWidth="1"/>
    <col min="10" max="10" width="11.125" style="336" customWidth="1"/>
  </cols>
  <sheetData>
    <row r="1" spans="1:10" ht="19.899999999999999" customHeight="1"/>
    <row r="2" spans="1:10" ht="21.75" customHeight="1">
      <c r="A2" s="497" t="inlineStr">
        <is>
          <t xml:space="preserve">NSA Sales FCST FLOW  </t>
        </is>
      </c>
    </row>
    <row r="3" spans="1:10" ht="16.5" customHeight="1">
      <c r="J3" s="496" t="inlineStr">
        <is>
          <r>
            <t>각</t>
          </r>
          <r>
            <rPr>
              <i/>
              <sz val="9"/>
              <color theme="1"/>
              <rFont val="Noto Sans CJK SC"/>
              <family val="2"/>
            </rPr>
            <t xml:space="preserve"> </t>
          </r>
          <r>
            <rPr>
              <i/>
              <sz val="9"/>
              <color theme="1"/>
              <rFont val="Noto Sans CJK SC"/>
              <family val="2"/>
              <charset val="1"/>
            </rPr>
            <t>행의</t>
          </r>
          <r>
            <rPr>
              <i/>
              <sz val="9"/>
              <color theme="1"/>
              <rFont val="Noto Sans CJK SC"/>
              <family val="2"/>
            </rPr>
            <t xml:space="preserve"> [</t>
          </r>
          <r>
            <rPr>
              <i/>
              <sz val="9"/>
              <color theme="1"/>
              <rFont val="Noto Sans CJK SC"/>
              <family val="2"/>
              <charset val="1"/>
            </rPr>
            <t>▶</t>
          </r>
          <r>
            <rPr>
              <i/>
              <sz val="9"/>
              <color theme="1"/>
              <rFont val="Noto Sans CJK SC"/>
              <family val="2"/>
            </rPr>
            <t xml:space="preserve"> </t>
          </r>
          <r>
            <rPr>
              <i/>
              <sz val="9"/>
              <color theme="1"/>
              <rFont val="Noto Sans CJK SC"/>
              <family val="2"/>
              <charset val="1"/>
            </rPr>
            <t>근거</t>
          </r>
          <r>
            <rPr>
              <i/>
              <sz val="9"/>
              <color theme="1"/>
              <rFont val="Noto Sans CJK SC"/>
              <family val="2"/>
            </rPr>
            <t xml:space="preserve">] </t>
          </r>
          <r>
            <rPr>
              <i/>
              <sz val="9"/>
              <color theme="1"/>
              <rFont val="Noto Sans CJK SC"/>
              <family val="2"/>
              <charset val="1"/>
            </rPr>
            <t>를</t>
          </r>
          <r>
            <rPr>
              <i/>
              <sz val="9"/>
              <color theme="1"/>
              <rFont val="Noto Sans CJK SC"/>
              <family val="2"/>
            </rPr>
            <t xml:space="preserve"> </t>
          </r>
          <r>
            <rPr>
              <i/>
              <sz val="9"/>
              <color theme="1"/>
              <rFont val="Noto Sans CJK SC"/>
              <family val="2"/>
              <charset val="1"/>
            </rPr>
            <t>클릭하면</t>
          </r>
          <r>
            <rPr>
              <i/>
              <sz val="9"/>
              <color theme="1"/>
              <rFont val="Noto Sans CJK SC"/>
              <family val="2"/>
            </rPr>
            <t xml:space="preserve"> </t>
          </r>
          <r>
            <rPr>
              <i/>
              <sz val="9"/>
              <color theme="1"/>
              <rFont val="Noto Sans CJK SC"/>
              <family val="2"/>
              <charset val="1"/>
            </rPr>
            <t>해당</t>
          </r>
          <r>
            <rPr>
              <i/>
              <sz val="9"/>
              <color theme="1"/>
              <rFont val="Noto Sans CJK SC"/>
              <family val="2"/>
            </rPr>
            <t xml:space="preserve"> </t>
          </r>
          <r>
            <rPr>
              <i/>
              <sz val="9"/>
              <color theme="1"/>
              <rFont val="Noto Sans CJK SC"/>
              <family val="2"/>
              <charset val="1"/>
            </rPr>
            <t>백데이터</t>
          </r>
          <r>
            <rPr>
              <i/>
              <sz val="9"/>
              <color theme="1"/>
              <rFont val="Noto Sans CJK SC"/>
              <family val="2"/>
            </rPr>
            <t xml:space="preserve"> </t>
          </r>
          <r>
            <rPr>
              <i/>
              <sz val="9"/>
              <color theme="1"/>
              <rFont val="Noto Sans CJK SC"/>
              <family val="2"/>
              <charset val="1"/>
            </rPr>
            <t>시트로</t>
          </r>
          <r>
            <rPr>
              <i/>
              <sz val="9"/>
              <color theme="1"/>
              <rFont val="Noto Sans CJK SC"/>
              <family val="2"/>
            </rPr>
            <t xml:space="preserve"> </t>
          </r>
          <r>
            <rPr>
              <i/>
              <sz val="9"/>
              <color theme="1"/>
              <rFont val="Noto Sans CJK SC"/>
              <family val="2"/>
              <charset val="1"/>
            </rPr>
            <t>이동</t>
          </r>
          <r>
            <rPr>
              <i/>
              <sz val="9"/>
              <color theme="1"/>
              <rFont val="Noto Sans CJK SC"/>
              <family val="2"/>
            </rPr>
            <t xml:space="preserve"> (</t>
          </r>
          <r>
            <rPr>
              <i/>
              <sz val="9"/>
              <color theme="1"/>
              <rFont val="Noto Sans CJK SC"/>
              <family val="2"/>
              <charset val="1"/>
            </rPr>
            <t>기준수치</t>
          </r>
          <r>
            <rPr>
              <i/>
              <sz val="9"/>
              <color theme="1"/>
              <rFont val="Noto Sans CJK SC"/>
              <family val="2"/>
            </rPr>
            <t>·</t>
          </r>
          <r>
            <rPr>
              <i/>
              <sz val="9"/>
              <color theme="1"/>
              <rFont val="Noto Sans CJK SC"/>
              <family val="2"/>
              <charset val="1"/>
            </rPr>
            <t>예측수치는</t>
          </r>
          <r>
            <rPr>
              <i/>
              <sz val="9"/>
              <color theme="1"/>
              <rFont val="Noto Sans CJK SC"/>
              <family val="2"/>
            </rPr>
            <t xml:space="preserve"> </t>
          </r>
          <r>
            <rPr>
              <i/>
              <sz val="9"/>
              <color theme="1"/>
              <rFont val="Noto Sans CJK SC"/>
              <family val="2"/>
              <charset val="1"/>
            </rPr>
            <t>백데이터</t>
          </r>
          <r>
            <rPr>
              <i/>
              <sz val="9"/>
              <color theme="1"/>
              <rFont val="Noto Sans CJK SC"/>
              <family val="2"/>
            </rPr>
            <t xml:space="preserve"> </t>
          </r>
          <r>
            <rPr>
              <i/>
              <sz val="9"/>
              <color theme="1"/>
              <rFont val="Noto Sans CJK SC"/>
              <family val="2"/>
              <charset val="1"/>
            </rPr>
            <t>참조</t>
          </r>
          <r>
            <rPr>
              <i/>
              <sz val="9"/>
              <color theme="1"/>
              <rFont val="Noto Sans CJK SC"/>
              <family val="2"/>
            </rPr>
            <t>)</t>
          </r>
        </is>
      </c>
    </row>
    <row r="4" spans="1:10" ht="16.5" customHeight="1">
      <c r="C4" s="337"/>
      <c r="D4" s="337"/>
      <c r="E4" s="337"/>
      <c r="F4" s="493"/>
      <c r="G4" s="859"/>
      <c r="H4" s="859"/>
      <c r="I4" s="859"/>
    </row>
    <row r="5" spans="1:10" ht="16.5" customHeight="1">
      <c r="A5" s="333" t="inlineStr">
        <is>
          <t>단계</t>
        </is>
      </c>
      <c r="B5" s="333" t="inlineStr">
        <is>
          <t>항목</t>
        </is>
      </c>
      <c r="C5" s="730" t="inlineStr">
        <is>
          <r>
            <rPr>
              <b/>
              <sz val="11"/>
              <color rgb="FFFFFFFF"/>
              <rFont val="맑은 고딕"/>
              <family val="3"/>
              <charset val="129"/>
            </rPr>
            <t>기준</t>
          </r>
          <r>
            <rPr>
              <b/>
              <sz val="11"/>
              <color rgb="FFFFFFFF"/>
              <rFont val="Arial"/>
              <family val="2"/>
            </rPr>
            <t xml:space="preserve"> </t>
          </r>
          <r>
            <rPr>
              <b/>
              <sz val="11"/>
              <color rgb="FFFFFFFF"/>
              <rFont val="맑은 고딕"/>
              <family val="2"/>
              <charset val="129"/>
            </rPr>
            <t>수치</t>
          </r>
          <phoneticPr fontId="64" type="noConversion"/>
        </is>
      </c>
      <c r="D5" s="731" t="inlineStr">
        <is>
          <t>모델 방법</t>
        </is>
      </c>
      <c r="E5" s="489" t="inlineStr">
        <is>
          <t>FY2026E</t>
          <phoneticPr fontId="64" type="noConversion"/>
        </is>
      </c>
      <c r="F5" s="732" t="inlineStr">
        <is>
          <t>FY2027</t>
          <phoneticPr fontId="64" type="noConversion"/>
        </is>
      </c>
      <c r="G5" s="729" t="inlineStr">
        <is>
          <t>FY2028</t>
        </is>
      </c>
      <c r="H5" s="729" t="inlineStr">
        <is>
          <t>FY2029</t>
        </is>
      </c>
      <c r="I5" s="729" t="inlineStr">
        <is>
          <t>FY2030</t>
          <phoneticPr fontId="64" type="noConversion"/>
        </is>
      </c>
      <c r="J5" s="729" t="inlineStr">
        <is>
          <t>근거</t>
        </is>
      </c>
    </row>
    <row r="6" ht="16.5" customHeight="1">
      <c r="A6" s="860" t="inlineStr">
        <is>
          <t xml:space="preserve">① 환자 현황</t>
        </is>
      </c>
      <c r="B6" s="733" t="inlineStr">
        <is>
          <t xml:space="preserve">전신마취 환자수</t>
        </is>
      </c>
      <c r="C6" s="735">
        <f>CALC!C20</f>
      </c>
      <c r="D6" s="736" t="inlineStr">
        <is>
          <t xml:space="preserve"> · 추계인구(통계청 중위) × 연령별 전신마취 비율 (30~50대 선형회귀 연장, 그 외 최근 5개년 평균)</t>
        </is>
      </c>
      <c r="E6" s="746">
        <f>INDEX(CALC!$C$5:$C$25,MATCH(표시연도,CALC!$B$5:$B$25,0))</f>
      </c>
      <c r="F6" s="746">
        <f>INDEX(CALC!$C$5:$C$25,MATCH(2027,CALC!$B$5:$B$25,0))</f>
      </c>
      <c r="G6" s="746">
        <f>INDEX(CALC!$C$5:$C$25,MATCH(2028,CALC!$B$5:$B$25,0))</f>
      </c>
      <c r="H6" s="746">
        <f>INDEX(CALC!$C$5:$C$25,MATCH(2029,CALC!$B$5:$B$25,0))</f>
      </c>
      <c r="I6" s="746">
        <f>INDEX(CALC!$C$5:$C$25,MATCH(2030,CALC!$B$5:$B$25,0))</f>
      </c>
      <c r="J6" s="737" t="inlineStr">
        <is>
          <t xml:space="preserve">▶ 근거</t>
        </is>
      </c>
    </row>
    <row r="7" ht="16.5" customHeight="1">
      <c r="A7" s="861" t="inlineStr">
        <is>
          <t xml:space="preserve">② 시장 구조</t>
        </is>
      </c>
      <c r="B7" s="734" t="inlineStr">
        <is>
          <t xml:space="preserve">종별 환자비율 (상급종합병원)</t>
        </is>
      </c>
      <c r="C7" s="739">
        <f>'근거_Ramosetron 시장 수량'!Q10</f>
      </c>
      <c r="D7" s="736" t="inlineStr">
        <is>
          <t xml:space="preserve"> · HIRA 분기 실측(~2026Q1) 기반 회복모형 — 상급종합 상한 41%·종합 하한 40%·병원 하한 10%·의원 S-curve, 4종별 정규화</t>
        </is>
      </c>
      <c r="E7" s="748">
        <f>'근거_Ramosetron 시장 수량'!R10</f>
      </c>
      <c r="F7" s="748">
        <f>'근거_Ramosetron 시장 수량'!S10</f>
      </c>
      <c r="G7" s="748">
        <f>'근거_Ramosetron 시장 수량'!T10</f>
      </c>
      <c r="H7" s="748">
        <f>'근거_Ramosetron 시장 수량'!U10</f>
      </c>
      <c r="I7" s="748">
        <f>'근거_Ramosetron 시장 수량'!V10</f>
      </c>
      <c r="J7" s="737" t="inlineStr">
        <is>
          <t xml:space="preserve">▶ 근거</t>
        </is>
      </c>
    </row>
    <row r="8" ht="16.5" customHeight="1">
      <c r="A8" s="861"/>
      <c r="B8" s="733" t="inlineStr">
        <is>
          <t xml:space="preserve">환자당 Ramosetron 사용량 (상급종합, A/명)</t>
        </is>
      </c>
      <c r="C8" s="738">
        <f>'근거_Ramosetron 시장 수량'!Q33</f>
      </c>
      <c r="D8" s="736" t="inlineStr">
        <is>
          <t xml:space="preserve"> · 연간 선형회귀(상한 5A) / 종합 상한 4A / 병원·의원 최근값 flat — 4개 분기 동일 적용</t>
        </is>
      </c>
      <c r="E8" s="747">
        <f>'근거_Ramosetron 시장 수량'!R33</f>
      </c>
      <c r="F8" s="747">
        <f>'근거_Ramosetron 시장 수량'!S33</f>
      </c>
      <c r="G8" s="747">
        <f>'근거_Ramosetron 시장 수량'!T33</f>
      </c>
      <c r="H8" s="747">
        <f>'근거_Ramosetron 시장 수량'!U33</f>
      </c>
      <c r="I8" s="747">
        <f>'근거_Ramosetron 시장 수량'!V33</f>
      </c>
      <c r="J8" s="737" t="inlineStr">
        <is>
          <t xml:space="preserve">▶ 근거</t>
        </is>
      </c>
    </row>
    <row r="9" ht="16.5" customHeight="1">
      <c r="A9" s="861"/>
      <c r="B9" s="733" t="inlineStr">
        <is>
          <t xml:space="preserve">Ramosetron 시장 수량 (A)</t>
        </is>
      </c>
      <c r="C9" s="735">
        <f>CALC!E20</f>
      </c>
      <c r="D9" s="736" t="inlineStr">
        <is>
          <t xml:space="preserve"> · Σ 종별 전신마취환자수 × 종별 환자당 사용량 (CY 분기 → FY 재구성)</t>
        </is>
      </c>
      <c r="E9" s="746">
        <f>INDEX(CALC!$E$5:$E$25,MATCH(표시연도,CALC!$B$5:$B$25,0))</f>
      </c>
      <c r="F9" s="746">
        <f>INDEX(CALC!$E$5:$E$25,MATCH(2027,CALC!$B$5:$B$25,0))</f>
      </c>
      <c r="G9" s="746">
        <f>INDEX(CALC!$E$5:$E$25,MATCH(2028,CALC!$B$5:$B$25,0))</f>
      </c>
      <c r="H9" s="746">
        <f>INDEX(CALC!$E$5:$E$25,MATCH(2029,CALC!$B$5:$B$25,0))</f>
      </c>
      <c r="I9" s="746">
        <f>INDEX(CALC!$E$5:$E$25,MATCH(2030,CALC!$B$5:$B$25,0))</f>
      </c>
      <c r="J9" s="737" t="inlineStr">
        <is>
          <t xml:space="preserve">▶ 근거</t>
        </is>
      </c>
    </row>
    <row r="10" ht="16.5" customHeight="1">
      <c r="A10" s="862" t="inlineStr">
        <is>
          <t xml:space="preserve">③ 경쟁 현황</t>
        </is>
      </c>
      <c r="B10" s="734" t="inlineStr">
        <is>
          <t xml:space="preserve">NSA MS (상급종합병원)</t>
        </is>
      </c>
      <c r="C10" s="739">
        <f>'근거_NSA수량(IQVIA기준)'!I16</f>
      </c>
      <c r="D10" s="740" t="inlineStr">
        <is>
          <t xml:space="preserve"> · 전체기간 선형(레벨보정, 하한 55%) — 백테스트 MAPE 2.9%</t>
        </is>
      </c>
      <c r="E10" s="748">
        <f>'근거_NSA수량(IQVIA기준)'!J16</f>
      </c>
      <c r="F10" s="748">
        <f>'근거_NSA수량(IQVIA기준)'!K16</f>
      </c>
      <c r="G10" s="748">
        <f>'근거_NSA수량(IQVIA기준)'!L16</f>
      </c>
      <c r="H10" s="748">
        <f>'근거_NSA수량(IQVIA기준)'!M16</f>
      </c>
      <c r="I10" s="748">
        <f>'근거_NSA수량(IQVIA기준)'!N16</f>
      </c>
      <c r="J10" s="737" t="inlineStr">
        <is>
          <t xml:space="preserve">▶ 근거</t>
        </is>
      </c>
    </row>
    <row r="11" ht="16.5" customHeight="1">
      <c r="A11" s="862"/>
      <c r="B11" s="734" t="inlineStr">
        <is>
          <t xml:space="preserve">NSA MS (종합병원)</t>
        </is>
      </c>
      <c r="C11" s="739">
        <f>'근거_NSA수량(IQVIA기준)'!I17</f>
      </c>
      <c r="D11" s="740" t="inlineStr">
        <is>
          <t xml:space="preserve"> · S-curve(로짓변환+저점앵커, 상한 56%) — 백테스트 MAPE 3.8%</t>
        </is>
      </c>
      <c r="E11" s="748">
        <f>'근거_NSA수량(IQVIA기준)'!J17</f>
      </c>
      <c r="F11" s="748">
        <f>'근거_NSA수량(IQVIA기준)'!K17</f>
      </c>
      <c r="G11" s="748">
        <f>'근거_NSA수량(IQVIA기준)'!L17</f>
      </c>
      <c r="H11" s="748">
        <f>'근거_NSA수량(IQVIA기준)'!M17</f>
      </c>
      <c r="I11" s="748">
        <f>'근거_NSA수량(IQVIA기준)'!N17</f>
      </c>
      <c r="J11" s="737" t="inlineStr">
        <is>
          <t xml:space="preserve">▶ 근거</t>
        </is>
      </c>
    </row>
    <row r="12" ht="16.5" customHeight="1">
      <c r="A12" s="862"/>
      <c r="B12" s="734" t="inlineStr">
        <is>
          <t xml:space="preserve">NSA MS (병원·의원)</t>
        </is>
      </c>
      <c r="C12" s="739">
        <f>'근거_NSA수량(IQVIA기준)'!I18</f>
      </c>
      <c r="D12" s="740" t="inlineStr">
        <is>
          <t xml:space="preserve"> · 병원 롤링 4분기 평균 / 의원 EWMA(α=0.3) flat — MAPE 8.9~10.3% (표시값은 병원)</t>
        </is>
      </c>
      <c r="E12" s="748">
        <f>'근거_NSA수량(IQVIA기준)'!J18</f>
      </c>
      <c r="F12" s="748">
        <f>'근거_NSA수량(IQVIA기준)'!K18</f>
      </c>
      <c r="G12" s="748">
        <f>'근거_NSA수량(IQVIA기준)'!L18</f>
      </c>
      <c r="H12" s="748">
        <f>'근거_NSA수량(IQVIA기준)'!M18</f>
      </c>
      <c r="I12" s="748">
        <f>'근거_NSA수량(IQVIA기준)'!N18</f>
      </c>
      <c r="J12" s="737" t="inlineStr">
        <is>
          <t xml:space="preserve">▶ 근거</t>
        </is>
      </c>
    </row>
    <row r="13" ht="16.5" customHeight="1">
      <c r="A13" s="862"/>
      <c r="B13" s="734" t="inlineStr">
        <is>
          <t xml:space="preserve">NSA MS (전체)</t>
        </is>
      </c>
      <c r="C13" s="739">
        <f>CALC!I20</f>
      </c>
      <c r="D13" s="740" t="inlineStr">
        <is>
          <t xml:space="preserve"> · Σ 종별 NSA 수량 ÷ Ramosetron 시장 수량</t>
        </is>
      </c>
      <c r="E13" s="748">
        <f>INDEX(CALC!$I$5:$I$25,MATCH(표시연도,CALC!$B$5:$B$25,0))</f>
      </c>
      <c r="F13" s="748">
        <f>INDEX(CALC!$I$5:$I$25,MATCH(2027,CALC!$B$5:$B$25,0))</f>
      </c>
      <c r="G13" s="748">
        <f>INDEX(CALC!$I$5:$I$25,MATCH(2028,CALC!$B$5:$B$25,0))</f>
      </c>
      <c r="H13" s="748">
        <f>INDEX(CALC!$I$5:$I$25,MATCH(2029,CALC!$B$5:$B$25,0))</f>
      </c>
      <c r="I13" s="748">
        <f>INDEX(CALC!$I$5:$I$25,MATCH(2030,CALC!$B$5:$B$25,0))</f>
      </c>
      <c r="J13" s="737" t="inlineStr">
        <is>
          <t xml:space="preserve">▶ 근거</t>
        </is>
      </c>
    </row>
    <row r="14" ht="16.5" customHeight="1">
      <c r="A14" s="863" t="inlineStr">
        <is>
          <t xml:space="preserve">④ 시장매출</t>
        </is>
      </c>
      <c r="B14" s="734" t="inlineStr">
        <is>
          <t xml:space="preserve">DSKR 매출수량 (A)</t>
        </is>
      </c>
      <c r="C14" s="735">
        <f>INDEX(근거_매출!$B$10:$N$10,표시연도-1-2017)</f>
      </c>
      <c r="D14" s="736" t="inlineStr">
        <is>
          <t xml:space="preserve"> · NSA 수량(IQVIA, A) ÷ 전환비율(FY24~25 평균 1.044) → SAP 판매 수량 환산</t>
        </is>
      </c>
      <c r="E14" s="746">
        <f>INDEX(근거_매출!$B$10:$N$10,표시연도-2017)</f>
      </c>
      <c r="F14" s="746">
        <f>INDEX(근거_매출!$B$10:$N$10,2027-2017)</f>
      </c>
      <c r="G14" s="746">
        <f>INDEX(근거_매출!$B$10:$N$10,2028-2017)</f>
      </c>
      <c r="H14" s="746">
        <f>INDEX(근거_매출!$B$10:$N$10,2029-2017)</f>
      </c>
      <c r="I14" s="746">
        <f>INDEX(근거_매출!$B$10:$N$10,2030-2017)</f>
      </c>
      <c r="J14" s="745" t="inlineStr">
        <is>
          <t xml:space="preserve">▶ 근거</t>
        </is>
      </c>
    </row>
    <row r="15" ht="16.5" customHeight="1">
      <c r="A15" s="863"/>
      <c r="B15" s="733" t="inlineStr">
        <is>
          <t xml:space="preserve">연도별 단가 (원/A)</t>
        </is>
      </c>
      <c r="C15" s="735">
        <f>근거_매출!B27</f>
      </c>
      <c r="D15" s="736" t="inlineStr">
        <is>
          <t xml:space="preserve"> · FY2026 목표단가 69,056원/5A ÷ 5 = 13,811원/A × 약가 배율 (인하 고시 없음 → 100% 유지, 근거_매출 28행에서 조정)</t>
        </is>
      </c>
      <c r="E15" s="746">
        <f>INDEX(근거_매출!$B$29:$N$29,표시연도-2017)</f>
      </c>
      <c r="F15" s="746">
        <f>INDEX(근거_매출!$B$29:$N$29,2027-2017)</f>
      </c>
      <c r="G15" s="746">
        <f>INDEX(근거_매출!$B$29:$N$29,2028-2017)</f>
      </c>
      <c r="H15" s="746">
        <f>INDEX(근거_매출!$B$29:$N$29,2029-2017)</f>
      </c>
      <c r="I15" s="746">
        <f>INDEX(근거_매출!$B$29:$N$29,2030-2017)</f>
      </c>
      <c r="J15" s="745" t="inlineStr">
        <is>
          <t xml:space="preserve">▶ 근거</t>
        </is>
      </c>
    </row>
    <row r="17" ht="19.5" customHeight="1">
      <c r="A17" s="857" t="inlineStr">
        <is>
          <t xml:space="preserve">▶ 결과</t>
        </is>
      </c>
      <c r="B17" s="741" t="inlineStr">
        <is>
          <t xml:space="preserve">Ramosetron 시장 (수량, A)</t>
        </is>
      </c>
      <c r="C17" s="742">
        <f>CALC!E20</f>
      </c>
      <c r="D17" s="743" t="inlineStr">
        <is>
          <t xml:space="preserve">Σ 종별 전신마취환자수 × 종별 환자당 사용량</t>
        </is>
      </c>
      <c r="E17" s="744">
        <f>INDEX(CALC!$E$5:$E$25,MATCH(표시연도,CALC!$B$5:$B$25,0))</f>
      </c>
      <c r="F17" s="744">
        <f>INDEX(CALC!$E$5:$E$25,MATCH(2027,CALC!$B$5:$B$25,0))</f>
      </c>
      <c r="G17" s="744">
        <f>INDEX(CALC!$E$5:$E$25,MATCH(2028,CALC!$B$5:$B$25,0))</f>
      </c>
      <c r="H17" s="744">
        <f>INDEX(CALC!$E$5:$E$25,MATCH(2029,CALC!$B$5:$B$25,0))</f>
      </c>
      <c r="I17" s="744">
        <f>INDEX(CALC!$E$5:$E$25,MATCH(2030,CALC!$B$5:$B$25,0))</f>
      </c>
      <c r="J17" s="737" t="inlineStr">
        <is>
          <t xml:space="preserve">▶ 근거</t>
        </is>
      </c>
    </row>
    <row r="18" ht="19.5" customHeight="1">
      <c r="A18" s="858"/>
      <c r="B18" s="741" t="inlineStr">
        <is>
          <t xml:space="preserve">NSA 수량 (IQVIA, A)</t>
        </is>
      </c>
      <c r="C18" s="742">
        <f>CALC!H20</f>
      </c>
      <c r="D18" s="743" t="inlineStr">
        <is>
          <t xml:space="preserve">Σ 종별 Ramosetron 수량 × 종별 NSA MS</t>
        </is>
      </c>
      <c r="E18" s="744">
        <f>INDEX(CALC!$H$5:$H$25,MATCH(표시연도,CALC!$B$5:$B$25,0))</f>
      </c>
      <c r="F18" s="744">
        <f>INDEX(CALC!$H$5:$H$25,MATCH(2027,CALC!$B$5:$B$25,0))</f>
      </c>
      <c r="G18" s="744">
        <f>INDEX(CALC!$H$5:$H$25,MATCH(2028,CALC!$B$5:$B$25,0))</f>
      </c>
      <c r="H18" s="744">
        <f>INDEX(CALC!$H$5:$H$25,MATCH(2029,CALC!$B$5:$B$25,0))</f>
      </c>
      <c r="I18" s="744">
        <f>INDEX(CALC!$H$5:$H$25,MATCH(2030,CALC!$B$5:$B$25,0))</f>
      </c>
      <c r="J18" s="737" t="inlineStr">
        <is>
          <t xml:space="preserve">▶ 근거</t>
        </is>
      </c>
    </row>
    <row r="19" ht="19.5" customHeight="1">
      <c r="A19" s="858"/>
      <c r="B19" s="741" t="inlineStr">
        <is>
          <t xml:space="preserve">NSA SAP매출 (백만원)</t>
        </is>
      </c>
      <c r="C19" s="742">
        <f>INDEX(근거_매출!$B$32:$N$32,표시연도-1-2017)</f>
      </c>
      <c r="D19" s="743" t="inlineStr">
        <is>
          <t xml:space="preserve">DSKR 매출수량 × 연도별 단가</t>
        </is>
      </c>
      <c r="E19" s="744">
        <f>INDEX(근거_매출!$B$32:$N$32,표시연도-2017)</f>
      </c>
      <c r="F19" s="744">
        <f>INDEX(근거_매출!$B$32:$N$32,2027-2017)</f>
      </c>
      <c r="G19" s="744">
        <f>INDEX(근거_매출!$B$32:$N$32,2028-2017)</f>
      </c>
      <c r="H19" s="744">
        <f>INDEX(근거_매출!$B$32:$N$32,2029-2017)</f>
      </c>
      <c r="I19" s="744">
        <f>INDEX(근거_매출!$B$32:$N$32,2030-2017)</f>
      </c>
      <c r="J19" s="745" t="inlineStr">
        <is>
          <t xml:space="preserve">▶ 근거</t>
        </is>
      </c>
    </row>
    <row r="20">
      <c r="H20" s="750" t="str">
        <f>"※ 시나리오 밴드(FY2030): "&amp;TEXT(근거_매출!N36,"#,##0")&amp;" ~ "&amp;TEXT(근거_매출!N35,"#,##0")&amp;" (MS ±10%p) · "&amp;TEXT(근거_매출!N38,"#,##0")&amp;" ~ "&amp;TEXT(근거_매출!N37,"#,##0")&amp;" (±5%p) →"</f>
      </c>
      <c r="I20" s="784" t="str">
        <f>HYPERLINK("#'FCST RESULT'!A1","상세: FCST RESULT ▶")</f>
      </c>
    </row>
    <row r="22" ht="16.5" customHeight="1">
      <c r="B22" s="340" t="inlineStr">
        <is>
          <t xml:space="preserve">※ 기준 수치 - 출처 및 기준연도</t>
        </is>
      </c>
      <c r="C22" s="341"/>
      <c r="D22" s="341"/>
      <c r="E22" s="341"/>
      <c r="F22" s="341"/>
      <c r="G22" s="341"/>
      <c r="H22" s="341"/>
      <c r="I22" s="341"/>
    </row>
    <row r="23" ht="16.5" customHeight="1">
      <c r="B23" s="342" t="inlineStr">
        <is>
          <t xml:space="preserve">① 환자 현황 (연령별 전신마취환자수): NHIS 진료행위 통계 L1211·L1212, CY2025</t>
        </is>
      </c>
      <c r="C23" s="341"/>
      <c r="D23" s="341"/>
      <c r="E23" s="341"/>
      <c r="F23" s="341"/>
      <c r="G23" s="341"/>
      <c r="H23" s="341"/>
      <c r="I23" s="341"/>
    </row>
    <row r="24" ht="16.5" customHeight="1">
      <c r="B24" s="342" t="inlineStr">
        <is>
          <t xml:space="preserve">② 시장 구조: 종별 환자비율 HIRA 분기 실측(~2026Q1) / Ramosetron 시장 수량 IQVIA, CY2025 / 흡입마취제 종별 비율 NHIS N01AB, CY2025</t>
        </is>
      </c>
      <c r="C24" s="341"/>
      <c r="D24" s="341"/>
      <c r="E24" s="341"/>
      <c r="F24" s="341"/>
      <c r="G24" s="341"/>
      <c r="H24" s="341"/>
      <c r="I24" s="341"/>
    </row>
    <row r="25" ht="16.5" customHeight="1">
      <c r="B25" s="342" t="inlineStr">
        <is>
          <t xml:space="preserve">③ 경쟁 현황 (종별 NSA MS): IQVIA NASEA 수량 × SS-Chart 종별 비율 ÷ 종별 Ramosetron 수량, 2026Q1</t>
        </is>
      </c>
      <c r="C25" s="341"/>
      <c r="D25" s="341"/>
      <c r="E25" s="341"/>
      <c r="F25" s="341"/>
      <c r="G25" s="341"/>
      <c r="H25" s="341"/>
      <c r="I25" s="341"/>
    </row>
    <row r="26" ht="16.5" customHeight="1">
      <c r="B26" s="342" t="inlineStr">
        <is>
          <t xml:space="preserve">④ 시장매출(수량·단가): SAP 실측 FY2025 / 단가: FY2026 목표단가 (NASEA Inj. 0.3mg/5A)</t>
        </is>
      </c>
      <c r="C26" s="341"/>
      <c r="D26" s="341"/>
      <c r="E26" s="341"/>
      <c r="F26" s="341"/>
      <c r="G26" s="341"/>
      <c r="H26" s="341"/>
      <c r="I26" s="341"/>
    </row>
    <row r="29" hidden="1">
      <c r="B29" s="783" t="inlineStr">
        <is>
          <t xml:space="preserve">■ 부록 — 백테스트 (종별 NSA MS 예측방식 walk-forward, 2020Q1~2026Q1)</t>
        </is>
      </c>
    </row>
    <row r="30" hidden="1">
      <c r="B30" s="335" t="inlineStr">
        <is>
          <t xml:space="preserve">종별 NSA MS</t>
        </is>
      </c>
      <c r="C30" s="335" t="inlineStr">
        <is>
          <t xml:space="preserve">예측 방식</t>
        </is>
      </c>
      <c r="D30" s="335" t="inlineStr">
        <is>
          <t xml:space="preserve">백테스트 MAPE</t>
        </is>
      </c>
      <c r="E30" s="335" t="inlineStr">
        <is>
          <t xml:space="preserve">판정</t>
        </is>
      </c>
    </row>
    <row r="31" hidden="1">
      <c r="B31" s="335" t="inlineStr">
        <is>
          <t xml:space="preserve">상급종합병원 MS</t>
        </is>
      </c>
      <c r="C31" s="335" t="inlineStr">
        <is>
          <t xml:space="preserve">전체기간선형(레벨보정)</t>
        </is>
      </c>
      <c r="D31" s="335" t="inlineStr">
        <is>
          <t xml:space="preserve">2.92%</t>
        </is>
      </c>
      <c r="E31" s="335" t="inlineStr">
        <is>
          <t xml:space="preserve">채택</t>
        </is>
      </c>
    </row>
    <row r="32" hidden="1">
      <c r="B32" s="335" t="inlineStr">
        <is>
          <t xml:space="preserve">종합병원 MS</t>
        </is>
      </c>
      <c r="C32" s="335" t="inlineStr">
        <is>
          <t xml:space="preserve">S-curve(로짓+저점앵커)</t>
        </is>
      </c>
      <c r="D32" s="335" t="inlineStr">
        <is>
          <t xml:space="preserve">3.83%</t>
        </is>
      </c>
      <c r="E32" s="335" t="inlineStr">
        <is>
          <t xml:space="preserve">채택</t>
        </is>
      </c>
    </row>
    <row r="33" hidden="1">
      <c r="B33" s="335" t="inlineStr">
        <is>
          <t xml:space="preserve">병원 MS</t>
        </is>
      </c>
      <c r="C33" s="335" t="inlineStr">
        <is>
          <t xml:space="preserve">롤링 4분기 평균</t>
        </is>
      </c>
      <c r="D33" s="335" t="inlineStr">
        <is>
          <t xml:space="preserve">8.89%</t>
        </is>
      </c>
      <c r="E33" s="335" t="inlineStr">
        <is>
          <t xml:space="preserve">채택 (표본 소)</t>
        </is>
      </c>
    </row>
    <row r="34" hidden="1">
      <c r="B34" s="335" t="inlineStr">
        <is>
          <t xml:space="preserve">의원 MS</t>
        </is>
      </c>
      <c r="C34" s="335" t="inlineStr">
        <is>
          <t xml:space="preserve">EWMA(α=0.3)</t>
        </is>
      </c>
      <c r="D34" s="335" t="inlineStr">
        <is>
          <t xml:space="preserve">10.30%</t>
        </is>
      </c>
      <c r="E34" s="335" t="inlineStr">
        <is>
          <t xml:space="preserve">채택 (표본 소)</t>
        </is>
      </c>
    </row>
    <row r="35" hidden="1">
      <c r="B35" s="552" t="inlineStr">
        <is>
          <t xml:space="preserve">· 방법: 2020Q1~2026Q1 분기 실측 walk-forward 백테스트(근거_NSA수량 [참고] 30~36행에서 이관). 각 종별 MS 예측 방식을 후보 중 MAPE 최소 방식으로 채택.</t>
        </is>
      </c>
    </row>
    <row r="36" hidden="1">
      <c r="B36" s="552" t="inlineStr">
        <is>
          <t xml:space="preserve">· 결론: 상급종합·종합병원(NSA 수량의 95%)은 MAPE 3~4%로 안정, 병원·의원은 표본이 작아 오차 9~10% — 분기 모니터링 대상</t>
        </is>
      </c>
    </row>
  </sheetData>
  <mergeCells count="6">
    <mergeCell ref="G4:I4"/>
    <mergeCell ref="A6:A6"/>
    <mergeCell ref="A7:A9"/>
    <mergeCell ref="A10:A13"/>
    <mergeCell ref="A14:A15"/>
    <mergeCell ref="A17:A19"/>
  </mergeCells>
  <phoneticPr fontId="64" type="noConversion"/>
  <hyperlinks>
    <hyperlink ref="J6" location="근거_전신마취환자수!A1" display="▶ 근거"/>
    <hyperlink ref="J7" location="'근거_Ramosetron 시장 수량'!A1" display="▶ 근거"/>
    <hyperlink ref="J8" location="'근거_Ramosetron 시장 수량'!A1" display="▶ 근거"/>
    <hyperlink ref="J9" location="'근거_Ramosetron 시장 수량'!A1" display="▶ 근거"/>
    <hyperlink ref="J10" location="'근거_NSA수량(IQVIA기준)'!A1" display="▶ 근거"/>
    <hyperlink ref="J11" location="'근거_NSA수량(IQVIA기준)'!A1" display="▶ 근거"/>
    <hyperlink ref="J12" location="'근거_NSA수량(IQVIA기준)'!A1" display="▶ 근거"/>
    <hyperlink ref="J13" location="'근거_NSA수량(IQVIA기준)'!A1" display="▶ 근거"/>
    <hyperlink ref="J14" location="근거_매출!A1" display="▶ 근거"/>
    <hyperlink ref="J15" location="근거_매출!A1" display="▶ 근거"/>
    <hyperlink ref="J17" location="'근거_Ramosetron 시장 수량'!A1" display="▶ 근거"/>
    <hyperlink ref="J18" location="'근거_NSA수량(IQVIA기준)'!A1" display="▶ 근거"/>
    <hyperlink ref="J19" location="근거_매출!A1" display="▶ 근거"/>
  </hyperlink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>
  <sheetPr>
    <tabColor rgb="009AA0A8"/>
    <outlinePr summaryBelow="1" summaryRight="1"/>
    <pageSetUpPr/>
  </sheetPr>
  <dimension ref="A2:V67"/>
  <sheetViews>
    <sheetView showGridLines="0" tabSelected="0" zoomScaleNormal="100" workbookViewId="0">
      <pane xSplit="1" ySplit="5" topLeftCell="B6" activePane="bottomRight" state="frozen"/>
      <selection pane="topRight" activeCell="B1" sqref="B1"/>
      <selection pane="bottomLeft" activeCell="A13" sqref="A13"/>
      <selection pane="bottomRight" activeCell="I14" sqref="I13:I14"/>
    </sheetView>
  </sheetViews>
  <sheetFormatPr baseColWidth="8" defaultColWidth="8.5" defaultRowHeight="17.6"/>
  <cols>
    <col width="24" customWidth="1" style="217" min="1" max="1"/>
    <col width="9.78515625" customWidth="1" style="217" min="2" max="22"/>
  </cols>
  <sheetData>
    <row r="2" ht="20.25" customHeight="1" s="217">
      <c r="A2" s="35" t="inlineStr">
        <is>
          <t>전신마취 환자수 산출  :   NHIS 데이터 기반 예측 (선형회귀∙평균)</t>
        </is>
      </c>
    </row>
    <row r="3" ht="7.5" customHeight="1" s="217">
      <c r="A3" s="36" t="inlineStr">
        <is>
          <t xml:space="preserve"> </t>
        </is>
      </c>
    </row>
    <row r="4" ht="16.5" customHeight="1" s="217">
      <c r="B4" s="109" t="inlineStr">
        <is>
          <t>◀ 실측 (NHIS, 2010~2025)</t>
        </is>
      </c>
      <c r="L4" s="37" t="n"/>
      <c r="M4" s="37" t="n"/>
      <c r="O4" s="37" t="n"/>
      <c r="P4" s="37" t="n"/>
      <c r="Q4" s="37" t="n"/>
      <c r="R4" s="37" t="inlineStr">
        <is>
          <t>예측 (2025~2030) ▶</t>
        </is>
      </c>
    </row>
    <row r="5" ht="16.5" customHeight="1" s="217">
      <c r="A5" s="38" t="inlineStr">
        <is>
          <t>구분  /  연도 ▶</t>
        </is>
      </c>
      <c r="B5" s="39" t="n">
        <v>2010</v>
      </c>
      <c r="C5" s="39" t="n">
        <v>2011</v>
      </c>
      <c r="D5" s="39" t="n">
        <v>2012</v>
      </c>
      <c r="E5" s="39" t="n">
        <v>2013</v>
      </c>
      <c r="F5" s="39" t="n">
        <v>2014</v>
      </c>
      <c r="G5" s="39" t="n">
        <v>2015</v>
      </c>
      <c r="H5" s="39" t="n">
        <v>2016</v>
      </c>
      <c r="I5" s="39" t="n">
        <v>2017</v>
      </c>
      <c r="J5" s="39" t="n">
        <v>2018</v>
      </c>
      <c r="K5" s="39" t="n">
        <v>2019</v>
      </c>
      <c r="L5" s="39" t="n">
        <v>2020</v>
      </c>
      <c r="M5" s="39" t="n">
        <v>2021</v>
      </c>
      <c r="N5" s="39" t="n">
        <v>2022</v>
      </c>
      <c r="O5" s="39" t="n">
        <v>2023</v>
      </c>
      <c r="P5" s="39" t="n">
        <v>2024</v>
      </c>
      <c r="Q5" s="39" t="n">
        <v>2025</v>
      </c>
      <c r="R5" s="40" t="n">
        <v>2026</v>
      </c>
      <c r="S5" s="40" t="n">
        <v>2027</v>
      </c>
      <c r="T5" s="40" t="n">
        <v>2028</v>
      </c>
      <c r="U5" s="40" t="n">
        <v>2029</v>
      </c>
      <c r="V5" s="40" t="n">
        <v>2030</v>
      </c>
    </row>
    <row r="6" ht="16.5" customHeight="1" s="217">
      <c r="A6" s="209" t="inlineStr">
        <is>
          <t>■ A. 인구 (명)                    [통계청 장래인구추계, 중위]</t>
        </is>
      </c>
      <c r="B6" s="210" t="n"/>
      <c r="C6" s="210" t="n"/>
      <c r="D6" s="210" t="n"/>
      <c r="E6" s="210" t="n"/>
      <c r="F6" s="210" t="n"/>
      <c r="G6" s="210" t="n"/>
      <c r="H6" s="210" t="n"/>
      <c r="I6" s="210" t="n"/>
      <c r="J6" s="210" t="n"/>
      <c r="K6" s="210" t="n"/>
      <c r="L6" s="210" t="n"/>
      <c r="M6" s="210" t="n"/>
      <c r="N6" s="210" t="n"/>
      <c r="O6" s="210" t="n"/>
      <c r="P6" s="210" t="n"/>
      <c r="Q6" s="210" t="n"/>
      <c r="R6" s="210" t="n"/>
      <c r="S6" s="210" t="n"/>
      <c r="T6" s="210" t="n"/>
      <c r="U6" s="210" t="n"/>
      <c r="V6" s="210" t="n"/>
    </row>
    <row r="7" ht="16.5" customHeight="1" s="217">
      <c r="A7" s="219" t="inlineStr">
        <is>
          <t xml:space="preserve">  0-9세</t>
        </is>
      </c>
      <c r="B7" s="208" t="n">
        <v>4769730</v>
      </c>
      <c r="C7" s="208" t="n">
        <v>4651969</v>
      </c>
      <c r="D7" s="208" t="n">
        <v>4607872</v>
      </c>
      <c r="E7" s="208" t="n">
        <v>4589149</v>
      </c>
      <c r="F7" s="208" t="n">
        <v>4547518</v>
      </c>
      <c r="G7" s="208" t="n">
        <v>4541197</v>
      </c>
      <c r="H7" s="208" t="n">
        <v>4537256</v>
      </c>
      <c r="I7" s="208" t="n">
        <v>4460206</v>
      </c>
      <c r="J7" s="208" t="n">
        <v>4327663</v>
      </c>
      <c r="K7" s="208" t="n">
        <v>4206519</v>
      </c>
      <c r="L7" s="208" t="n">
        <v>4054901</v>
      </c>
      <c r="M7" s="208" t="n">
        <v>3850627</v>
      </c>
      <c r="N7" s="208" t="n">
        <v>3636125</v>
      </c>
      <c r="O7" s="208" t="n">
        <v>3415474</v>
      </c>
      <c r="P7" s="208" t="n">
        <v>3211594</v>
      </c>
      <c r="Q7" s="208" t="n">
        <v>2986799</v>
      </c>
      <c r="R7" s="208" t="n">
        <v>2774527</v>
      </c>
      <c r="S7" s="208" t="n">
        <v>2617033</v>
      </c>
      <c r="T7" s="208" t="n">
        <v>2507428</v>
      </c>
      <c r="U7" s="208" t="n">
        <v>2434549</v>
      </c>
      <c r="V7" s="208" t="n">
        <v>2396575</v>
      </c>
    </row>
    <row r="8" ht="16.5" customHeight="1" s="217">
      <c r="A8" s="219" t="inlineStr">
        <is>
          <t xml:space="preserve">  10-19세</t>
        </is>
      </c>
      <c r="B8" s="208" t="n">
        <v>6638502</v>
      </c>
      <c r="C8" s="208" t="n">
        <v>6588027</v>
      </c>
      <c r="D8" s="208" t="n">
        <v>6404935</v>
      </c>
      <c r="E8" s="208" t="n">
        <v>6176138</v>
      </c>
      <c r="F8" s="208" t="n">
        <v>5955904</v>
      </c>
      <c r="G8" s="208" t="n">
        <v>5710954</v>
      </c>
      <c r="H8" s="208" t="n">
        <v>5459511</v>
      </c>
      <c r="I8" s="208" t="n">
        <v>5246532</v>
      </c>
      <c r="J8" s="208" t="n">
        <v>5087396</v>
      </c>
      <c r="K8" s="208" t="n">
        <v>4927537</v>
      </c>
      <c r="L8" s="208" t="n">
        <v>4769187</v>
      </c>
      <c r="M8" s="208" t="n">
        <v>4643600</v>
      </c>
      <c r="N8" s="208" t="n">
        <v>4599712</v>
      </c>
      <c r="O8" s="208" t="n">
        <v>4590838</v>
      </c>
      <c r="P8" s="208" t="n">
        <v>4546494</v>
      </c>
      <c r="Q8" s="208" t="n">
        <v>4538674</v>
      </c>
      <c r="R8" s="208" t="n">
        <v>4530952</v>
      </c>
      <c r="S8" s="208" t="n">
        <v>4460471</v>
      </c>
      <c r="T8" s="208" t="n">
        <v>4324683</v>
      </c>
      <c r="U8" s="208" t="n">
        <v>4195539</v>
      </c>
      <c r="V8" s="208" t="n">
        <v>4046514</v>
      </c>
    </row>
    <row r="9" ht="16.5" customHeight="1" s="217">
      <c r="A9" s="219" t="inlineStr">
        <is>
          <t xml:space="preserve">  20-29세</t>
        </is>
      </c>
      <c r="B9" s="208" t="n">
        <v>6973154</v>
      </c>
      <c r="C9" s="208" t="n">
        <v>6840475</v>
      </c>
      <c r="D9" s="208" t="n">
        <v>6733813</v>
      </c>
      <c r="E9" s="208" t="n">
        <v>6686161</v>
      </c>
      <c r="F9" s="208" t="n">
        <v>6716535</v>
      </c>
      <c r="G9" s="208" t="n">
        <v>6781422</v>
      </c>
      <c r="H9" s="208" t="n">
        <v>6839660</v>
      </c>
      <c r="I9" s="208" t="n">
        <v>6897818</v>
      </c>
      <c r="J9" s="208" t="n">
        <v>6991259</v>
      </c>
      <c r="K9" s="208" t="n">
        <v>7026828</v>
      </c>
      <c r="L9" s="208" t="n">
        <v>7037893</v>
      </c>
      <c r="M9" s="208" t="n">
        <v>6953529</v>
      </c>
      <c r="N9" s="208" t="n">
        <v>6734021</v>
      </c>
      <c r="O9" s="208" t="n">
        <v>6548381</v>
      </c>
      <c r="P9" s="208" t="n">
        <v>6372432</v>
      </c>
      <c r="Q9" s="208" t="n">
        <v>6136764</v>
      </c>
      <c r="R9" s="208" t="n">
        <v>5887622</v>
      </c>
      <c r="S9" s="208" t="n">
        <v>5678166</v>
      </c>
      <c r="T9" s="208" t="n">
        <v>5510243</v>
      </c>
      <c r="U9" s="208" t="n">
        <v>5341561</v>
      </c>
      <c r="V9" s="208" t="n">
        <v>5157518</v>
      </c>
    </row>
    <row r="10" ht="16.5" customHeight="1" s="217">
      <c r="A10" s="219" t="inlineStr">
        <is>
          <t xml:space="preserve">  30-39세</t>
        </is>
      </c>
      <c r="B10" s="208" t="n">
        <v>8264820</v>
      </c>
      <c r="C10" s="208" t="n">
        <v>8208754</v>
      </c>
      <c r="D10" s="208" t="n">
        <v>8146381</v>
      </c>
      <c r="E10" s="208" t="n">
        <v>8035971</v>
      </c>
      <c r="F10" s="208" t="n">
        <v>7899840</v>
      </c>
      <c r="G10" s="208" t="n">
        <v>7763702</v>
      </c>
      <c r="H10" s="208" t="n">
        <v>7652940</v>
      </c>
      <c r="I10" s="208" t="n">
        <v>7545842</v>
      </c>
      <c r="J10" s="208" t="n">
        <v>7456227</v>
      </c>
      <c r="K10" s="208" t="n">
        <v>7358231</v>
      </c>
      <c r="L10" s="208" t="n">
        <v>7174782</v>
      </c>
      <c r="M10" s="208" t="n">
        <v>6989477</v>
      </c>
      <c r="N10" s="208" t="n">
        <v>6872945</v>
      </c>
      <c r="O10" s="208" t="n">
        <v>6874383</v>
      </c>
      <c r="P10" s="208" t="n">
        <v>6913023</v>
      </c>
      <c r="Q10" s="208" t="n">
        <v>6975568</v>
      </c>
      <c r="R10" s="208" t="n">
        <v>7037580</v>
      </c>
      <c r="S10" s="208" t="n">
        <v>7096790</v>
      </c>
      <c r="T10" s="208" t="n">
        <v>7152255</v>
      </c>
      <c r="U10" s="208" t="n">
        <v>7158328</v>
      </c>
      <c r="V10" s="208" t="n">
        <v>7156565</v>
      </c>
    </row>
    <row r="11" ht="16.5" customHeight="1" s="217">
      <c r="A11" s="219" t="inlineStr">
        <is>
          <t xml:space="preserve">  40-49세</t>
        </is>
      </c>
      <c r="B11" s="208" t="n">
        <v>8578079</v>
      </c>
      <c r="C11" s="208" t="n">
        <v>8600111</v>
      </c>
      <c r="D11" s="208" t="n">
        <v>8657375</v>
      </c>
      <c r="E11" s="208" t="n">
        <v>8653288</v>
      </c>
      <c r="F11" s="208" t="n">
        <v>8774714</v>
      </c>
      <c r="G11" s="208" t="n">
        <v>8752417</v>
      </c>
      <c r="H11" s="208" t="n">
        <v>8671799</v>
      </c>
      <c r="I11" s="208" t="n">
        <v>8585346</v>
      </c>
      <c r="J11" s="208" t="n">
        <v>8504579</v>
      </c>
      <c r="K11" s="208" t="n">
        <v>8335481</v>
      </c>
      <c r="L11" s="208" t="n">
        <v>8257903</v>
      </c>
      <c r="M11" s="208" t="n">
        <v>8158318</v>
      </c>
      <c r="N11" s="208" t="n">
        <v>8097011</v>
      </c>
      <c r="O11" s="208" t="n">
        <v>7993159</v>
      </c>
      <c r="P11" s="208" t="n">
        <v>7852297</v>
      </c>
      <c r="Q11" s="208" t="n">
        <v>7717016</v>
      </c>
      <c r="R11" s="208" t="n">
        <v>7624180</v>
      </c>
      <c r="S11" s="208" t="n">
        <v>7530657</v>
      </c>
      <c r="T11" s="208" t="n">
        <v>7417118</v>
      </c>
      <c r="U11" s="208" t="n">
        <v>7309393</v>
      </c>
      <c r="V11" s="208" t="n">
        <v>7147423</v>
      </c>
    </row>
    <row r="12" ht="16.5" customHeight="1" s="217">
      <c r="A12" s="219" t="inlineStr">
        <is>
          <t xml:space="preserve">  50-59세</t>
        </is>
      </c>
      <c r="B12" s="208" t="n">
        <v>6751678</v>
      </c>
      <c r="C12" s="208" t="n">
        <v>7229163</v>
      </c>
      <c r="D12" s="208" t="n">
        <v>7504944</v>
      </c>
      <c r="E12" s="208" t="n">
        <v>7821975</v>
      </c>
      <c r="F12" s="208" t="n">
        <v>8033801</v>
      </c>
      <c r="G12" s="208" t="n">
        <v>8173256</v>
      </c>
      <c r="H12" s="208" t="n">
        <v>8305212</v>
      </c>
      <c r="I12" s="208" t="n">
        <v>8389739</v>
      </c>
      <c r="J12" s="208" t="n">
        <v>8462781</v>
      </c>
      <c r="K12" s="208" t="n">
        <v>8593283</v>
      </c>
      <c r="L12" s="208" t="n">
        <v>8575336</v>
      </c>
      <c r="M12" s="208" t="n">
        <v>8539374</v>
      </c>
      <c r="N12" s="208" t="n">
        <v>8603509</v>
      </c>
      <c r="O12" s="208" t="n">
        <v>8596363</v>
      </c>
      <c r="P12" s="208" t="n">
        <v>8705899</v>
      </c>
      <c r="Q12" s="208" t="n">
        <v>8660370</v>
      </c>
      <c r="R12" s="208" t="n">
        <v>8586606</v>
      </c>
      <c r="S12" s="208" t="n">
        <v>8508537</v>
      </c>
      <c r="T12" s="208" t="n">
        <v>8417195</v>
      </c>
      <c r="U12" s="208" t="n">
        <v>8247351</v>
      </c>
      <c r="V12" s="208" t="n">
        <v>8195954</v>
      </c>
    </row>
    <row r="13" ht="16.5" customHeight="1" s="217">
      <c r="A13" s="219" t="inlineStr">
        <is>
          <t xml:space="preserve">  60-69세</t>
        </is>
      </c>
      <c r="B13" s="208" t="n">
        <v>4090354</v>
      </c>
      <c r="C13" s="208" t="n">
        <v>4149296</v>
      </c>
      <c r="D13" s="208" t="n">
        <v>4252495</v>
      </c>
      <c r="E13" s="208" t="n">
        <v>4358060</v>
      </c>
      <c r="F13" s="208" t="n">
        <v>4546950</v>
      </c>
      <c r="G13" s="208" t="n">
        <v>4856462</v>
      </c>
      <c r="H13" s="208" t="n">
        <v>5204346</v>
      </c>
      <c r="I13" s="208" t="n">
        <v>5456887</v>
      </c>
      <c r="J13" s="208" t="n">
        <v>5745656</v>
      </c>
      <c r="K13" s="208" t="n">
        <v>6076571</v>
      </c>
      <c r="L13" s="208" t="n">
        <v>6476602</v>
      </c>
      <c r="M13" s="208" t="n">
        <v>6959660</v>
      </c>
      <c r="N13" s="208" t="n">
        <v>7211963</v>
      </c>
      <c r="O13" s="208" t="n">
        <v>7532388</v>
      </c>
      <c r="P13" s="208" t="n">
        <v>7720341</v>
      </c>
      <c r="Q13" s="208" t="n">
        <v>7844071</v>
      </c>
      <c r="R13" s="208" t="n">
        <v>7980101</v>
      </c>
      <c r="S13" s="208" t="n">
        <v>8068291</v>
      </c>
      <c r="T13" s="208" t="n">
        <v>8139161</v>
      </c>
      <c r="U13" s="208" t="n">
        <v>8263910</v>
      </c>
      <c r="V13" s="208" t="n">
        <v>8262115</v>
      </c>
    </row>
    <row r="14" ht="16.5" customHeight="1" s="217">
      <c r="A14" s="219" t="inlineStr">
        <is>
          <t xml:space="preserve">  70-79세</t>
        </is>
      </c>
      <c r="B14" s="208" t="n">
        <v>2565169</v>
      </c>
      <c r="C14" s="208" t="n">
        <v>2688344</v>
      </c>
      <c r="D14" s="208" t="n">
        <v>2841451</v>
      </c>
      <c r="E14" s="208" t="n">
        <v>2982923</v>
      </c>
      <c r="F14" s="208" t="n">
        <v>3062150</v>
      </c>
      <c r="G14" s="208" t="n">
        <v>3130047</v>
      </c>
      <c r="H14" s="208" t="n">
        <v>3129288</v>
      </c>
      <c r="I14" s="208" t="n">
        <v>3251115</v>
      </c>
      <c r="J14" s="208" t="n">
        <v>3374539</v>
      </c>
      <c r="K14" s="208" t="n">
        <v>3475741</v>
      </c>
      <c r="L14" s="208" t="n">
        <v>3598811</v>
      </c>
      <c r="M14" s="208" t="n">
        <v>3657969</v>
      </c>
      <c r="N14" s="208" t="n">
        <v>3761305</v>
      </c>
      <c r="O14" s="208" t="n">
        <v>3871775</v>
      </c>
      <c r="P14" s="208" t="n">
        <v>4046445</v>
      </c>
      <c r="Q14" s="208" t="n">
        <v>4347619</v>
      </c>
      <c r="R14" s="208" t="n">
        <v>4665354</v>
      </c>
      <c r="S14" s="208" t="n">
        <v>4907263</v>
      </c>
      <c r="T14" s="208" t="n">
        <v>5183887</v>
      </c>
      <c r="U14" s="208" t="n">
        <v>5496486</v>
      </c>
      <c r="V14" s="208" t="n">
        <v>5869554</v>
      </c>
    </row>
    <row r="15" ht="16.5" customHeight="1" s="217">
      <c r="A15" s="219" t="inlineStr">
        <is>
          <t xml:space="preserve">  80세 이상</t>
        </is>
      </c>
      <c r="B15" s="208" t="n">
        <v>922626</v>
      </c>
      <c r="C15" s="208" t="n">
        <v>980499</v>
      </c>
      <c r="D15" s="208" t="n">
        <v>1050587</v>
      </c>
      <c r="E15" s="208" t="n">
        <v>1125228</v>
      </c>
      <c r="F15" s="208" t="n">
        <v>1209247</v>
      </c>
      <c r="G15" s="208" t="n">
        <v>1305490</v>
      </c>
      <c r="H15" s="208" t="n">
        <v>1417791</v>
      </c>
      <c r="I15" s="208" t="n">
        <v>1528426</v>
      </c>
      <c r="J15" s="208" t="n">
        <v>1634958</v>
      </c>
      <c r="K15" s="208" t="n">
        <v>1764631</v>
      </c>
      <c r="L15" s="208" t="n">
        <v>1890824</v>
      </c>
      <c r="M15" s="208" t="n">
        <v>2016985</v>
      </c>
      <c r="N15" s="208" t="n">
        <v>2155978</v>
      </c>
      <c r="O15" s="208" t="n">
        <v>2289858</v>
      </c>
      <c r="P15" s="208" t="n">
        <v>2382540</v>
      </c>
      <c r="Q15" s="208" t="n">
        <v>2477683</v>
      </c>
      <c r="R15" s="208" t="n">
        <v>2522199</v>
      </c>
      <c r="S15" s="208" t="n">
        <v>2667343</v>
      </c>
      <c r="T15" s="208" t="n">
        <v>2807907</v>
      </c>
      <c r="U15" s="208" t="n">
        <v>2936935</v>
      </c>
      <c r="V15" s="208" t="n">
        <v>3073495</v>
      </c>
    </row>
    <row r="16" ht="16.5" customFormat="1" customHeight="1" s="185">
      <c r="A16" s="214" t="inlineStr">
        <is>
          <t xml:space="preserve">  전체 인구</t>
        </is>
      </c>
      <c r="B16" s="213">
        <f>SUM(B7:B15)</f>
        <v/>
      </c>
      <c r="C16" s="213">
        <f>SUM(C7:C15)</f>
        <v/>
      </c>
      <c r="D16" s="213">
        <f>SUM(D7:D15)</f>
        <v/>
      </c>
      <c r="E16" s="213">
        <f>SUM(E7:E15)</f>
        <v/>
      </c>
      <c r="F16" s="213">
        <f>SUM(F7:F15)</f>
        <v/>
      </c>
      <c r="G16" s="213">
        <f>SUM(G7:G15)</f>
        <v/>
      </c>
      <c r="H16" s="213">
        <f>SUM(H7:H15)</f>
        <v/>
      </c>
      <c r="I16" s="213">
        <f>SUM(I7:I15)</f>
        <v/>
      </c>
      <c r="J16" s="213">
        <f>SUM(J7:J15)</f>
        <v/>
      </c>
      <c r="K16" s="213">
        <f>SUM(K7:K15)</f>
        <v/>
      </c>
      <c r="L16" s="213">
        <f>SUM(L7:L15)</f>
        <v/>
      </c>
      <c r="M16" s="213">
        <f>SUM(M7:M15)</f>
        <v/>
      </c>
      <c r="N16" s="213">
        <f>SUM(N7:N15)</f>
        <v/>
      </c>
      <c r="O16" s="213">
        <f>SUM(O7:O15)</f>
        <v/>
      </c>
      <c r="P16" s="213">
        <f>SUM(P7:P15)</f>
        <v/>
      </c>
      <c r="Q16" s="213">
        <f>SUM(Q7:Q15)</f>
        <v/>
      </c>
      <c r="R16" s="213">
        <f>SUM(R7:R15)</f>
        <v/>
      </c>
      <c r="S16" s="213">
        <f>SUM(S7:S15)</f>
        <v/>
      </c>
      <c r="T16" s="213">
        <f>SUM(T7:T15)</f>
        <v/>
      </c>
      <c r="U16" s="213">
        <f>SUM(U7:U15)</f>
        <v/>
      </c>
      <c r="V16" s="213">
        <f>SUM(V7:V15)</f>
        <v/>
      </c>
    </row>
    <row r="18" ht="16.5" customHeight="1" s="217">
      <c r="A18" s="41" t="inlineStr">
        <is>
          <t>■ B. 연령별 비율 (%)         [2010~24 : 전신마취 환자바율  |  2026~30 : 연령대별 다른 방법으로 예측1]</t>
        </is>
      </c>
      <c r="B18" s="42" t="n"/>
      <c r="C18" s="42" t="n"/>
      <c r="D18" s="42" t="n"/>
      <c r="E18" s="42" t="n"/>
      <c r="F18" s="42" t="n"/>
      <c r="G18" s="42" t="n"/>
      <c r="H18" s="42" t="n"/>
      <c r="I18" s="42" t="n"/>
      <c r="J18" s="42" t="n"/>
      <c r="K18" s="42" t="n"/>
      <c r="L18" s="42" t="n"/>
      <c r="M18" s="42" t="n"/>
      <c r="N18" s="42" t="n"/>
      <c r="O18" s="42" t="n"/>
      <c r="P18" s="42" t="n"/>
      <c r="Q18" s="42" t="n"/>
      <c r="R18" s="42" t="n"/>
      <c r="S18" s="42" t="n"/>
      <c r="T18" s="42" t="n"/>
      <c r="U18" s="42" t="n"/>
      <c r="V18" s="42" t="n"/>
    </row>
    <row r="19" ht="16.5" customHeight="1" s="217">
      <c r="A19" s="219" t="inlineStr">
        <is>
          <t xml:space="preserve">  0-9세</t>
        </is>
      </c>
      <c r="B19" s="221">
        <f>B31/B7</f>
        <v/>
      </c>
      <c r="C19" s="221">
        <f>C31/C7</f>
        <v/>
      </c>
      <c r="D19" s="221">
        <f>D31/D7</f>
        <v/>
      </c>
      <c r="E19" s="221">
        <f>E31/E7</f>
        <v/>
      </c>
      <c r="F19" s="221">
        <f>F31/F7</f>
        <v/>
      </c>
      <c r="G19" s="221">
        <f>G31/G7</f>
        <v/>
      </c>
      <c r="H19" s="221">
        <f>H31/H7</f>
        <v/>
      </c>
      <c r="I19" s="221">
        <f>I31/I7</f>
        <v/>
      </c>
      <c r="J19" s="221">
        <f>J31/J7</f>
        <v/>
      </c>
      <c r="K19" s="221">
        <f>K31/K7</f>
        <v/>
      </c>
      <c r="L19" s="221">
        <f>L31/L7</f>
        <v/>
      </c>
      <c r="M19" s="221">
        <f>M31/M7</f>
        <v/>
      </c>
      <c r="N19" s="221">
        <f>N31/N7</f>
        <v/>
      </c>
      <c r="O19" s="221">
        <f>O31/O7</f>
        <v/>
      </c>
      <c r="P19" s="221">
        <f>P31/P7</f>
        <v/>
      </c>
      <c r="Q19" s="221">
        <f>Q31/Q7</f>
        <v/>
      </c>
      <c r="R19" s="222">
        <f>$G53</f>
        <v/>
      </c>
      <c r="S19" s="222">
        <f>$G53</f>
        <v/>
      </c>
      <c r="T19" s="222">
        <f>$G53</f>
        <v/>
      </c>
      <c r="U19" s="222">
        <f>$G53</f>
        <v/>
      </c>
      <c r="V19" s="222">
        <f>$G53</f>
        <v/>
      </c>
    </row>
    <row r="20" ht="16.5" customHeight="1" s="217">
      <c r="A20" s="219" t="inlineStr">
        <is>
          <t xml:space="preserve">  10-19세</t>
        </is>
      </c>
      <c r="B20" s="221">
        <f>B32/B8</f>
        <v/>
      </c>
      <c r="C20" s="221">
        <f>C32/C8</f>
        <v/>
      </c>
      <c r="D20" s="221">
        <f>D32/D8</f>
        <v/>
      </c>
      <c r="E20" s="221">
        <f>E32/E8</f>
        <v/>
      </c>
      <c r="F20" s="221">
        <f>F32/F8</f>
        <v/>
      </c>
      <c r="G20" s="221">
        <f>G32/G8</f>
        <v/>
      </c>
      <c r="H20" s="221">
        <f>H32/H8</f>
        <v/>
      </c>
      <c r="I20" s="221">
        <f>I32/I8</f>
        <v/>
      </c>
      <c r="J20" s="221">
        <f>J32/J8</f>
        <v/>
      </c>
      <c r="K20" s="221">
        <f>K32/K8</f>
        <v/>
      </c>
      <c r="L20" s="221">
        <f>L32/L8</f>
        <v/>
      </c>
      <c r="M20" s="221">
        <f>M32/M8</f>
        <v/>
      </c>
      <c r="N20" s="221">
        <f>N32/N8</f>
        <v/>
      </c>
      <c r="O20" s="221">
        <f>O32/O8</f>
        <v/>
      </c>
      <c r="P20" s="221">
        <f>P32/P8</f>
        <v/>
      </c>
      <c r="Q20" s="221">
        <f>Q32/Q8</f>
        <v/>
      </c>
      <c r="R20" s="222">
        <f>$G54</f>
        <v/>
      </c>
      <c r="S20" s="222">
        <f>$G54</f>
        <v/>
      </c>
      <c r="T20" s="222">
        <f>$G54</f>
        <v/>
      </c>
      <c r="U20" s="222">
        <f>$G54</f>
        <v/>
      </c>
      <c r="V20" s="222">
        <f>$G54</f>
        <v/>
      </c>
    </row>
    <row r="21" ht="16.5" customHeight="1" s="217">
      <c r="A21" s="219" t="inlineStr">
        <is>
          <t xml:space="preserve">  20-29세</t>
        </is>
      </c>
      <c r="B21" s="221">
        <f>B33/B9</f>
        <v/>
      </c>
      <c r="C21" s="221">
        <f>C33/C9</f>
        <v/>
      </c>
      <c r="D21" s="221">
        <f>D33/D9</f>
        <v/>
      </c>
      <c r="E21" s="221">
        <f>E33/E9</f>
        <v/>
      </c>
      <c r="F21" s="221">
        <f>F33/F9</f>
        <v/>
      </c>
      <c r="G21" s="221">
        <f>G33/G9</f>
        <v/>
      </c>
      <c r="H21" s="221">
        <f>H33/H9</f>
        <v/>
      </c>
      <c r="I21" s="221">
        <f>I33/I9</f>
        <v/>
      </c>
      <c r="J21" s="221">
        <f>J33/J9</f>
        <v/>
      </c>
      <c r="K21" s="221">
        <f>K33/K9</f>
        <v/>
      </c>
      <c r="L21" s="221">
        <f>L33/L9</f>
        <v/>
      </c>
      <c r="M21" s="221">
        <f>M33/M9</f>
        <v/>
      </c>
      <c r="N21" s="221">
        <f>N33/N9</f>
        <v/>
      </c>
      <c r="O21" s="221">
        <f>O33/O9</f>
        <v/>
      </c>
      <c r="P21" s="221">
        <f>P33/P9</f>
        <v/>
      </c>
      <c r="Q21" s="221">
        <f>Q33/Q9</f>
        <v/>
      </c>
      <c r="R21" s="222">
        <f>$G55</f>
        <v/>
      </c>
      <c r="S21" s="222">
        <f>$G55</f>
        <v/>
      </c>
      <c r="T21" s="222">
        <f>$G55</f>
        <v/>
      </c>
      <c r="U21" s="222">
        <f>$G55</f>
        <v/>
      </c>
      <c r="V21" s="222">
        <f>$G55</f>
        <v/>
      </c>
    </row>
    <row r="22" ht="16.5" customHeight="1" s="217">
      <c r="A22" s="219" t="inlineStr">
        <is>
          <t xml:space="preserve">  30-39세</t>
        </is>
      </c>
      <c r="B22" s="221">
        <f>B34/B10</f>
        <v/>
      </c>
      <c r="C22" s="221">
        <f>C34/C10</f>
        <v/>
      </c>
      <c r="D22" s="221">
        <f>D34/D10</f>
        <v/>
      </c>
      <c r="E22" s="221">
        <f>E34/E10</f>
        <v/>
      </c>
      <c r="F22" s="221">
        <f>F34/F10</f>
        <v/>
      </c>
      <c r="G22" s="221">
        <f>G34/G10</f>
        <v/>
      </c>
      <c r="H22" s="221">
        <f>H34/H10</f>
        <v/>
      </c>
      <c r="I22" s="221">
        <f>I34/I10</f>
        <v/>
      </c>
      <c r="J22" s="221">
        <f>J34/J10</f>
        <v/>
      </c>
      <c r="K22" s="221">
        <f>K34/K10</f>
        <v/>
      </c>
      <c r="L22" s="221">
        <f>L34/L10</f>
        <v/>
      </c>
      <c r="M22" s="221">
        <f>M34/M10</f>
        <v/>
      </c>
      <c r="N22" s="221">
        <f>N34/N10</f>
        <v/>
      </c>
      <c r="O22" s="221">
        <f>O34/O10</f>
        <v/>
      </c>
      <c r="P22" s="221">
        <f>P34/P10</f>
        <v/>
      </c>
      <c r="Q22" s="221">
        <f>Q34/Q10</f>
        <v/>
      </c>
      <c r="R22" s="222">
        <f>$B$56*R$5+$C$56</f>
        <v/>
      </c>
      <c r="S22" s="222">
        <f>$B$56*S$5+$C$56</f>
        <v/>
      </c>
      <c r="T22" s="222">
        <f>$B$56*T$5+$C$56</f>
        <v/>
      </c>
      <c r="U22" s="222">
        <f>$B$56*U$5+$C$56</f>
        <v/>
      </c>
      <c r="V22" s="222">
        <f>$B$56*V$5+$C$56</f>
        <v/>
      </c>
    </row>
    <row r="23" ht="16.5" customHeight="1" s="217">
      <c r="A23" s="219" t="inlineStr">
        <is>
          <t xml:space="preserve">  40-49세</t>
        </is>
      </c>
      <c r="B23" s="221">
        <f>B35/B11</f>
        <v/>
      </c>
      <c r="C23" s="221">
        <f>C35/C11</f>
        <v/>
      </c>
      <c r="D23" s="221">
        <f>D35/D11</f>
        <v/>
      </c>
      <c r="E23" s="221">
        <f>E35/E11</f>
        <v/>
      </c>
      <c r="F23" s="221">
        <f>F35/F11</f>
        <v/>
      </c>
      <c r="G23" s="221">
        <f>G35/G11</f>
        <v/>
      </c>
      <c r="H23" s="221">
        <f>H35/H11</f>
        <v/>
      </c>
      <c r="I23" s="221">
        <f>I35/I11</f>
        <v/>
      </c>
      <c r="J23" s="221">
        <f>J35/J11</f>
        <v/>
      </c>
      <c r="K23" s="221">
        <f>K35/K11</f>
        <v/>
      </c>
      <c r="L23" s="221">
        <f>L35/L11</f>
        <v/>
      </c>
      <c r="M23" s="221">
        <f>M35/M11</f>
        <v/>
      </c>
      <c r="N23" s="221">
        <f>N35/N11</f>
        <v/>
      </c>
      <c r="O23" s="221">
        <f>O35/O11</f>
        <v/>
      </c>
      <c r="P23" s="221">
        <f>P35/P11</f>
        <v/>
      </c>
      <c r="Q23" s="221">
        <f>Q35/Q11</f>
        <v/>
      </c>
      <c r="R23" s="222">
        <f>$B$57*R$5+$C$57</f>
        <v/>
      </c>
      <c r="S23" s="222">
        <f>$B$57*S$5+$C$57</f>
        <v/>
      </c>
      <c r="T23" s="222">
        <f>$B$57*T$5+$C$57</f>
        <v/>
      </c>
      <c r="U23" s="222">
        <f>$B$57*U$5+$C$57</f>
        <v/>
      </c>
      <c r="V23" s="222">
        <f>$B$57*V$5+$C$57</f>
        <v/>
      </c>
    </row>
    <row r="24" ht="16.5" customHeight="1" s="217">
      <c r="A24" s="219" t="inlineStr">
        <is>
          <t xml:space="preserve">  50-59세</t>
        </is>
      </c>
      <c r="B24" s="221">
        <f>B36/B12</f>
        <v/>
      </c>
      <c r="C24" s="221">
        <f>C36/C12</f>
        <v/>
      </c>
      <c r="D24" s="221">
        <f>D36/D12</f>
        <v/>
      </c>
      <c r="E24" s="221">
        <f>E36/E12</f>
        <v/>
      </c>
      <c r="F24" s="221">
        <f>F36/F12</f>
        <v/>
      </c>
      <c r="G24" s="221">
        <f>G36/G12</f>
        <v/>
      </c>
      <c r="H24" s="221">
        <f>H36/H12</f>
        <v/>
      </c>
      <c r="I24" s="221">
        <f>I36/I12</f>
        <v/>
      </c>
      <c r="J24" s="221">
        <f>J36/J12</f>
        <v/>
      </c>
      <c r="K24" s="221">
        <f>K36/K12</f>
        <v/>
      </c>
      <c r="L24" s="221">
        <f>L36/L12</f>
        <v/>
      </c>
      <c r="M24" s="221">
        <f>M36/M12</f>
        <v/>
      </c>
      <c r="N24" s="221">
        <f>N36/N12</f>
        <v/>
      </c>
      <c r="O24" s="221">
        <f>O36/O12</f>
        <v/>
      </c>
      <c r="P24" s="221">
        <f>P36/P12</f>
        <v/>
      </c>
      <c r="Q24" s="221">
        <f>Q36/Q12</f>
        <v/>
      </c>
      <c r="R24" s="222">
        <f>$B$58*R$5+$C$58</f>
        <v/>
      </c>
      <c r="S24" s="222">
        <f>$B$58*S$5+$C$58</f>
        <v/>
      </c>
      <c r="T24" s="222">
        <f>$B$58*T$5+$C$58</f>
        <v/>
      </c>
      <c r="U24" s="222">
        <f>$B$58*U$5+$C$58</f>
        <v/>
      </c>
      <c r="V24" s="222">
        <f>$B$58*V$5+$C$58</f>
        <v/>
      </c>
    </row>
    <row r="25" ht="16.5" customHeight="1" s="217">
      <c r="A25" s="219" t="inlineStr">
        <is>
          <t xml:space="preserve">  60-69세</t>
        </is>
      </c>
      <c r="B25" s="221">
        <f>B37/B13</f>
        <v/>
      </c>
      <c r="C25" s="221">
        <f>C37/C13</f>
        <v/>
      </c>
      <c r="D25" s="221">
        <f>D37/D13</f>
        <v/>
      </c>
      <c r="E25" s="221">
        <f>E37/E13</f>
        <v/>
      </c>
      <c r="F25" s="221">
        <f>F37/F13</f>
        <v/>
      </c>
      <c r="G25" s="221">
        <f>G37/G13</f>
        <v/>
      </c>
      <c r="H25" s="221">
        <f>H37/H13</f>
        <v/>
      </c>
      <c r="I25" s="221">
        <f>I37/I13</f>
        <v/>
      </c>
      <c r="J25" s="221">
        <f>J37/J13</f>
        <v/>
      </c>
      <c r="K25" s="221">
        <f>K37/K13</f>
        <v/>
      </c>
      <c r="L25" s="221">
        <f>L37/L13</f>
        <v/>
      </c>
      <c r="M25" s="221">
        <f>M37/M13</f>
        <v/>
      </c>
      <c r="N25" s="221">
        <f>N37/N13</f>
        <v/>
      </c>
      <c r="O25" s="221">
        <f>O37/O13</f>
        <v/>
      </c>
      <c r="P25" s="221">
        <f>P37/P13</f>
        <v/>
      </c>
      <c r="Q25" s="221">
        <f>Q37/Q13</f>
        <v/>
      </c>
      <c r="R25" s="222">
        <f>$G59</f>
        <v/>
      </c>
      <c r="S25" s="222">
        <f>$G59</f>
        <v/>
      </c>
      <c r="T25" s="222">
        <f>$G59</f>
        <v/>
      </c>
      <c r="U25" s="222">
        <f>$G59</f>
        <v/>
      </c>
      <c r="V25" s="222">
        <f>$G59</f>
        <v/>
      </c>
    </row>
    <row r="26" ht="16.5" customHeight="1" s="217">
      <c r="A26" s="219" t="inlineStr">
        <is>
          <t xml:space="preserve">  70-79세</t>
        </is>
      </c>
      <c r="B26" s="221">
        <f>B38/B14</f>
        <v/>
      </c>
      <c r="C26" s="221">
        <f>C38/C14</f>
        <v/>
      </c>
      <c r="D26" s="221">
        <f>D38/D14</f>
        <v/>
      </c>
      <c r="E26" s="221">
        <f>E38/E14</f>
        <v/>
      </c>
      <c r="F26" s="221">
        <f>F38/F14</f>
        <v/>
      </c>
      <c r="G26" s="221">
        <f>G38/G14</f>
        <v/>
      </c>
      <c r="H26" s="221">
        <f>H38/H14</f>
        <v/>
      </c>
      <c r="I26" s="221">
        <f>I38/I14</f>
        <v/>
      </c>
      <c r="J26" s="221">
        <f>J38/J14</f>
        <v/>
      </c>
      <c r="K26" s="221">
        <f>K38/K14</f>
        <v/>
      </c>
      <c r="L26" s="221">
        <f>L38/L14</f>
        <v/>
      </c>
      <c r="M26" s="221">
        <f>M38/M14</f>
        <v/>
      </c>
      <c r="N26" s="221">
        <f>N38/N14</f>
        <v/>
      </c>
      <c r="O26" s="221">
        <f>O38/O14</f>
        <v/>
      </c>
      <c r="P26" s="221">
        <f>P38/P14</f>
        <v/>
      </c>
      <c r="Q26" s="221">
        <f>Q38/Q14</f>
        <v/>
      </c>
      <c r="R26" s="222">
        <f>$G60</f>
        <v/>
      </c>
      <c r="S26" s="222">
        <f>$G60</f>
        <v/>
      </c>
      <c r="T26" s="222">
        <f>$G60</f>
        <v/>
      </c>
      <c r="U26" s="222">
        <f>$G60</f>
        <v/>
      </c>
      <c r="V26" s="222">
        <f>$G60</f>
        <v/>
      </c>
    </row>
    <row r="27" ht="16.5" customHeight="1" s="217">
      <c r="A27" s="219" t="inlineStr">
        <is>
          <t xml:space="preserve">  80세 이상</t>
        </is>
      </c>
      <c r="B27" s="221">
        <f>B39/B15</f>
        <v/>
      </c>
      <c r="C27" s="221">
        <f>C39/C15</f>
        <v/>
      </c>
      <c r="D27" s="221">
        <f>D39/D15</f>
        <v/>
      </c>
      <c r="E27" s="221">
        <f>E39/E15</f>
        <v/>
      </c>
      <c r="F27" s="221">
        <f>F39/F15</f>
        <v/>
      </c>
      <c r="G27" s="221">
        <f>G39/G15</f>
        <v/>
      </c>
      <c r="H27" s="221">
        <f>H39/H15</f>
        <v/>
      </c>
      <c r="I27" s="221">
        <f>I39/I15</f>
        <v/>
      </c>
      <c r="J27" s="221">
        <f>J39/J15</f>
        <v/>
      </c>
      <c r="K27" s="221">
        <f>K39/K15</f>
        <v/>
      </c>
      <c r="L27" s="221">
        <f>L39/L15</f>
        <v/>
      </c>
      <c r="M27" s="221">
        <f>M39/M15</f>
        <v/>
      </c>
      <c r="N27" s="221">
        <f>N39/N15</f>
        <v/>
      </c>
      <c r="O27" s="221">
        <f>O39/O15</f>
        <v/>
      </c>
      <c r="P27" s="221">
        <f>P39/P15</f>
        <v/>
      </c>
      <c r="Q27" s="221">
        <f>Q39/Q15</f>
        <v/>
      </c>
      <c r="R27" s="222">
        <f>$G61</f>
        <v/>
      </c>
      <c r="S27" s="222">
        <f>$G61</f>
        <v/>
      </c>
      <c r="T27" s="222">
        <f>$G61</f>
        <v/>
      </c>
      <c r="U27" s="222">
        <f>$G61</f>
        <v/>
      </c>
      <c r="V27" s="222">
        <f>$G61</f>
        <v/>
      </c>
    </row>
    <row r="28" ht="16.5" customFormat="1" customHeight="1" s="185">
      <c r="A28" s="215" t="inlineStr">
        <is>
          <t xml:space="preserve">  전체 비율</t>
        </is>
      </c>
      <c r="B28" s="223">
        <f>B40/B16</f>
        <v/>
      </c>
      <c r="C28" s="223">
        <f>C40/C16</f>
        <v/>
      </c>
      <c r="D28" s="223">
        <f>D40/D16</f>
        <v/>
      </c>
      <c r="E28" s="223">
        <f>E40/E16</f>
        <v/>
      </c>
      <c r="F28" s="223">
        <f>F40/F16</f>
        <v/>
      </c>
      <c r="G28" s="223">
        <f>G40/G16</f>
        <v/>
      </c>
      <c r="H28" s="223">
        <f>H40/H16</f>
        <v/>
      </c>
      <c r="I28" s="223">
        <f>I40/I16</f>
        <v/>
      </c>
      <c r="J28" s="223">
        <f>J40/J16</f>
        <v/>
      </c>
      <c r="K28" s="223">
        <f>K40/K16</f>
        <v/>
      </c>
      <c r="L28" s="223">
        <f>L40/L16</f>
        <v/>
      </c>
      <c r="M28" s="223">
        <f>M40/M16</f>
        <v/>
      </c>
      <c r="N28" s="223">
        <f>N40/N16</f>
        <v/>
      </c>
      <c r="O28" s="223">
        <f>O40/O16</f>
        <v/>
      </c>
      <c r="P28" s="223">
        <f>P40/P16</f>
        <v/>
      </c>
      <c r="Q28" s="223">
        <f>Q40/Q16</f>
        <v/>
      </c>
      <c r="R28" s="223">
        <f>R40/R16</f>
        <v/>
      </c>
      <c r="S28" s="223">
        <f>S40/S16</f>
        <v/>
      </c>
      <c r="T28" s="223">
        <f>T40/T16</f>
        <v/>
      </c>
      <c r="U28" s="223">
        <f>U40/U16</f>
        <v/>
      </c>
      <c r="V28" s="223">
        <f>V40/V16</f>
        <v/>
      </c>
    </row>
    <row r="30" ht="16.5" customHeight="1" s="217">
      <c r="A30" s="41" t="inlineStr">
        <is>
          <t>■ C. 전신마취 환자수 (명)   [CY2010~25 : NHIS L1211+1212  |  2026~30 : 유병률(B) × 인구(A)]</t>
        </is>
      </c>
      <c r="B30" s="42" t="n"/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2" t="n"/>
      <c r="O30" s="42" t="n"/>
      <c r="P30" s="42" t="n"/>
      <c r="Q30" s="42" t="n"/>
      <c r="R30" s="42" t="n"/>
      <c r="S30" s="42" t="n"/>
      <c r="T30" s="42" t="n"/>
      <c r="U30" s="42" t="n"/>
      <c r="V30" s="42" t="n"/>
    </row>
    <row r="31" ht="16.5" customHeight="1" s="217">
      <c r="A31" s="219" t="inlineStr">
        <is>
          <t xml:space="preserve">  0-9세</t>
        </is>
      </c>
      <c r="B31" s="48" t="n">
        <v>91549</v>
      </c>
      <c r="C31" s="48" t="n">
        <v>94141</v>
      </c>
      <c r="D31" s="48" t="n">
        <v>91485</v>
      </c>
      <c r="E31" s="48" t="n">
        <v>81220</v>
      </c>
      <c r="F31" s="48" t="n">
        <v>69973</v>
      </c>
      <c r="G31" s="48" t="n">
        <v>68365</v>
      </c>
      <c r="H31" s="48" t="n">
        <v>69178</v>
      </c>
      <c r="I31" s="48" t="n">
        <v>66073</v>
      </c>
      <c r="J31" s="48" t="n">
        <v>63030</v>
      </c>
      <c r="K31" s="48" t="n">
        <v>65230</v>
      </c>
      <c r="L31" s="48" t="n">
        <v>60427</v>
      </c>
      <c r="M31" s="48" t="n">
        <v>60799</v>
      </c>
      <c r="N31" s="48" t="n">
        <v>52238</v>
      </c>
      <c r="O31" s="48" t="n">
        <v>56676</v>
      </c>
      <c r="P31" s="48" t="n">
        <v>51839</v>
      </c>
      <c r="Q31" s="48" t="n">
        <v>50130</v>
      </c>
      <c r="R31" s="49">
        <f>R7*R19</f>
        <v/>
      </c>
      <c r="S31" s="49">
        <f>S7*S19</f>
        <v/>
      </c>
      <c r="T31" s="49">
        <f>T7*T19</f>
        <v/>
      </c>
      <c r="U31" s="49">
        <f>U7*U19</f>
        <v/>
      </c>
      <c r="V31" s="49">
        <f>V7*V19</f>
        <v/>
      </c>
    </row>
    <row r="32" ht="16.5" customHeight="1" s="217">
      <c r="A32" s="219" t="inlineStr">
        <is>
          <t xml:space="preserve">  10-19세</t>
        </is>
      </c>
      <c r="B32" s="48" t="n">
        <v>85028</v>
      </c>
      <c r="C32" s="48" t="n">
        <v>85974</v>
      </c>
      <c r="D32" s="48" t="n">
        <v>83270</v>
      </c>
      <c r="E32" s="48" t="n">
        <v>68438</v>
      </c>
      <c r="F32" s="48" t="n">
        <v>59440</v>
      </c>
      <c r="G32" s="48" t="n">
        <v>57229</v>
      </c>
      <c r="H32" s="48" t="n">
        <v>54783</v>
      </c>
      <c r="I32" s="48" t="n">
        <v>52126</v>
      </c>
      <c r="J32" s="48" t="n">
        <v>50607</v>
      </c>
      <c r="K32" s="48" t="n">
        <v>52324</v>
      </c>
      <c r="L32" s="48" t="n">
        <v>46041</v>
      </c>
      <c r="M32" s="48" t="n">
        <v>48668</v>
      </c>
      <c r="N32" s="48" t="n">
        <v>47831</v>
      </c>
      <c r="O32" s="48" t="n">
        <v>54607</v>
      </c>
      <c r="P32" s="48" t="n">
        <v>50925</v>
      </c>
      <c r="Q32" s="48" t="n">
        <v>48269</v>
      </c>
      <c r="R32" s="49">
        <f>R8*R20</f>
        <v/>
      </c>
      <c r="S32" s="49">
        <f>S8*S20</f>
        <v/>
      </c>
      <c r="T32" s="49">
        <f>T8*T20</f>
        <v/>
      </c>
      <c r="U32" s="49">
        <f>U8*U20</f>
        <v/>
      </c>
      <c r="V32" s="49">
        <f>V8*V20</f>
        <v/>
      </c>
    </row>
    <row r="33" ht="16.5" customHeight="1" s="217">
      <c r="A33" s="219" t="inlineStr">
        <is>
          <t xml:space="preserve">  20-29세</t>
        </is>
      </c>
      <c r="B33" s="48" t="n">
        <v>106295</v>
      </c>
      <c r="C33" s="48" t="n">
        <v>104595</v>
      </c>
      <c r="D33" s="48" t="n">
        <v>96499</v>
      </c>
      <c r="E33" s="48" t="n">
        <v>79774</v>
      </c>
      <c r="F33" s="48" t="n">
        <v>71919</v>
      </c>
      <c r="G33" s="48" t="n">
        <v>70926</v>
      </c>
      <c r="H33" s="48" t="n">
        <v>72683</v>
      </c>
      <c r="I33" s="48" t="n">
        <v>72896</v>
      </c>
      <c r="J33" s="48" t="n">
        <v>73407</v>
      </c>
      <c r="K33" s="48" t="n">
        <v>76718</v>
      </c>
      <c r="L33" s="48" t="n">
        <v>80056</v>
      </c>
      <c r="M33" s="48" t="n">
        <v>83325</v>
      </c>
      <c r="N33" s="48" t="n">
        <v>73269</v>
      </c>
      <c r="O33" s="48" t="n">
        <v>79137</v>
      </c>
      <c r="P33" s="48" t="n">
        <v>68668</v>
      </c>
      <c r="Q33" s="48" t="n">
        <v>63263</v>
      </c>
      <c r="R33" s="49">
        <f>R9*R21</f>
        <v/>
      </c>
      <c r="S33" s="49">
        <f>S9*S21</f>
        <v/>
      </c>
      <c r="T33" s="49">
        <f>T9*T21</f>
        <v/>
      </c>
      <c r="U33" s="49">
        <f>U9*U21</f>
        <v/>
      </c>
      <c r="V33" s="49">
        <f>V9*V21</f>
        <v/>
      </c>
    </row>
    <row r="34" ht="16.5" customHeight="1" s="217">
      <c r="A34" s="219" t="inlineStr">
        <is>
          <t xml:space="preserve">  30-39세</t>
        </is>
      </c>
      <c r="B34" s="48" t="n">
        <v>160278</v>
      </c>
      <c r="C34" s="48" t="n">
        <v>164919</v>
      </c>
      <c r="D34" s="48" t="n">
        <v>155026</v>
      </c>
      <c r="E34" s="48" t="n">
        <v>128602</v>
      </c>
      <c r="F34" s="48" t="n">
        <v>111068</v>
      </c>
      <c r="G34" s="48" t="n">
        <v>105403</v>
      </c>
      <c r="H34" s="48" t="n">
        <v>108007</v>
      </c>
      <c r="I34" s="48" t="n">
        <v>109215</v>
      </c>
      <c r="J34" s="48" t="n">
        <v>115054</v>
      </c>
      <c r="K34" s="48" t="n">
        <v>121341</v>
      </c>
      <c r="L34" s="48" t="n">
        <v>128162</v>
      </c>
      <c r="M34" s="48" t="n">
        <v>136317</v>
      </c>
      <c r="N34" s="48" t="n">
        <v>124795</v>
      </c>
      <c r="O34" s="48" t="n">
        <v>141642</v>
      </c>
      <c r="P34" s="48" t="n">
        <v>143729</v>
      </c>
      <c r="Q34" s="48" t="n">
        <v>146765</v>
      </c>
      <c r="R34" s="49">
        <f>R10*R22</f>
        <v/>
      </c>
      <c r="S34" s="49">
        <f>S10*S22</f>
        <v/>
      </c>
      <c r="T34" s="49">
        <f>T10*T22</f>
        <v/>
      </c>
      <c r="U34" s="49">
        <f>U10*U22</f>
        <v/>
      </c>
      <c r="V34" s="49">
        <f>V10*V22</f>
        <v/>
      </c>
    </row>
    <row r="35" ht="16.5" customHeight="1" s="217">
      <c r="A35" s="219" t="inlineStr">
        <is>
          <t xml:space="preserve">  40-49세</t>
        </is>
      </c>
      <c r="B35" s="48" t="n">
        <v>186193</v>
      </c>
      <c r="C35" s="48" t="n">
        <v>194364</v>
      </c>
      <c r="D35" s="48" t="n">
        <v>197341</v>
      </c>
      <c r="E35" s="48" t="n">
        <v>179260</v>
      </c>
      <c r="F35" s="48" t="n">
        <v>160846</v>
      </c>
      <c r="G35" s="48" t="n">
        <v>155333</v>
      </c>
      <c r="H35" s="48" t="n">
        <v>159218</v>
      </c>
      <c r="I35" s="48" t="n">
        <v>163077</v>
      </c>
      <c r="J35" s="48" t="n">
        <v>164682</v>
      </c>
      <c r="K35" s="48" t="n">
        <v>172066</v>
      </c>
      <c r="L35" s="48" t="n">
        <v>177078</v>
      </c>
      <c r="M35" s="48" t="n">
        <v>188877</v>
      </c>
      <c r="N35" s="48" t="n">
        <v>176764</v>
      </c>
      <c r="O35" s="48" t="n">
        <v>200802</v>
      </c>
      <c r="P35" s="48" t="n">
        <v>193171</v>
      </c>
      <c r="Q35" s="48" t="n">
        <v>189380</v>
      </c>
      <c r="R35" s="49">
        <f>R11*R23</f>
        <v/>
      </c>
      <c r="S35" s="49">
        <f>S11*S23</f>
        <v/>
      </c>
      <c r="T35" s="49">
        <f>T11*T23</f>
        <v/>
      </c>
      <c r="U35" s="49">
        <f>U11*U23</f>
        <v/>
      </c>
      <c r="V35" s="49">
        <f>V11*V23</f>
        <v/>
      </c>
    </row>
    <row r="36" ht="16.5" customHeight="1" s="217">
      <c r="A36" s="219" t="inlineStr">
        <is>
          <t xml:space="preserve">  50-59세</t>
        </is>
      </c>
      <c r="B36" s="48" t="n">
        <v>183476</v>
      </c>
      <c r="C36" s="48" t="n">
        <v>210154</v>
      </c>
      <c r="D36" s="48" t="n">
        <v>228633</v>
      </c>
      <c r="E36" s="48" t="n">
        <v>226930</v>
      </c>
      <c r="F36" s="48" t="n">
        <v>216983</v>
      </c>
      <c r="G36" s="48" t="n">
        <v>212264</v>
      </c>
      <c r="H36" s="48" t="n">
        <v>220085</v>
      </c>
      <c r="I36" s="48" t="n">
        <v>224670</v>
      </c>
      <c r="J36" s="48" t="n">
        <v>226503</v>
      </c>
      <c r="K36" s="48" t="n">
        <v>235230</v>
      </c>
      <c r="L36" s="48" t="n">
        <v>229149</v>
      </c>
      <c r="M36" s="48" t="n">
        <v>233720</v>
      </c>
      <c r="N36" s="48" t="n">
        <v>209986</v>
      </c>
      <c r="O36" s="48" t="n">
        <v>233718</v>
      </c>
      <c r="P36" s="48" t="n">
        <v>216988</v>
      </c>
      <c r="Q36" s="48" t="n">
        <v>208245</v>
      </c>
      <c r="R36" s="49">
        <f>R12*R24</f>
        <v/>
      </c>
      <c r="S36" s="49">
        <f>S12*S24</f>
        <v/>
      </c>
      <c r="T36" s="49">
        <f>T12*T24</f>
        <v/>
      </c>
      <c r="U36" s="49">
        <f>U12*U24</f>
        <v/>
      </c>
      <c r="V36" s="49">
        <f>V12*V24</f>
        <v/>
      </c>
    </row>
    <row r="37" ht="16.5" customHeight="1" s="217">
      <c r="A37" s="219" t="inlineStr">
        <is>
          <t xml:space="preserve">  60-69세</t>
        </is>
      </c>
      <c r="B37" s="48" t="n">
        <v>142696</v>
      </c>
      <c r="C37" s="48" t="n">
        <v>151713</v>
      </c>
      <c r="D37" s="48" t="n">
        <v>162479</v>
      </c>
      <c r="E37" s="48" t="n">
        <v>161483</v>
      </c>
      <c r="F37" s="48" t="n">
        <v>160733</v>
      </c>
      <c r="G37" s="48" t="n">
        <v>166083</v>
      </c>
      <c r="H37" s="48" t="n">
        <v>184401</v>
      </c>
      <c r="I37" s="48" t="n">
        <v>195728</v>
      </c>
      <c r="J37" s="48" t="n">
        <v>208663</v>
      </c>
      <c r="K37" s="48" t="n">
        <v>227810</v>
      </c>
      <c r="L37" s="48" t="n">
        <v>235289</v>
      </c>
      <c r="M37" s="48" t="n">
        <v>264146</v>
      </c>
      <c r="N37" s="48" t="n">
        <v>245410</v>
      </c>
      <c r="O37" s="48" t="n">
        <v>285692</v>
      </c>
      <c r="P37" s="48" t="n">
        <v>263680</v>
      </c>
      <c r="Q37" s="48" t="n">
        <v>256213</v>
      </c>
      <c r="R37" s="49">
        <f>R13*R25</f>
        <v/>
      </c>
      <c r="S37" s="49">
        <f>S13*S25</f>
        <v/>
      </c>
      <c r="T37" s="49">
        <f>T13*T25</f>
        <v/>
      </c>
      <c r="U37" s="49">
        <f>U13*U25</f>
        <v/>
      </c>
      <c r="V37" s="49">
        <f>V13*V25</f>
        <v/>
      </c>
    </row>
    <row r="38" ht="16.5" customHeight="1" s="217">
      <c r="A38" s="219" t="inlineStr">
        <is>
          <t xml:space="preserve">  70-79세</t>
        </is>
      </c>
      <c r="B38" s="48" t="n">
        <v>85079</v>
      </c>
      <c r="C38" s="48" t="n">
        <v>94253</v>
      </c>
      <c r="D38" s="48" t="n">
        <v>107145</v>
      </c>
      <c r="E38" s="48" t="n">
        <v>112868</v>
      </c>
      <c r="F38" s="48" t="n">
        <v>112731</v>
      </c>
      <c r="G38" s="48" t="n">
        <v>115519</v>
      </c>
      <c r="H38" s="48" t="n">
        <v>124513</v>
      </c>
      <c r="I38" s="48" t="n">
        <v>131691</v>
      </c>
      <c r="J38" s="48" t="n">
        <v>141224</v>
      </c>
      <c r="K38" s="48" t="n">
        <v>154468</v>
      </c>
      <c r="L38" s="48" t="n">
        <v>154805</v>
      </c>
      <c r="M38" s="48" t="n">
        <v>168787</v>
      </c>
      <c r="N38" s="48" t="n">
        <v>157255</v>
      </c>
      <c r="O38" s="48" t="n">
        <v>182283</v>
      </c>
      <c r="P38" s="48" t="n">
        <v>171560</v>
      </c>
      <c r="Q38" s="48" t="n">
        <v>176851</v>
      </c>
      <c r="R38" s="49">
        <f>R14*R26</f>
        <v/>
      </c>
      <c r="S38" s="49">
        <f>S14*S26</f>
        <v/>
      </c>
      <c r="T38" s="49">
        <f>T14*T26</f>
        <v/>
      </c>
      <c r="U38" s="49">
        <f>U14*U26</f>
        <v/>
      </c>
      <c r="V38" s="49">
        <f>V14*V26</f>
        <v/>
      </c>
    </row>
    <row r="39" ht="16.5" customHeight="1" s="217">
      <c r="A39" s="219" t="inlineStr">
        <is>
          <t xml:space="preserve">  80세 이상</t>
        </is>
      </c>
      <c r="B39" s="48" t="n">
        <v>16600</v>
      </c>
      <c r="C39" s="48" t="n">
        <v>19224</v>
      </c>
      <c r="D39" s="48" t="n">
        <v>22599</v>
      </c>
      <c r="E39" s="48" t="n">
        <v>24942</v>
      </c>
      <c r="F39" s="48" t="n">
        <v>26737</v>
      </c>
      <c r="G39" s="48" t="n">
        <v>30632</v>
      </c>
      <c r="H39" s="48" t="n">
        <v>35933</v>
      </c>
      <c r="I39" s="48" t="n">
        <v>41037</v>
      </c>
      <c r="J39" s="48" t="n">
        <v>46209</v>
      </c>
      <c r="K39" s="48" t="n">
        <v>52818</v>
      </c>
      <c r="L39" s="48" t="n">
        <v>56532</v>
      </c>
      <c r="M39" s="48" t="n">
        <v>64359</v>
      </c>
      <c r="N39" s="48" t="n">
        <v>64234</v>
      </c>
      <c r="O39" s="48" t="n">
        <v>77794</v>
      </c>
      <c r="P39" s="48" t="n">
        <v>71940</v>
      </c>
      <c r="Q39" s="48" t="n">
        <v>72465</v>
      </c>
      <c r="R39" s="49">
        <f>R15*R27</f>
        <v/>
      </c>
      <c r="S39" s="49">
        <f>S15*S27</f>
        <v/>
      </c>
      <c r="T39" s="49">
        <f>T15*T27</f>
        <v/>
      </c>
      <c r="U39" s="49">
        <f>U15*U27</f>
        <v/>
      </c>
      <c r="V39" s="49">
        <f>V15*V27</f>
        <v/>
      </c>
    </row>
    <row r="40" ht="16.5" customHeight="1" s="217">
      <c r="A40" s="50" t="inlineStr">
        <is>
          <t xml:space="preserve">  ▶ 전체 전신마취 환자수</t>
        </is>
      </c>
      <c r="B40" s="51">
        <f>SUM(B31:B39)</f>
        <v/>
      </c>
      <c r="C40" s="51">
        <f>SUM(C31:C39)</f>
        <v/>
      </c>
      <c r="D40" s="51">
        <f>SUM(D31:D39)</f>
        <v/>
      </c>
      <c r="E40" s="51">
        <f>SUM(E31:E39)</f>
        <v/>
      </c>
      <c r="F40" s="51">
        <f>SUM(F31:F39)</f>
        <v/>
      </c>
      <c r="G40" s="51">
        <f>SUM(G31:G39)</f>
        <v/>
      </c>
      <c r="H40" s="51">
        <f>SUM(H31:H39)</f>
        <v/>
      </c>
      <c r="I40" s="51">
        <f>SUM(I31:I39)</f>
        <v/>
      </c>
      <c r="J40" s="51">
        <f>SUM(J31:J39)</f>
        <v/>
      </c>
      <c r="K40" s="51">
        <f>SUM(K31:K39)</f>
        <v/>
      </c>
      <c r="L40" s="51">
        <f>SUM(L31:L39)</f>
        <v/>
      </c>
      <c r="M40" s="51">
        <f>SUM(M31:M39)</f>
        <v/>
      </c>
      <c r="N40" s="51">
        <f>SUM(N31:N39)</f>
        <v/>
      </c>
      <c r="O40" s="51">
        <f>SUM(O31:O39)</f>
        <v/>
      </c>
      <c r="P40" s="51">
        <f>SUM(P31:P39)</f>
        <v/>
      </c>
      <c r="Q40" s="51">
        <f>SUM(Q31:Q39)</f>
        <v/>
      </c>
      <c r="R40" s="51">
        <f>SUM(R31:R39)</f>
        <v/>
      </c>
      <c r="S40" s="51">
        <f>SUM(S31:S39)</f>
        <v/>
      </c>
      <c r="T40" s="51">
        <f>SUM(T31:T39)</f>
        <v/>
      </c>
      <c r="U40" s="51">
        <f>SUM(U31:U39)</f>
        <v/>
      </c>
      <c r="V40" s="51">
        <f>SUM(V31:V39)</f>
        <v/>
      </c>
    </row>
    <row r="41" customFormat="1" s="219">
      <c r="A41" s="215" t="inlineStr">
        <is>
          <t>성장률(YoY)</t>
        </is>
      </c>
      <c r="F41" s="224">
        <f>F40/E40-1</f>
        <v/>
      </c>
      <c r="G41" s="224">
        <f>G40/F40-1</f>
        <v/>
      </c>
      <c r="H41" s="224">
        <f>H40/G40-1</f>
        <v/>
      </c>
      <c r="I41" s="224">
        <f>I40/H40-1</f>
        <v/>
      </c>
      <c r="J41" s="224">
        <f>J40/I40-1</f>
        <v/>
      </c>
      <c r="K41" s="224">
        <f>K40/J40-1</f>
        <v/>
      </c>
      <c r="L41" s="224">
        <f>L40/K40-1</f>
        <v/>
      </c>
      <c r="M41" s="224">
        <f>M40/L40-1</f>
        <v/>
      </c>
      <c r="N41" s="224">
        <f>N40/M40-1</f>
        <v/>
      </c>
      <c r="O41" s="224">
        <f>O40/N40-1</f>
        <v/>
      </c>
      <c r="P41" s="224">
        <f>P40/O40-1</f>
        <v/>
      </c>
      <c r="Q41" s="224">
        <f>Q40/P40-1</f>
        <v/>
      </c>
      <c r="R41" s="224">
        <f>R40/Q40-1</f>
        <v/>
      </c>
      <c r="S41" s="224">
        <f>S40/R40-1</f>
        <v/>
      </c>
      <c r="T41" s="224">
        <f>T40/S40-1</f>
        <v/>
      </c>
      <c r="U41" s="224">
        <f>U40/T40-1</f>
        <v/>
      </c>
      <c r="V41" s="224">
        <f>V40/U40-1</f>
        <v/>
      </c>
    </row>
    <row r="43">
      <c r="B43" t="inlineStr">
        <is>
          <t xml:space="preserve">[참고] </t>
        </is>
      </c>
    </row>
    <row r="44">
      <c r="B44" t="inlineStr">
        <is>
          <t>추정 산출 흐름</t>
        </is>
      </c>
    </row>
    <row r="45">
      <c r="B45" t="inlineStr">
        <is>
          <t>① 추세 유의성 판단 → ② 유의하면 선형회귀 연장 / 아니면 최근 5개년 평균 → ③ 인구 곱</t>
        </is>
      </c>
    </row>
    <row r="46" ht="16.5" customHeight="1" s="217">
      <c r="B46" s="211" t="inlineStr">
        <is>
          <t>전신마취 환자수 비율 예측방식 : 선형회귀 및 평균1 요약</t>
        </is>
      </c>
    </row>
    <row r="47" ht="16.5" customHeight="1" s="217">
      <c r="B47" s="212" t="inlineStr">
        <is>
          <t xml:space="preserve"> *2010~2024년 데이터에서 2013년 즈음 수치가 한 번 꺾이는 구간 확인</t>
        </is>
      </c>
    </row>
    <row r="48" ht="16.5" customHeight="1" s="217">
      <c r="B48" s="212" t="inlineStr">
        <is>
          <t xml:space="preserve"> *연령대별로 최근 추세 뚜렷 여부 확인 후, 추세 뚜렷한 연령대는 추세 연장, 추세 뚜렷하지 않은 연령대는 최근 5년(2021~2025) 평균값 적용</t>
        </is>
      </c>
    </row>
    <row r="49" ht="16.5" customHeight="1" s="217">
      <c r="B49" s="212" t="inlineStr">
        <is>
          <t xml:space="preserve"> *추세 있음 (30대, 40대, 50대): 최근추세선 연장 예측</t>
        </is>
      </c>
    </row>
    <row r="50" ht="16.5" customHeight="1" s="217">
      <c r="B50" s="212" t="inlineStr">
        <is>
          <t xml:space="preserve"> *추세 없음 (0-9세, 10대, 20대, 60대, 70대, 80세 이상): 최근 5년 평균값 사용</t>
        </is>
      </c>
    </row>
    <row r="51" ht="16.5" customHeight="1" s="217">
      <c r="B51" s="212" t="inlineStr">
        <is>
          <t xml:space="preserve"> *방법 적합성은 2021~2025년 실제 데이터(walk-forward 백테스트, MAPE 기준)로 사전 검증 후 채택</t>
        </is>
      </c>
    </row>
    <row r="52" ht="16.5" customHeight="1" s="217">
      <c r="A52" s="123" t="inlineStr">
        <is>
          <t>연령대</t>
        </is>
      </c>
      <c r="B52" s="123" t="inlineStr">
        <is>
          <t>기울기(slope)</t>
        </is>
      </c>
      <c r="C52" s="123" t="inlineStr">
        <is>
          <t>절편(intercept)</t>
        </is>
      </c>
      <c r="D52" s="123" t="inlineStr">
        <is>
          <t>R²</t>
        </is>
      </c>
      <c r="E52" s="123" t="inlineStr">
        <is>
          <t>적합구간</t>
        </is>
      </c>
      <c r="F52" s="123" t="inlineStr">
        <is>
          <t>적용방법</t>
        </is>
      </c>
      <c r="G52" s="190" t="inlineStr">
        <is>
          <t>적용값(%, 평균법만 해당)</t>
        </is>
      </c>
    </row>
    <row r="53" ht="16.5" customHeight="1" s="217">
      <c r="A53" s="124" t="inlineStr">
        <is>
          <t xml:space="preserve">  0-9세</t>
        </is>
      </c>
      <c r="B53" s="225">
        <f>SLOPE(E19:Q19,$E$5:$Q$5)</f>
        <v/>
      </c>
      <c r="C53" s="226">
        <f>INTERCEPT(E19:Q19,$E$5:$Q$5)</f>
        <v/>
      </c>
      <c r="D53" s="226">
        <f>RSQ(E19:Q19,$E$5:$Q$5)</f>
        <v/>
      </c>
      <c r="E53" s="127" t="inlineStr">
        <is>
          <t xml:space="preserve">2013-2025 (12개년, 단절이후); 참고용 </t>
        </is>
      </c>
      <c r="F53" s="128" t="inlineStr">
        <is>
          <t>평균(최근5개년 2021-2025)</t>
        </is>
      </c>
      <c r="G53" s="227">
        <f>AVERAGE(M19:Q19)</f>
        <v/>
      </c>
    </row>
    <row r="54" ht="16.5" customHeight="1" s="217">
      <c r="A54" s="124" t="inlineStr">
        <is>
          <t xml:space="preserve">  10-19세</t>
        </is>
      </c>
      <c r="B54" s="225">
        <f>SLOPE(E20:Q20,$E$5:$Q$5)</f>
        <v/>
      </c>
      <c r="C54" s="226">
        <f>INTERCEPT(E20:Q20,$E$5:$Q$5)</f>
        <v/>
      </c>
      <c r="D54" s="226">
        <f>RSQ(E20:Q20,$E$5:$Q$5)</f>
        <v/>
      </c>
      <c r="E54" s="127" t="inlineStr">
        <is>
          <t xml:space="preserve">2013-2025 (12개년, 단절이후); 참고용 </t>
        </is>
      </c>
      <c r="F54" s="128" t="inlineStr">
        <is>
          <t>평균(최근5개년 2021-2025)</t>
        </is>
      </c>
      <c r="G54" s="227">
        <f>AVERAGE(M20:Q20)</f>
        <v/>
      </c>
    </row>
    <row r="55" ht="16.5" customHeight="1" s="217">
      <c r="A55" s="124" t="inlineStr">
        <is>
          <t xml:space="preserve">  20-29세</t>
        </is>
      </c>
      <c r="B55" s="225">
        <f>SLOPE(E21:Q21,$E$5:$Q$5)</f>
        <v/>
      </c>
      <c r="C55" s="226">
        <f>INTERCEPT(E21:Q21,$E$5:$Q$5)</f>
        <v/>
      </c>
      <c r="D55" s="226">
        <f>RSQ(E21:Q21,$E$5:$Q$5)</f>
        <v/>
      </c>
      <c r="E55" s="127" t="inlineStr">
        <is>
          <t xml:space="preserve">2013-2025 (12개년, 단절이후); 참고용 </t>
        </is>
      </c>
      <c r="F55" s="128" t="inlineStr">
        <is>
          <t>평균(최근5개년 2021-2025)</t>
        </is>
      </c>
      <c r="G55" s="227">
        <f>AVERAGE(M21:Q21)</f>
        <v/>
      </c>
    </row>
    <row r="56" ht="16.5" customHeight="1" s="217">
      <c r="A56" s="124" t="inlineStr">
        <is>
          <t xml:space="preserve">  30-39세</t>
        </is>
      </c>
      <c r="B56" s="225">
        <f>SLOPE(E22:Q22,$E$5:$Q$5)</f>
        <v/>
      </c>
      <c r="C56" s="226">
        <f>INTERCEPT(E22:Q22,$E$5:$Q$5)</f>
        <v/>
      </c>
      <c r="D56" s="226">
        <f>RSQ(E22:Q22,$E$5:$Q$5)</f>
        <v/>
      </c>
      <c r="E56" s="127" t="inlineStr">
        <is>
          <t xml:space="preserve">2013-2025 (12개년, 단절이후) </t>
        </is>
      </c>
      <c r="F56" s="130" t="inlineStr">
        <is>
          <t>선형회귀(추세 유의, p&lt;0.05)</t>
        </is>
      </c>
      <c r="G56" s="227" t="inlineStr">
        <is>
          <t>-</t>
        </is>
      </c>
    </row>
    <row r="57" ht="16.5" customHeight="1" s="217">
      <c r="A57" s="124" t="inlineStr">
        <is>
          <t xml:space="preserve">  40-49세</t>
        </is>
      </c>
      <c r="B57" s="225">
        <f>SLOPE(E23:Q23,$E$5:$Q$5)</f>
        <v/>
      </c>
      <c r="C57" s="226">
        <f>INTERCEPT(E23:Q23,$E$5:$Q$5)</f>
        <v/>
      </c>
      <c r="D57" s="226">
        <f>RSQ(E23:Q23,$E$5:$Q$5)</f>
        <v/>
      </c>
      <c r="E57" s="127" t="inlineStr">
        <is>
          <t xml:space="preserve">2013-2025 (12개년, 단절이후) </t>
        </is>
      </c>
      <c r="F57" s="130" t="inlineStr">
        <is>
          <t>선형회귀(추세 유의, p&lt;0.05)</t>
        </is>
      </c>
      <c r="G57" s="227" t="inlineStr">
        <is>
          <t>-</t>
        </is>
      </c>
    </row>
    <row r="58" ht="16.5" customHeight="1" s="217">
      <c r="A58" s="124" t="inlineStr">
        <is>
          <t xml:space="preserve">  50-59세</t>
        </is>
      </c>
      <c r="B58" s="225">
        <f>SLOPE(B24:Q24,$B$5:$Q$5)</f>
        <v/>
      </c>
      <c r="C58" s="226">
        <f>INTERCEPT(B24:Q24,$B$5:$Q$5)</f>
        <v/>
      </c>
      <c r="D58" s="226">
        <f>RSQ(B24:Q24,$B$5:$Q$5)</f>
        <v/>
      </c>
      <c r="E58" s="127" t="inlineStr">
        <is>
          <t>2010-2025 (15개년, 전체)</t>
        </is>
      </c>
      <c r="F58" s="130" t="inlineStr">
        <is>
          <t>선형회귀(추세 유의, p&lt;0.05)</t>
        </is>
      </c>
      <c r="G58" s="227" t="inlineStr">
        <is>
          <t>-</t>
        </is>
      </c>
    </row>
    <row r="59" ht="16.5" customHeight="1" s="217">
      <c r="A59" s="124" t="inlineStr">
        <is>
          <t xml:space="preserve">  60-69세</t>
        </is>
      </c>
      <c r="B59" s="225">
        <f>SLOPE(B25:Q25,$B$5:$Q$5)</f>
        <v/>
      </c>
      <c r="C59" s="226">
        <f>INTERCEPT(B25:Q25,$B$5:$Q$5)</f>
        <v/>
      </c>
      <c r="D59" s="226">
        <f>RSQ(B25:Q25,$B$5:$Q$5)</f>
        <v/>
      </c>
      <c r="E59" s="127" t="inlineStr">
        <is>
          <t>2010-2025 (15개년, 전체); 참고용</t>
        </is>
      </c>
      <c r="F59" s="128" t="inlineStr">
        <is>
          <t>평균(최근5개년 2021-2025)</t>
        </is>
      </c>
      <c r="G59" s="227">
        <f>AVERAGE(M25:Q25)</f>
        <v/>
      </c>
    </row>
    <row r="60" ht="16.5" customHeight="1" s="217">
      <c r="A60" s="124" t="inlineStr">
        <is>
          <t xml:space="preserve">  70-79세</t>
        </is>
      </c>
      <c r="B60" s="225">
        <f>SLOPE(B26:Q26,$B$5:$Q$5)</f>
        <v/>
      </c>
      <c r="C60" s="226">
        <f>INTERCEPT(B26:Q26,$B$5:$Q$5)</f>
        <v/>
      </c>
      <c r="D60" s="226">
        <f>RSQ(B26:Q26,$B$5:$Q$5)</f>
        <v/>
      </c>
      <c r="E60" s="127" t="inlineStr">
        <is>
          <t>2010-2025 (15개년, 전체); 참고용</t>
        </is>
      </c>
      <c r="F60" s="128" t="inlineStr">
        <is>
          <t>평균(최근5개년 2021-2025)</t>
        </is>
      </c>
      <c r="G60" s="227">
        <f>AVERAGE(M26:Q26)</f>
        <v/>
      </c>
    </row>
    <row r="61" ht="16.5" customHeight="1" s="217">
      <c r="A61" s="124" t="inlineStr">
        <is>
          <t xml:space="preserve">  80세 이상</t>
        </is>
      </c>
      <c r="B61" s="225">
        <f>SLOPE(B27:Q27,$B$5:$Q$5)</f>
        <v/>
      </c>
      <c r="C61" s="226">
        <f>INTERCEPT(B27:Q27,$B$5:$Q$5)</f>
        <v/>
      </c>
      <c r="D61" s="226">
        <f>RSQ(B27:Q27,$B$5:$Q$5)</f>
        <v/>
      </c>
      <c r="E61" s="127" t="inlineStr">
        <is>
          <t>2010-2025 (15개년, 전체); 참고용</t>
        </is>
      </c>
      <c r="F61" s="128" t="inlineStr">
        <is>
          <t>평균(최근5개년 2021-2025)</t>
        </is>
      </c>
      <c r="G61" s="227">
        <f>AVERAGE(M27:Q27)</f>
        <v/>
      </c>
    </row>
    <row r="62" ht="42.75" customHeight="1" s="217"/>
    <row r="63" ht="16.5" customFormat="1" customHeight="1" s="54">
      <c r="A63" s="53" t="inlineStr">
        <is>
          <t>※ 출처 : 국민건강영양조사, 통계청</t>
        </is>
      </c>
    </row>
    <row r="64" ht="16.5" customFormat="1" customHeight="1" s="54">
      <c r="A64" s="55" t="inlineStr">
        <is>
          <t>※ 범례</t>
        </is>
      </c>
    </row>
    <row r="65" ht="16.5" customFormat="1" customHeight="1" s="54">
      <c r="A65" s="56" t="inlineStr">
        <is>
          <t>· 외부 입력 데이터: 청색(Blue) 표기</t>
        </is>
      </c>
    </row>
    <row r="66" ht="16.5" customFormat="1" customHeight="1" s="54">
      <c r="A66" s="56" t="inlineStr">
        <is>
          <t>· 예측 변수(또는 예측치): 녹색(Green) 표기</t>
        </is>
      </c>
    </row>
    <row r="67" ht="16.5" customFormat="1" customHeight="1" s="54">
      <c r="A67" s="56" t="inlineStr">
        <is>
          <t>· 최종 산출 결과: 황색(Yellow) 음영 행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tabColor rgb="009AA0A8"/>
    <outlinePr summaryBelow="1" summaryRight="1"/>
    <pageSetUpPr/>
  </sheetPr>
  <dimension ref="A2:BF106"/>
  <sheetViews>
    <sheetView showGridLines="0" tabSelected="0" zoomScale="90" zoomScaleNormal="122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:XFD1"/>
    </sheetView>
  </sheetViews>
  <sheetFormatPr baseColWidth="8" defaultColWidth="8.5" defaultRowHeight="17.6"/>
  <cols>
    <col width="39.42578125" customWidth="1" style="217" min="1" max="1"/>
    <col width="9.92578125" customWidth="1" style="217" min="2" max="2"/>
    <col width="12.0703125" bestFit="1" customWidth="1" style="217" min="3" max="3"/>
    <col width="12.2109375" bestFit="1" customWidth="1" style="217" min="4" max="4"/>
    <col width="13.5703125" bestFit="1" customWidth="1" style="217" min="5" max="5"/>
    <col width="9.92578125" customWidth="1" style="217" min="6" max="15"/>
    <col width="11.92578125" customWidth="1" style="217" min="16" max="17"/>
    <col width="13.92578125" customWidth="1" style="217" min="18" max="18"/>
    <col width="11.92578125" customWidth="1" style="217" min="19" max="22"/>
    <col width="13" bestFit="1" customWidth="1" style="217" min="23" max="25"/>
    <col width="11.7109375" bestFit="1" customWidth="1" style="217" min="26" max="31"/>
    <col width="11.5703125" bestFit="1" customWidth="1" style="217" min="32" max="42"/>
    <col width="10.5" bestFit="1" customWidth="1" style="217" min="43" max="46"/>
  </cols>
  <sheetData>
    <row r="2" ht="20.25" customHeight="1" s="217">
      <c r="A2" s="191" t="inlineStr">
        <is>
          <t>Ramosetron 시장 수량  :   NHIS&amp;IQVIA 데이터 기반 예측 (회복모형, 2026년 상한 도달 가정)</t>
        </is>
      </c>
    </row>
    <row r="3" ht="6" customHeight="1" s="217">
      <c r="A3" s="36" t="inlineStr">
        <is>
          <t xml:space="preserve"> </t>
        </is>
      </c>
    </row>
    <row r="4" ht="16.5" customHeight="1" s="217">
      <c r="B4" s="37" t="inlineStr">
        <is>
          <t>◀ 실측 (NHIS, 2010~2024)</t>
        </is>
      </c>
      <c r="C4" s="37" t="n"/>
      <c r="N4" s="37" t="n"/>
      <c r="P4" s="37" t="n"/>
      <c r="Q4" s="37" t="n"/>
      <c r="R4" s="110" t="inlineStr">
        <is>
          <t>예측 (2026~2030) ▶</t>
        </is>
      </c>
    </row>
    <row r="5" ht="16.5" customHeight="1" s="217">
      <c r="A5" s="154" t="inlineStr">
        <is>
          <t>구분  /  CY연도 ▶</t>
        </is>
      </c>
      <c r="B5" s="39" t="n">
        <v>2010</v>
      </c>
      <c r="C5" s="39" t="n">
        <v>2011</v>
      </c>
      <c r="D5" s="39" t="n">
        <v>2012</v>
      </c>
      <c r="E5" s="39" t="n">
        <v>2013</v>
      </c>
      <c r="F5" s="39" t="n">
        <v>2014</v>
      </c>
      <c r="G5" s="39" t="n">
        <v>2015</v>
      </c>
      <c r="H5" s="39" t="n">
        <v>2016</v>
      </c>
      <c r="I5" s="39" t="n">
        <v>2017</v>
      </c>
      <c r="J5" s="39" t="n">
        <v>2018</v>
      </c>
      <c r="K5" s="39" t="n">
        <v>2019</v>
      </c>
      <c r="L5" s="39" t="n">
        <v>2020</v>
      </c>
      <c r="M5" s="39" t="n">
        <v>2021</v>
      </c>
      <c r="N5" s="39" t="n">
        <v>2022</v>
      </c>
      <c r="O5" s="39" t="n">
        <v>2023</v>
      </c>
      <c r="P5" s="39" t="n">
        <v>2024</v>
      </c>
      <c r="Q5" s="39" t="n">
        <v>2025</v>
      </c>
      <c r="R5" s="40" t="n">
        <v>2026</v>
      </c>
      <c r="S5" s="40" t="n">
        <v>2027</v>
      </c>
      <c r="T5" s="40" t="n">
        <v>2028</v>
      </c>
      <c r="U5" s="40" t="n">
        <v>2029</v>
      </c>
      <c r="V5" s="40" t="n">
        <v>2030</v>
      </c>
    </row>
    <row r="6" ht="16.5" customHeight="1" s="217">
      <c r="A6" s="41" t="inlineStr">
        <is>
          <t>■ A. 전신마취 환자수 (명)          [근거_전신마취환자수 참조]</t>
        </is>
      </c>
      <c r="B6" s="42" t="n"/>
      <c r="C6" s="42" t="n"/>
      <c r="D6" s="42" t="n"/>
      <c r="E6" s="42" t="n"/>
      <c r="F6" s="42" t="n"/>
      <c r="G6" s="42" t="n"/>
      <c r="H6" s="42" t="n"/>
      <c r="I6" s="42" t="n"/>
      <c r="J6" s="42" t="n"/>
      <c r="K6" s="42" t="n"/>
      <c r="L6" s="42" t="n"/>
      <c r="M6" s="42" t="n"/>
      <c r="N6" s="42" t="n"/>
      <c r="O6" s="42" t="n"/>
      <c r="P6" s="42" t="n"/>
      <c r="Q6" s="42" t="n"/>
      <c r="R6" s="42" t="n"/>
      <c r="S6" s="42" t="n"/>
      <c r="T6" s="42" t="n"/>
      <c r="U6" s="42" t="n"/>
      <c r="V6" s="42" t="n"/>
    </row>
    <row r="7" ht="16.5" customHeight="1" s="217">
      <c r="A7" s="58" t="inlineStr">
        <is>
          <t xml:space="preserve">  전신마취환자수 (전체)</t>
        </is>
      </c>
      <c r="B7" s="45">
        <f>근거_전신마취환자수!B40</f>
        <v/>
      </c>
      <c r="C7" s="45">
        <f>근거_전신마취환자수!C40</f>
        <v/>
      </c>
      <c r="D7" s="45">
        <f>근거_전신마취환자수!D40</f>
        <v/>
      </c>
      <c r="E7" s="45">
        <f>근거_전신마취환자수!E40</f>
        <v/>
      </c>
      <c r="F7" s="45">
        <f>근거_전신마취환자수!F40</f>
        <v/>
      </c>
      <c r="G7" s="45">
        <f>근거_전신마취환자수!G40</f>
        <v/>
      </c>
      <c r="H7" s="45">
        <f>근거_전신마취환자수!H40</f>
        <v/>
      </c>
      <c r="I7" s="45">
        <f>근거_전신마취환자수!I40</f>
        <v/>
      </c>
      <c r="J7" s="45">
        <f>근거_전신마취환자수!J40</f>
        <v/>
      </c>
      <c r="K7" s="45">
        <f>근거_전신마취환자수!K40</f>
        <v/>
      </c>
      <c r="L7" s="45">
        <f>근거_전신마취환자수!L40</f>
        <v/>
      </c>
      <c r="M7" s="45">
        <f>근거_전신마취환자수!M40</f>
        <v/>
      </c>
      <c r="N7" s="45">
        <f>근거_전신마취환자수!N40</f>
        <v/>
      </c>
      <c r="O7" s="45">
        <f>근거_전신마취환자수!O40</f>
        <v/>
      </c>
      <c r="P7" s="45">
        <f>근거_전신마취환자수!P40</f>
        <v/>
      </c>
      <c r="Q7" s="45">
        <f>근거_전신마취환자수!Q40</f>
        <v/>
      </c>
      <c r="R7" s="45">
        <f>근거_전신마취환자수!R40</f>
        <v/>
      </c>
      <c r="S7" s="45">
        <f>근거_전신마취환자수!S40</f>
        <v/>
      </c>
      <c r="T7" s="45">
        <f>근거_전신마취환자수!T40</f>
        <v/>
      </c>
      <c r="U7" s="45">
        <f>근거_전신마취환자수!U40</f>
        <v/>
      </c>
      <c r="V7" s="45">
        <f>근거_전신마취환자수!V40</f>
        <v/>
      </c>
    </row>
    <row r="9" ht="16.5" customHeight="1" s="217">
      <c r="A9" s="41" t="inlineStr">
        <is>
          <t>■ B. 종별 전신마취환자수 비율    [CY2014~24 : NHIS L1211+1212  | 2025 : 회복모형  |  2026~30 : 상한선(추세) 도달 가정]</t>
        </is>
      </c>
      <c r="B9" s="42" t="n"/>
      <c r="C9" s="42" t="n"/>
      <c r="D9" s="42" t="n"/>
      <c r="E9" s="42" t="n"/>
      <c r="F9" s="42" t="n"/>
      <c r="G9" s="42" t="n"/>
      <c r="H9" s="42" t="n"/>
      <c r="I9" s="42" t="n"/>
      <c r="J9" s="42" t="n"/>
      <c r="K9" s="42" t="n"/>
      <c r="L9" s="42" t="n"/>
      <c r="M9" s="42" t="n"/>
      <c r="N9" s="42" t="n"/>
      <c r="O9" s="42" t="n"/>
      <c r="P9" s="42" t="n"/>
      <c r="Q9" s="42" t="n"/>
      <c r="R9" s="42" t="n"/>
      <c r="S9" s="42" t="n"/>
      <c r="T9" s="42" t="n"/>
      <c r="U9" s="42" t="n"/>
      <c r="V9" s="42" t="n"/>
    </row>
    <row r="10" ht="16.5" customHeight="1" s="217">
      <c r="A10" s="58" t="inlineStr">
        <is>
          <t xml:space="preserve">  상급종합병원</t>
        </is>
      </c>
      <c r="B10" s="228" t="n">
        <v>0.4061157495058873</v>
      </c>
      <c r="C10" s="228" t="n">
        <v>0.3989258754044036</v>
      </c>
      <c r="D10" s="228" t="n">
        <v>0.4105926494459274</v>
      </c>
      <c r="E10" s="228" t="n">
        <v>0.4152384066632088</v>
      </c>
      <c r="F10" s="228" t="n">
        <v>0.4128545712855782</v>
      </c>
      <c r="G10" s="228" t="n">
        <v>0.4265829716547103</v>
      </c>
      <c r="H10" s="228" t="n">
        <v>0.4333521457303468</v>
      </c>
      <c r="I10" s="228" t="n">
        <v>0.4296714263417034</v>
      </c>
      <c r="J10" s="228" t="n">
        <v>0.4172382948858502</v>
      </c>
      <c r="K10" s="228" t="n">
        <v>0.4107516153143713</v>
      </c>
      <c r="L10" s="228" t="n">
        <v>0.3936914447731755</v>
      </c>
      <c r="M10" s="228" t="n">
        <v>0.413854859115538</v>
      </c>
      <c r="N10" s="228" t="n">
        <v>0.4092366250524574</v>
      </c>
      <c r="O10" s="228" t="n">
        <v>0.4035291877689349</v>
      </c>
      <c r="P10" s="228" t="n">
        <v>0.3234947072376184</v>
      </c>
      <c r="Q10" s="228" t="n">
        <v>0.334768808248165</v>
      </c>
      <c r="R10" s="222">
        <f>(Z81+AA81+AB81+AC81)/R7</f>
        <v/>
      </c>
      <c r="S10" s="222">
        <f>(AD81+AE81+AF81+AG81)/S7</f>
        <v/>
      </c>
      <c r="T10" s="222">
        <f>(AH81+AI81+AJ81+AK81)/T7</f>
        <v/>
      </c>
      <c r="U10" s="222">
        <f>(AL81+AM81+AN81+AO81)/U7</f>
        <v/>
      </c>
      <c r="V10" s="222">
        <f>(AP81+AQ81+AR81+AS81)/V7</f>
        <v/>
      </c>
    </row>
    <row r="11" ht="16.5" customHeight="1" s="217">
      <c r="A11" s="58" t="inlineStr">
        <is>
          <t xml:space="preserve">  종합병원</t>
        </is>
      </c>
      <c r="B11" s="228" t="n">
        <v>0.3419477351158884</v>
      </c>
      <c r="C11" s="228" t="n">
        <v>0.3478942444347634</v>
      </c>
      <c r="D11" s="228" t="n">
        <v>0.3502563202523124</v>
      </c>
      <c r="E11" s="228" t="n">
        <v>0.3476478812890422</v>
      </c>
      <c r="F11" s="228" t="n">
        <v>0.3337228168741221</v>
      </c>
      <c r="G11" s="228" t="n">
        <v>0.3240480998640143</v>
      </c>
      <c r="H11" s="228" t="n">
        <v>0.3237513150059789</v>
      </c>
      <c r="I11" s="228" t="n">
        <v>0.3257660964200748</v>
      </c>
      <c r="J11" s="228" t="n">
        <v>0.3327633105966432</v>
      </c>
      <c r="K11" s="228" t="n">
        <v>0.3443774285817859</v>
      </c>
      <c r="L11" s="228" t="n">
        <v>0.3549867822704361</v>
      </c>
      <c r="M11" s="228" t="n">
        <v>0.3392454312878659</v>
      </c>
      <c r="N11" s="228" t="n">
        <v>0.3496712141633751</v>
      </c>
      <c r="O11" s="228" t="n">
        <v>0.3583519287155859</v>
      </c>
      <c r="P11" s="228" t="n">
        <v>0.3954118850149096</v>
      </c>
      <c r="Q11" s="228" t="n">
        <v>0.3869974337040205</v>
      </c>
      <c r="R11" s="222">
        <f>(Z82+AA82+AB82+AC82)/R7</f>
        <v/>
      </c>
      <c r="S11" s="222">
        <f>(AD82+AE82+AF82+AG82)/S7</f>
        <v/>
      </c>
      <c r="T11" s="222">
        <f>(AH82+AI82+AJ82+AK82)/T7</f>
        <v/>
      </c>
      <c r="U11" s="222">
        <f>(AL82+AM82+AN82+AO82)/U7</f>
        <v/>
      </c>
      <c r="V11" s="222">
        <f>(AP82+AQ82+AR82+AS82)/V7</f>
        <v/>
      </c>
    </row>
    <row r="12" ht="16.5" customHeight="1" s="217">
      <c r="A12" s="58" t="inlineStr">
        <is>
          <t xml:space="preserve">  병원급</t>
        </is>
      </c>
      <c r="B12" s="228" t="n">
        <v>0.1937214839544518</v>
      </c>
      <c r="C12" s="228" t="n">
        <v>0.199628984223795</v>
      </c>
      <c r="D12" s="228" t="n">
        <v>0.2001480903246199</v>
      </c>
      <c r="E12" s="228" t="n">
        <v>0.2071785099489585</v>
      </c>
      <c r="F12" s="228" t="n">
        <v>0.2217049288839379</v>
      </c>
      <c r="G12" s="228" t="n">
        <v>0.220345745763678</v>
      </c>
      <c r="H12" s="228" t="n">
        <v>0.2165575644777908</v>
      </c>
      <c r="I12" s="228" t="n">
        <v>0.2169844250315709</v>
      </c>
      <c r="J12" s="228" t="n">
        <v>0.2175548042916841</v>
      </c>
      <c r="K12" s="228" t="n">
        <v>0.2100573279083858</v>
      </c>
      <c r="L12" s="228" t="n">
        <v>0.210808233344291</v>
      </c>
      <c r="M12" s="228" t="n">
        <v>0.2025205639059538</v>
      </c>
      <c r="N12" s="228" t="n">
        <v>0.1925981339846908</v>
      </c>
      <c r="O12" s="228" t="n">
        <v>0.1861787441453105</v>
      </c>
      <c r="P12" s="228" t="n">
        <v>0.2141563653850989</v>
      </c>
      <c r="Q12" s="228" t="n">
        <v>0.2041090750829169</v>
      </c>
      <c r="R12" s="222">
        <f>(Z83+AA83+AB83+AC83)/R7</f>
        <v/>
      </c>
      <c r="S12" s="222">
        <f>(AD83+AE83+AF83+AG83)/S7</f>
        <v/>
      </c>
      <c r="T12" s="222">
        <f>(AH83+AI83+AJ83+AK83)/T7</f>
        <v/>
      </c>
      <c r="U12" s="222">
        <f>(AL83+AM83+AN83+AO83)/U7</f>
        <v/>
      </c>
      <c r="V12" s="222">
        <f>(AP83+AQ83+AR83+AS83)/V7</f>
        <v/>
      </c>
    </row>
    <row r="13" ht="16.5" customHeight="1" s="217">
      <c r="A13" s="58" t="inlineStr">
        <is>
          <t xml:space="preserve">  의원급</t>
        </is>
      </c>
      <c r="B13" s="228" t="n">
        <v>0.05819990793576676</v>
      </c>
      <c r="C13" s="228" t="n">
        <v>0.05353393419558495</v>
      </c>
      <c r="D13" s="228" t="n">
        <v>0.03898984236588264</v>
      </c>
      <c r="E13" s="228" t="n">
        <v>0.02992674529613843</v>
      </c>
      <c r="F13" s="228" t="n">
        <v>0.03171263783277635</v>
      </c>
      <c r="G13" s="228" t="n">
        <v>0.02901911128844447</v>
      </c>
      <c r="H13" s="228" t="n">
        <v>0.02633606064521017</v>
      </c>
      <c r="I13" s="228" t="n">
        <v>0.02757616031859395</v>
      </c>
      <c r="J13" s="228" t="n">
        <v>0.03244267280725495</v>
      </c>
      <c r="K13" s="228" t="n">
        <v>0.03481362819545692</v>
      </c>
      <c r="L13" s="228" t="n">
        <v>0.0405126835415297</v>
      </c>
      <c r="M13" s="228" t="n">
        <v>0.04437834546081634</v>
      </c>
      <c r="N13" s="228" t="n">
        <v>0.04849402679947674</v>
      </c>
      <c r="O13" s="228" t="n">
        <v>0.05194013937016869</v>
      </c>
      <c r="P13" s="228" t="n">
        <v>0.06693704236237318</v>
      </c>
      <c r="Q13" s="228" t="n">
        <v>0.07412468296489727</v>
      </c>
      <c r="R13" s="222">
        <f>(Z84+AA84+AB84+AC84)/R7</f>
        <v/>
      </c>
      <c r="S13" s="222">
        <f>(AD84+AE84+AF84+AG84)/S7</f>
        <v/>
      </c>
      <c r="T13" s="222">
        <f>(AH84+AI84+AJ84+AK84)/T7</f>
        <v/>
      </c>
      <c r="U13" s="222">
        <f>(AL84+AM84+AN84+AO84)/U7</f>
        <v/>
      </c>
      <c r="V13" s="222">
        <f>(AP84+AQ84+AR84+AS84)/V7</f>
        <v/>
      </c>
    </row>
    <row r="14" ht="16.5" customHeight="1" s="217">
      <c r="A14" s="58" t="inlineStr">
        <is>
          <t xml:space="preserve">  보건기관등</t>
        </is>
      </c>
      <c r="B14" s="228" t="n">
        <v>1.512348800565619e-05</v>
      </c>
      <c r="C14" s="228" t="n">
        <v>1.696174145306776e-05</v>
      </c>
      <c r="D14" s="228" t="n">
        <v>1.309761125765883e-05</v>
      </c>
      <c r="E14" s="228" t="n">
        <v>8.456802652053312e-06</v>
      </c>
      <c r="F14" s="228" t="n">
        <v>5.045123585347347e-06</v>
      </c>
      <c r="G14" s="228" t="n">
        <v>4.071429153061307e-06</v>
      </c>
      <c r="H14" s="228" t="n">
        <v>2.914140673341344e-06</v>
      </c>
      <c r="I14" s="228" t="n">
        <v>1.891888056983668e-06</v>
      </c>
      <c r="J14" s="228" t="n">
        <v>9.174185676343903e-07</v>
      </c>
      <c r="K14" s="228" t="n">
        <v>0</v>
      </c>
      <c r="L14" s="228" t="n">
        <v>8.560705676090292e-07</v>
      </c>
      <c r="M14" s="228" t="n">
        <v>8.002298260060289e-07</v>
      </c>
      <c r="N14" s="228" t="n">
        <v>0</v>
      </c>
      <c r="O14" s="228" t="n">
        <v>0</v>
      </c>
      <c r="P14" s="228" t="n">
        <v>0</v>
      </c>
      <c r="Q14" s="228" t="n">
        <v>0</v>
      </c>
      <c r="R14" s="222" t="n">
        <v>0</v>
      </c>
      <c r="S14" s="222" t="n">
        <v>0</v>
      </c>
      <c r="T14" s="222" t="n">
        <v>0</v>
      </c>
      <c r="U14" s="222" t="n">
        <v>0</v>
      </c>
      <c r="V14" s="222" t="n">
        <v>0</v>
      </c>
    </row>
    <row r="16" ht="16.5" customHeight="1" s="217">
      <c r="A16" s="41" t="inlineStr">
        <is>
          <t xml:space="preserve">■ C. 종별 전신마취환자수            [전신마취환자수(A) x 종별 비율(B)] </t>
        </is>
      </c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2" t="n"/>
      <c r="U16" s="42" t="n"/>
      <c r="V16" s="42" t="n"/>
    </row>
    <row r="17" ht="16.5" customHeight="1" s="217">
      <c r="A17" s="58" t="inlineStr">
        <is>
          <t xml:space="preserve">  상급종합병원</t>
        </is>
      </c>
      <c r="B17" s="229">
        <f>B$7*B10</f>
        <v/>
      </c>
      <c r="C17" s="229">
        <f>C$7*C10</f>
        <v/>
      </c>
      <c r="D17" s="229">
        <f>D$7*D10</f>
        <v/>
      </c>
      <c r="E17" s="229">
        <f>E$7*E10</f>
        <v/>
      </c>
      <c r="F17" s="229">
        <f>F$7*F10</f>
        <v/>
      </c>
      <c r="G17" s="229">
        <f>G$7*G10</f>
        <v/>
      </c>
      <c r="H17" s="229">
        <f>H$7*H10</f>
        <v/>
      </c>
      <c r="I17" s="229">
        <f>I$7*I10</f>
        <v/>
      </c>
      <c r="J17" s="229">
        <f>J$7*J10</f>
        <v/>
      </c>
      <c r="K17" s="229">
        <f>K$7*K10</f>
        <v/>
      </c>
      <c r="L17" s="229">
        <f>L$7*L10</f>
        <v/>
      </c>
      <c r="M17" s="229">
        <f>M$7*M10</f>
        <v/>
      </c>
      <c r="N17" s="229">
        <f>N$7*N10</f>
        <v/>
      </c>
      <c r="O17" s="229">
        <f>O$7*O10</f>
        <v/>
      </c>
      <c r="P17" s="229">
        <f>P$7*P10</f>
        <v/>
      </c>
      <c r="Q17" s="229">
        <f>Q$7*Q10</f>
        <v/>
      </c>
      <c r="R17" s="230">
        <f>R$7*R10</f>
        <v/>
      </c>
      <c r="S17" s="230">
        <f>S$7*S10</f>
        <v/>
      </c>
      <c r="T17" s="230">
        <f>T$7*T10</f>
        <v/>
      </c>
      <c r="U17" s="230">
        <f>U$7*U10</f>
        <v/>
      </c>
      <c r="V17" s="230">
        <f>V$7*V10</f>
        <v/>
      </c>
    </row>
    <row r="18" ht="16.5" customHeight="1" s="217">
      <c r="A18" s="58" t="inlineStr">
        <is>
          <t xml:space="preserve">  종합병원</t>
        </is>
      </c>
      <c r="B18" s="229">
        <f>B$7*B11</f>
        <v/>
      </c>
      <c r="C18" s="229">
        <f>C$7*C11</f>
        <v/>
      </c>
      <c r="D18" s="229">
        <f>D$7*D11</f>
        <v/>
      </c>
      <c r="E18" s="229">
        <f>E$7*E11</f>
        <v/>
      </c>
      <c r="F18" s="229">
        <f>F$7*F11</f>
        <v/>
      </c>
      <c r="G18" s="229">
        <f>G$7*G11</f>
        <v/>
      </c>
      <c r="H18" s="229">
        <f>H$7*H11</f>
        <v/>
      </c>
      <c r="I18" s="229">
        <f>I$7*I11</f>
        <v/>
      </c>
      <c r="J18" s="229">
        <f>J$7*J11</f>
        <v/>
      </c>
      <c r="K18" s="229">
        <f>K$7*K11</f>
        <v/>
      </c>
      <c r="L18" s="229">
        <f>L$7*L11</f>
        <v/>
      </c>
      <c r="M18" s="229">
        <f>M$7*M11</f>
        <v/>
      </c>
      <c r="N18" s="229">
        <f>N$7*N11</f>
        <v/>
      </c>
      <c r="O18" s="229">
        <f>O$7*O11</f>
        <v/>
      </c>
      <c r="P18" s="229">
        <f>P$7*P11</f>
        <v/>
      </c>
      <c r="Q18" s="229">
        <f>Q$7*Q11</f>
        <v/>
      </c>
      <c r="R18" s="230">
        <f>R$7*R11</f>
        <v/>
      </c>
      <c r="S18" s="230">
        <f>S$7*S11</f>
        <v/>
      </c>
      <c r="T18" s="230">
        <f>T$7*T11</f>
        <v/>
      </c>
      <c r="U18" s="230">
        <f>U$7*U11</f>
        <v/>
      </c>
      <c r="V18" s="230">
        <f>V$7*V11</f>
        <v/>
      </c>
    </row>
    <row r="19" ht="16.5" customHeight="1" s="217">
      <c r="A19" s="58" t="inlineStr">
        <is>
          <t xml:space="preserve">  병원급</t>
        </is>
      </c>
      <c r="B19" s="229">
        <f>B$7*B12</f>
        <v/>
      </c>
      <c r="C19" s="229">
        <f>C$7*C12</f>
        <v/>
      </c>
      <c r="D19" s="229">
        <f>D$7*D12</f>
        <v/>
      </c>
      <c r="E19" s="229">
        <f>E$7*E12</f>
        <v/>
      </c>
      <c r="F19" s="229">
        <f>F$7*F12</f>
        <v/>
      </c>
      <c r="G19" s="229">
        <f>G$7*G12</f>
        <v/>
      </c>
      <c r="H19" s="229">
        <f>H$7*H12</f>
        <v/>
      </c>
      <c r="I19" s="229">
        <f>I$7*I12</f>
        <v/>
      </c>
      <c r="J19" s="229">
        <f>J$7*J12</f>
        <v/>
      </c>
      <c r="K19" s="229">
        <f>K$7*K12</f>
        <v/>
      </c>
      <c r="L19" s="229">
        <f>L$7*L12</f>
        <v/>
      </c>
      <c r="M19" s="229">
        <f>M$7*M12</f>
        <v/>
      </c>
      <c r="N19" s="229">
        <f>N$7*N12</f>
        <v/>
      </c>
      <c r="O19" s="229">
        <f>O$7*O12</f>
        <v/>
      </c>
      <c r="P19" s="229">
        <f>P$7*P12</f>
        <v/>
      </c>
      <c r="Q19" s="229">
        <f>Q$7*Q12</f>
        <v/>
      </c>
      <c r="R19" s="230">
        <f>R$7*R12</f>
        <v/>
      </c>
      <c r="S19" s="230">
        <f>S$7*S12</f>
        <v/>
      </c>
      <c r="T19" s="230">
        <f>T$7*T12</f>
        <v/>
      </c>
      <c r="U19" s="230">
        <f>U$7*U12</f>
        <v/>
      </c>
      <c r="V19" s="230">
        <f>V$7*V12</f>
        <v/>
      </c>
    </row>
    <row r="20" ht="16.5" customHeight="1" s="217">
      <c r="A20" s="58" t="inlineStr">
        <is>
          <t xml:space="preserve">  의원급</t>
        </is>
      </c>
      <c r="B20" s="229">
        <f>B$7*B13</f>
        <v/>
      </c>
      <c r="C20" s="229">
        <f>C$7*C13</f>
        <v/>
      </c>
      <c r="D20" s="229">
        <f>D$7*D13</f>
        <v/>
      </c>
      <c r="E20" s="229">
        <f>E$7*E13</f>
        <v/>
      </c>
      <c r="F20" s="229">
        <f>F$7*F13</f>
        <v/>
      </c>
      <c r="G20" s="229">
        <f>G$7*G13</f>
        <v/>
      </c>
      <c r="H20" s="229">
        <f>H$7*H13</f>
        <v/>
      </c>
      <c r="I20" s="229">
        <f>I$7*I13</f>
        <v/>
      </c>
      <c r="J20" s="229">
        <f>J$7*J13</f>
        <v/>
      </c>
      <c r="K20" s="229">
        <f>K$7*K13</f>
        <v/>
      </c>
      <c r="L20" s="229">
        <f>L$7*L13</f>
        <v/>
      </c>
      <c r="M20" s="229">
        <f>M$7*M13</f>
        <v/>
      </c>
      <c r="N20" s="229">
        <f>N$7*N13</f>
        <v/>
      </c>
      <c r="O20" s="229">
        <f>O$7*O13</f>
        <v/>
      </c>
      <c r="P20" s="229">
        <f>P$7*P13</f>
        <v/>
      </c>
      <c r="Q20" s="229">
        <f>Q$7*Q13</f>
        <v/>
      </c>
      <c r="R20" s="230">
        <f>R$7*R13</f>
        <v/>
      </c>
      <c r="S20" s="230">
        <f>S$7*S13</f>
        <v/>
      </c>
      <c r="T20" s="230">
        <f>T$7*T13</f>
        <v/>
      </c>
      <c r="U20" s="230">
        <f>U$7*U13</f>
        <v/>
      </c>
      <c r="V20" s="230">
        <f>V$7*V13</f>
        <v/>
      </c>
    </row>
    <row r="21" ht="16.5" customHeight="1" s="217">
      <c r="A21" s="58" t="inlineStr">
        <is>
          <t xml:space="preserve">  보건기관등</t>
        </is>
      </c>
      <c r="B21" s="229">
        <f>B$7*B14</f>
        <v/>
      </c>
      <c r="C21" s="229">
        <f>C$7*C14</f>
        <v/>
      </c>
      <c r="D21" s="229">
        <f>D$7*D14</f>
        <v/>
      </c>
      <c r="E21" s="229">
        <f>E$7*E14</f>
        <v/>
      </c>
      <c r="F21" s="229">
        <f>F$7*F14</f>
        <v/>
      </c>
      <c r="G21" s="229">
        <f>G$7*G14</f>
        <v/>
      </c>
      <c r="H21" s="229">
        <f>H$7*H14</f>
        <v/>
      </c>
      <c r="I21" s="229">
        <f>I$7*I14</f>
        <v/>
      </c>
      <c r="J21" s="229">
        <f>J$7*J14</f>
        <v/>
      </c>
      <c r="K21" s="229">
        <f>K$7*K14</f>
        <v/>
      </c>
      <c r="L21" s="229">
        <f>L$7*L14</f>
        <v/>
      </c>
      <c r="M21" s="229">
        <f>M$7*M14</f>
        <v/>
      </c>
      <c r="N21" s="229">
        <f>N$7*N14</f>
        <v/>
      </c>
      <c r="O21" s="229">
        <f>O$7*O14</f>
        <v/>
      </c>
      <c r="P21" s="229">
        <f>P$7*P14</f>
        <v/>
      </c>
      <c r="Q21" s="229">
        <f>Q$7*Q14</f>
        <v/>
      </c>
      <c r="R21" s="230">
        <f>R$7*R14</f>
        <v/>
      </c>
      <c r="S21" s="230">
        <f>S$7*S14</f>
        <v/>
      </c>
      <c r="T21" s="230">
        <f>T$7*T14</f>
        <v/>
      </c>
      <c r="U21" s="230">
        <f>U$7*U14</f>
        <v/>
      </c>
      <c r="V21" s="230">
        <f>V$7*V14</f>
        <v/>
      </c>
    </row>
    <row r="22" ht="16.5" customHeight="1" s="217">
      <c r="B22" s="229" t="n"/>
      <c r="C22" s="229" t="n"/>
      <c r="D22" s="229" t="n"/>
      <c r="E22" s="229" t="n"/>
      <c r="F22" s="229" t="n"/>
      <c r="G22" s="229" t="n"/>
      <c r="H22" s="229" t="n"/>
      <c r="I22" s="229" t="n"/>
      <c r="J22" s="229" t="n"/>
      <c r="K22" s="229" t="n"/>
      <c r="L22" s="229" t="n"/>
      <c r="M22" s="229" t="n"/>
      <c r="N22" s="229" t="n"/>
      <c r="O22" s="229" t="n"/>
      <c r="P22" s="229" t="n"/>
      <c r="Q22" s="229" t="n"/>
      <c r="R22" s="229" t="n"/>
      <c r="S22" s="229" t="n"/>
      <c r="T22" s="229" t="n"/>
      <c r="U22" s="229" t="n"/>
      <c r="V22" s="229" t="n"/>
    </row>
    <row r="23" ht="16.5" customHeight="1" s="217">
      <c r="A23" s="41" t="inlineStr">
        <is>
          <t>■ D. Ramosetron 전체 수량 [2020~25 : IQVIA 기준, CY기준 ]</t>
        </is>
      </c>
      <c r="B23" s="42" t="n"/>
      <c r="C23" s="42" t="n"/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2" t="n"/>
      <c r="N23" s="42" t="n"/>
      <c r="O23" s="42" t="n"/>
      <c r="P23" s="42" t="n"/>
      <c r="Q23" s="42" t="n"/>
      <c r="R23" s="42" t="n"/>
      <c r="S23" s="42" t="n"/>
      <c r="T23" s="42" t="n"/>
      <c r="U23" s="42" t="n"/>
      <c r="V23" s="42" t="n"/>
    </row>
    <row r="24" ht="16.5" customHeight="1" s="217">
      <c r="A24" s="219" t="inlineStr">
        <is>
          <t>Ramosetron (Vial or Ampoule)</t>
        </is>
      </c>
      <c r="B24" s="228" t="n"/>
      <c r="C24" s="228" t="n"/>
      <c r="D24" s="228" t="n"/>
      <c r="E24" s="228" t="n"/>
      <c r="F24" s="228" t="n"/>
      <c r="G24" s="228" t="n"/>
      <c r="L24" s="231" t="n">
        <v>3086324</v>
      </c>
      <c r="M24" s="231" t="n">
        <v>3529267</v>
      </c>
      <c r="N24" s="231" t="n">
        <v>3623943</v>
      </c>
      <c r="O24" s="231" t="n">
        <v>4166540</v>
      </c>
      <c r="P24" s="231" t="n">
        <v>3554307</v>
      </c>
      <c r="Q24" s="231" t="n">
        <v>3874647</v>
      </c>
      <c r="R24" s="232" t="n"/>
      <c r="S24" s="232" t="n"/>
      <c r="T24" s="232" t="n"/>
      <c r="U24" s="232" t="n"/>
      <c r="V24" s="232" t="n"/>
    </row>
    <row r="25" ht="16.5" customHeight="1" s="217">
      <c r="B25" s="228" t="n"/>
      <c r="C25" s="228" t="n"/>
      <c r="D25" s="228" t="n"/>
      <c r="E25" s="228" t="n"/>
      <c r="F25" s="228" t="n"/>
      <c r="G25" s="228" t="n"/>
      <c r="L25" s="231" t="n"/>
      <c r="M25" s="231" t="n"/>
      <c r="N25" s="231" t="n"/>
      <c r="O25" s="231" t="n"/>
      <c r="P25" s="231" t="n"/>
      <c r="Q25" s="231" t="n"/>
      <c r="R25" s="231" t="n"/>
      <c r="S25" s="231" t="n"/>
      <c r="T25" s="231" t="n"/>
      <c r="U25" s="231" t="n"/>
      <c r="V25" s="231" t="n"/>
    </row>
    <row r="26" ht="16.5" customHeight="1" s="217">
      <c r="A26" s="41" t="inlineStr">
        <is>
          <t>■ E. 흡입마취제 사용량의 종별 비율 (%)          [2020~25 : NHIS N01AB Halogenated hydrocarbons, CY기준]</t>
        </is>
      </c>
      <c r="B26" s="42" t="n"/>
      <c r="C26" s="42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2" t="n"/>
      <c r="O26" s="42" t="n"/>
      <c r="P26" s="42" t="n"/>
      <c r="Q26" s="42" t="n"/>
      <c r="R26" s="42" t="n"/>
      <c r="S26" s="42" t="n"/>
      <c r="T26" s="42" t="n"/>
      <c r="U26" s="42" t="n"/>
      <c r="V26" s="42" t="n"/>
    </row>
    <row r="27" ht="16.5" customHeight="1" s="217">
      <c r="A27" s="64" t="inlineStr">
        <is>
          <t>상급종합병원</t>
        </is>
      </c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>
        <v>0.3728353383781309</v>
      </c>
      <c r="M27" s="228" t="n">
        <v>0.4820873352851555</v>
      </c>
      <c r="N27" s="228" t="n">
        <v>0.5275686226041678</v>
      </c>
      <c r="O27" s="228" t="n">
        <v>0.5446965632690832</v>
      </c>
      <c r="P27" s="228" t="n">
        <v>0.4179468998660679</v>
      </c>
      <c r="Q27" s="228" t="n">
        <v>0.431783141644179</v>
      </c>
      <c r="R27" s="233" t="n"/>
      <c r="S27" s="233" t="n"/>
      <c r="T27" s="233" t="n"/>
      <c r="U27" s="233" t="n"/>
      <c r="V27" s="233" t="n"/>
    </row>
    <row r="28" ht="16.5" customHeight="1" s="217">
      <c r="A28" s="64" t="inlineStr">
        <is>
          <t>종합병원</t>
        </is>
      </c>
      <c r="B28" s="228" t="n"/>
      <c r="C28" s="228" t="n"/>
      <c r="D28" s="228" t="n"/>
      <c r="E28" s="228" t="n"/>
      <c r="F28" s="228" t="n"/>
      <c r="G28" s="228" t="n"/>
      <c r="H28" s="228" t="n"/>
      <c r="I28" s="228" t="n"/>
      <c r="J28" s="228" t="n"/>
      <c r="K28" s="228" t="n"/>
      <c r="L28" s="228" t="n">
        <v>0.3223024875906562</v>
      </c>
      <c r="M28" s="228" t="n">
        <v>0.3169283159086241</v>
      </c>
      <c r="N28" s="228" t="n">
        <v>0.3217979194522069</v>
      </c>
      <c r="O28" s="228" t="n">
        <v>0.327746102799098</v>
      </c>
      <c r="P28" s="228" t="n">
        <v>0.4286376486582057</v>
      </c>
      <c r="Q28" s="228" t="n">
        <v>0.4289048361299427</v>
      </c>
      <c r="R28" s="233" t="n"/>
      <c r="S28" s="233" t="n"/>
      <c r="T28" s="233" t="n"/>
      <c r="U28" s="233" t="n"/>
      <c r="V28" s="233" t="n"/>
    </row>
    <row r="29" ht="16.5" customHeight="1" s="217">
      <c r="A29" s="64" t="inlineStr">
        <is>
          <t>병원</t>
        </is>
      </c>
      <c r="B29" s="228" t="n"/>
      <c r="C29" s="228" t="n"/>
      <c r="D29" s="228" t="n"/>
      <c r="E29" s="228" t="n"/>
      <c r="F29" s="228" t="n"/>
      <c r="G29" s="228" t="n"/>
      <c r="H29" s="228" t="n"/>
      <c r="I29" s="228" t="n"/>
      <c r="J29" s="228" t="n"/>
      <c r="K29" s="228" t="n"/>
      <c r="L29" s="228" t="n">
        <v>0.2783183372194487</v>
      </c>
      <c r="M29" s="228" t="n">
        <v>0.1781356118389317</v>
      </c>
      <c r="N29" s="228" t="n">
        <v>0.1331922973825418</v>
      </c>
      <c r="O29" s="228" t="n">
        <v>0.1104666802965577</v>
      </c>
      <c r="P29" s="228" t="n">
        <v>0.1323912282726791</v>
      </c>
      <c r="Q29" s="228" t="n">
        <v>0.1184379468200406</v>
      </c>
      <c r="R29" s="233" t="n"/>
      <c r="S29" s="233" t="n"/>
      <c r="T29" s="233" t="n"/>
      <c r="U29" s="233" t="n"/>
      <c r="V29" s="233" t="n"/>
    </row>
    <row r="30" ht="16.5" customHeight="1" s="217">
      <c r="A30" s="64" t="inlineStr">
        <is>
          <t>의원</t>
        </is>
      </c>
      <c r="B30" s="228" t="n"/>
      <c r="C30" s="228" t="n"/>
      <c r="D30" s="228" t="n"/>
      <c r="E30" s="228" t="n"/>
      <c r="F30" s="228" t="n"/>
      <c r="G30" s="228" t="n"/>
      <c r="H30" s="228" t="n"/>
      <c r="I30" s="228" t="n"/>
      <c r="J30" s="228" t="n"/>
      <c r="K30" s="228" t="n"/>
      <c r="L30" s="228" t="n">
        <v>0.0265438368117642</v>
      </c>
      <c r="M30" s="228" t="n">
        <v>0.02284873696728867</v>
      </c>
      <c r="N30" s="228" t="n">
        <v>0.01744116056108339</v>
      </c>
      <c r="O30" s="228" t="n">
        <v>0.01709065363526104</v>
      </c>
      <c r="P30" s="228" t="n">
        <v>0.02102422320304728</v>
      </c>
      <c r="Q30" s="228" t="n">
        <v>0.02087407540583769</v>
      </c>
      <c r="R30" s="233" t="n"/>
      <c r="S30" s="233" t="n"/>
      <c r="T30" s="233" t="n"/>
      <c r="U30" s="233" t="n"/>
      <c r="V30" s="233" t="n"/>
    </row>
    <row r="32" ht="16.5" customHeight="1" s="217">
      <c r="A32" s="41" t="inlineStr">
        <is>
          <t>■ F. 종별 환자당 Ramosetron 사용수량 (추정)            [ Ramosetron 수량(D) x 흡입마취제 종별비율(E) ÷ 종별 전신마취 환자수(C) ]</t>
        </is>
      </c>
      <c r="B32" s="42" t="n"/>
      <c r="C32" s="42" t="n"/>
      <c r="D32" s="42" t="n"/>
      <c r="E32" s="42" t="n"/>
      <c r="F32" s="42" t="n"/>
      <c r="G32" s="42" t="n"/>
      <c r="H32" s="42" t="n"/>
      <c r="I32" s="42" t="n"/>
      <c r="J32" s="42" t="n"/>
      <c r="K32" s="42" t="n"/>
      <c r="L32" s="42" t="n"/>
      <c r="M32" s="42" t="n"/>
      <c r="N32" s="42" t="n"/>
      <c r="O32" s="42" t="n"/>
      <c r="P32" s="42" t="n"/>
      <c r="Q32" s="42" t="n"/>
      <c r="R32" s="42" t="n"/>
      <c r="S32" s="42" t="n"/>
      <c r="T32" s="42" t="n"/>
      <c r="U32" s="42" t="n"/>
      <c r="V32" s="42" t="n"/>
    </row>
    <row r="33" ht="16.5" customHeight="1" s="217">
      <c r="A33" s="64" t="inlineStr">
        <is>
          <t>상급종합병원</t>
        </is>
      </c>
      <c r="B33" s="229" t="n"/>
      <c r="C33" s="229" t="n"/>
      <c r="D33" s="229" t="n"/>
      <c r="E33" s="229" t="n"/>
      <c r="F33" s="229" t="n"/>
      <c r="G33" s="229" t="n"/>
      <c r="H33" s="229" t="n"/>
      <c r="I33" s="229" t="n"/>
      <c r="J33" s="229" t="n"/>
      <c r="K33" s="229" t="n"/>
      <c r="L33" s="234">
        <f>L27*L$24/L17</f>
        <v/>
      </c>
      <c r="M33" s="234">
        <f>M27*M$24/M17</f>
        <v/>
      </c>
      <c r="N33" s="234">
        <f>N27*N$24/N17</f>
        <v/>
      </c>
      <c r="O33" s="234">
        <f>O27*O$24/O17</f>
        <v/>
      </c>
      <c r="P33" s="234">
        <f>P27*P$24/P17</f>
        <v/>
      </c>
      <c r="Q33" s="234">
        <f>Q27*Q$24/Q17</f>
        <v/>
      </c>
      <c r="R33" s="235">
        <f>MIN(5,SLOPE($L$33:$Q$33,$L$5:$Q$5)*R$5+INTERCEPT($L$33:$Q$33,$L$5:$Q$5))</f>
        <v/>
      </c>
      <c r="S33" s="235">
        <f>MIN(5,SLOPE($L$33:$Q$33,$L$5:$Q$5)*S$5+INTERCEPT($L$33:$Q$33,$L$5:$Q$5))</f>
        <v/>
      </c>
      <c r="T33" s="235">
        <f>MIN(5,SLOPE($L$33:$Q$33,$L$5:$Q$5)*T$5+INTERCEPT($L$33:$Q$33,$L$5:$Q$5))</f>
        <v/>
      </c>
      <c r="U33" s="235">
        <f>MIN(5,SLOPE($L$33:$Q$33,$L$5:$Q$5)*U$5+INTERCEPT($L$33:$Q$33,$L$5:$Q$5))</f>
        <v/>
      </c>
      <c r="V33" s="235">
        <f>MIN(5,SLOPE($L$33:$Q$33,$L$5:$Q$5)*V$5+INTERCEPT($L$33:$Q$33,$L$5:$Q$5))</f>
        <v/>
      </c>
    </row>
    <row r="34" ht="16.5" customHeight="1" s="217">
      <c r="A34" s="64" t="inlineStr">
        <is>
          <t>종합병원</t>
        </is>
      </c>
      <c r="B34" s="229" t="n"/>
      <c r="C34" s="229" t="n"/>
      <c r="D34" s="229" t="n"/>
      <c r="E34" s="229" t="n"/>
      <c r="F34" s="229" t="n"/>
      <c r="G34" s="229" t="n"/>
      <c r="H34" s="229" t="n"/>
      <c r="I34" s="229" t="n"/>
      <c r="J34" s="229" t="n"/>
      <c r="K34" s="229" t="n"/>
      <c r="L34" s="234">
        <f>L28*L$24/L18</f>
        <v/>
      </c>
      <c r="M34" s="234">
        <f>M28*M$24/M18</f>
        <v/>
      </c>
      <c r="N34" s="234">
        <f>N28*N$24/N18</f>
        <v/>
      </c>
      <c r="O34" s="234">
        <f>O28*O$24/O18</f>
        <v/>
      </c>
      <c r="P34" s="234">
        <f>P28*P$24/P18</f>
        <v/>
      </c>
      <c r="Q34" s="234">
        <f>Q28*Q$24/Q18</f>
        <v/>
      </c>
      <c r="R34" s="235">
        <f>MIN(4,SLOPE($L$34:$Q$34,$L$5:$Q$5)*R$5+INTERCEPT($L$34:$Q$34,$L$5:$Q$5))</f>
        <v/>
      </c>
      <c r="S34" s="235">
        <f>MIN(4,SLOPE($L$34:$Q$34,$L$5:$Q$5)*S$5+INTERCEPT($L$34:$Q$34,$L$5:$Q$5))</f>
        <v/>
      </c>
      <c r="T34" s="235">
        <f>MIN(4,SLOPE($L$34:$Q$34,$L$5:$Q$5)*T$5+INTERCEPT($L$34:$Q$34,$L$5:$Q$5))</f>
        <v/>
      </c>
      <c r="U34" s="235">
        <f>MIN(4,SLOPE($L$34:$Q$34,$L$5:$Q$5)*U$5+INTERCEPT($L$34:$Q$34,$L$5:$Q$5))</f>
        <v/>
      </c>
      <c r="V34" s="235">
        <f>MIN(4,SLOPE($L$34:$Q$34,$L$5:$Q$5)*V$5+INTERCEPT($L$34:$Q$34,$L$5:$Q$5))</f>
        <v/>
      </c>
    </row>
    <row r="35" ht="16.5" customHeight="1" s="217">
      <c r="A35" s="64" t="inlineStr">
        <is>
          <t>병원</t>
        </is>
      </c>
      <c r="B35" s="229" t="n"/>
      <c r="C35" s="229" t="n"/>
      <c r="D35" s="229" t="n"/>
      <c r="E35" s="229" t="n"/>
      <c r="F35" s="229" t="n"/>
      <c r="G35" s="229" t="n"/>
      <c r="H35" s="229" t="n"/>
      <c r="I35" s="229" t="n"/>
      <c r="J35" s="229" t="n"/>
      <c r="K35" s="229" t="n"/>
      <c r="L35" s="234">
        <f>L29*L$24/L19</f>
        <v/>
      </c>
      <c r="M35" s="234">
        <f>M29*M$24/M19</f>
        <v/>
      </c>
      <c r="N35" s="234">
        <f>N29*N$24/N19</f>
        <v/>
      </c>
      <c r="O35" s="234">
        <f>O29*O$24/O19</f>
        <v/>
      </c>
      <c r="P35" s="234">
        <f>P29*P$24/P19</f>
        <v/>
      </c>
      <c r="Q35" s="234">
        <f>Q29*Q$24/Q19</f>
        <v/>
      </c>
      <c r="R35" s="236">
        <f>Q35</f>
        <v/>
      </c>
      <c r="S35" s="236">
        <f>R35</f>
        <v/>
      </c>
      <c r="T35" s="236">
        <f>S35</f>
        <v/>
      </c>
      <c r="U35" s="236">
        <f>T35</f>
        <v/>
      </c>
      <c r="V35" s="236">
        <f>U35</f>
        <v/>
      </c>
    </row>
    <row r="36" ht="16.5" customHeight="1" s="217">
      <c r="A36" s="64" t="inlineStr">
        <is>
          <t>의원</t>
        </is>
      </c>
      <c r="B36" s="229" t="n"/>
      <c r="C36" s="229" t="n"/>
      <c r="D36" s="229" t="n"/>
      <c r="E36" s="229" t="n"/>
      <c r="F36" s="229" t="n"/>
      <c r="G36" s="229" t="n"/>
      <c r="H36" s="229" t="n"/>
      <c r="I36" s="229" t="n"/>
      <c r="J36" s="229" t="n"/>
      <c r="K36" s="229" t="n"/>
      <c r="L36" s="234">
        <f>L30*L$24/L20</f>
        <v/>
      </c>
      <c r="M36" s="234">
        <f>M30*M$24/M20</f>
        <v/>
      </c>
      <c r="N36" s="234">
        <f>N30*N$24/N20</f>
        <v/>
      </c>
      <c r="O36" s="234">
        <f>O30*O$24/O20</f>
        <v/>
      </c>
      <c r="P36" s="234">
        <f>P30*P$24/P20</f>
        <v/>
      </c>
      <c r="Q36" s="234">
        <f>Q30*Q$24/Q20</f>
        <v/>
      </c>
      <c r="R36" s="236">
        <f>Q36</f>
        <v/>
      </c>
      <c r="S36" s="236">
        <f>R36</f>
        <v/>
      </c>
      <c r="T36" s="236">
        <f>S36</f>
        <v/>
      </c>
      <c r="U36" s="236">
        <f>T36</f>
        <v/>
      </c>
      <c r="V36" s="236">
        <f>U36</f>
        <v/>
      </c>
    </row>
    <row r="37" ht="16.5" customHeight="1" s="217">
      <c r="A37" s="64" t="n"/>
      <c r="B37" s="229" t="n"/>
      <c r="C37" s="229" t="n"/>
      <c r="D37" s="229" t="n"/>
      <c r="E37" s="229" t="n"/>
      <c r="F37" s="229" t="n"/>
      <c r="G37" s="229" t="n"/>
      <c r="H37" s="229" t="n"/>
      <c r="I37" s="229" t="n"/>
      <c r="J37" s="229" t="n"/>
      <c r="K37" s="229" t="n"/>
      <c r="L37" s="234" t="n"/>
      <c r="M37" s="234" t="n"/>
      <c r="N37" s="234" t="n"/>
      <c r="O37" s="234" t="n"/>
      <c r="P37" s="234" t="n"/>
      <c r="Q37" s="234" t="n"/>
      <c r="R37" s="234" t="n"/>
      <c r="S37" s="234" t="n"/>
      <c r="T37" s="234" t="n"/>
      <c r="U37" s="234" t="n"/>
      <c r="V37" s="234" t="n"/>
    </row>
    <row r="38" ht="16.5" customHeight="1" s="217">
      <c r="A38" s="41" t="inlineStr">
        <is>
          <t>■ F. 종별 Ramosetron 수량 (추정) FY기준            [ 종별 전신마취환자수 (C) x 종별 환자당 Ramosetron 사용수량 (F) ]</t>
        </is>
      </c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  <c r="N38" s="42" t="n"/>
      <c r="O38" s="42" t="n"/>
      <c r="P38" s="42" t="n"/>
      <c r="Q38" s="42" t="n"/>
      <c r="R38" s="42" t="n"/>
      <c r="S38" s="42" t="n"/>
      <c r="T38" s="42" t="n"/>
      <c r="U38" s="42" t="n"/>
      <c r="V38" s="42" t="n"/>
    </row>
    <row r="39" ht="16.5" customHeight="1" s="217">
      <c r="A39" s="64" t="inlineStr">
        <is>
          <t>상급종합병원</t>
        </is>
      </c>
      <c r="B39" s="229" t="n"/>
      <c r="C39" s="229" t="n"/>
      <c r="D39" s="229" t="n"/>
      <c r="E39" s="229" t="n"/>
      <c r="F39" s="229" t="n"/>
      <c r="G39" s="229" t="n"/>
      <c r="H39" s="229" t="n"/>
      <c r="I39" s="229" t="n"/>
      <c r="J39" s="229" t="n"/>
      <c r="K39" s="229" t="n"/>
      <c r="L39" s="229">
        <f>SUM(C86:F86)</f>
        <v/>
      </c>
      <c r="M39" s="229">
        <f>SUM(G86:J86)</f>
        <v/>
      </c>
      <c r="N39" s="229">
        <f>SUM(K86:N86)</f>
        <v/>
      </c>
      <c r="O39" s="229">
        <f>SUM(O86:R86)</f>
        <v/>
      </c>
      <c r="P39" s="229">
        <f>SUM(S86:V86)</f>
        <v/>
      </c>
      <c r="Q39" s="229">
        <f>SUM(W86:Z86)</f>
        <v/>
      </c>
      <c r="R39" s="230">
        <f>SUM(AA86:AD86)</f>
        <v/>
      </c>
      <c r="S39" s="230">
        <f>SUM(AE86:AH86)</f>
        <v/>
      </c>
      <c r="T39" s="230">
        <f>SUM(AI86:AL86)</f>
        <v/>
      </c>
      <c r="U39" s="230">
        <f>SUM(AM86:AP86)</f>
        <v/>
      </c>
      <c r="V39" s="230">
        <f>SUM(AQ86:AT86)</f>
        <v/>
      </c>
    </row>
    <row r="40" ht="16.5" customHeight="1" s="217">
      <c r="A40" s="64" t="inlineStr">
        <is>
          <t>종합병원</t>
        </is>
      </c>
      <c r="B40" s="229" t="n"/>
      <c r="C40" s="229" t="n"/>
      <c r="D40" s="229" t="n"/>
      <c r="E40" s="229" t="n"/>
      <c r="F40" s="229" t="n"/>
      <c r="G40" s="229" t="n"/>
      <c r="H40" s="229" t="n"/>
      <c r="I40" s="229" t="n"/>
      <c r="J40" s="229" t="n"/>
      <c r="K40" s="229" t="n"/>
      <c r="L40" s="229">
        <f>SUM(C87:F87)</f>
        <v/>
      </c>
      <c r="M40" s="229">
        <f>SUM(G87:J87)</f>
        <v/>
      </c>
      <c r="N40" s="229">
        <f>SUM(K87:N87)</f>
        <v/>
      </c>
      <c r="O40" s="229">
        <f>SUM(O87:R87)</f>
        <v/>
      </c>
      <c r="P40" s="229">
        <f>SUM(S87:V87)</f>
        <v/>
      </c>
      <c r="Q40" s="229">
        <f>SUM(W87:Z87)</f>
        <v/>
      </c>
      <c r="R40" s="230">
        <f>SUM(AA87:AD87)</f>
        <v/>
      </c>
      <c r="S40" s="230">
        <f>SUM(AE87:AH87)</f>
        <v/>
      </c>
      <c r="T40" s="230">
        <f>SUM(AI87:AL87)</f>
        <v/>
      </c>
      <c r="U40" s="230">
        <f>SUM(AM87:AP87)</f>
        <v/>
      </c>
      <c r="V40" s="230">
        <f>SUM(AQ87:AT87)</f>
        <v/>
      </c>
    </row>
    <row r="41" ht="16.5" customHeight="1" s="217">
      <c r="A41" s="64" t="inlineStr">
        <is>
          <t>병원</t>
        </is>
      </c>
      <c r="B41" s="229" t="n"/>
      <c r="C41" s="229" t="n"/>
      <c r="D41" s="229" t="n"/>
      <c r="E41" s="229" t="n"/>
      <c r="F41" s="229" t="n"/>
      <c r="G41" s="229" t="n"/>
      <c r="H41" s="229" t="n"/>
      <c r="I41" s="229" t="n"/>
      <c r="J41" s="229" t="n"/>
      <c r="K41" s="229" t="n"/>
      <c r="L41" s="229">
        <f>SUM(C88:F88)</f>
        <v/>
      </c>
      <c r="M41" s="229">
        <f>SUM(G88:J88)</f>
        <v/>
      </c>
      <c r="N41" s="229">
        <f>SUM(K88:N88)</f>
        <v/>
      </c>
      <c r="O41" s="229">
        <f>SUM(O88:R88)</f>
        <v/>
      </c>
      <c r="P41" s="229">
        <f>SUM(S88:V88)</f>
        <v/>
      </c>
      <c r="Q41" s="229">
        <f>SUM(W88:Z88)</f>
        <v/>
      </c>
      <c r="R41" s="230">
        <f>SUM(AA88:AD88)</f>
        <v/>
      </c>
      <c r="S41" s="230">
        <f>SUM(AE88:AH88)</f>
        <v/>
      </c>
      <c r="T41" s="230">
        <f>SUM(AI88:AL88)</f>
        <v/>
      </c>
      <c r="U41" s="230">
        <f>SUM(AM88:AP88)</f>
        <v/>
      </c>
      <c r="V41" s="230">
        <f>SUM(AQ88:AT88)</f>
        <v/>
      </c>
    </row>
    <row r="42" ht="16.5" customHeight="1" s="217">
      <c r="A42" s="64" t="inlineStr">
        <is>
          <t>의원</t>
        </is>
      </c>
      <c r="B42" s="229" t="n"/>
      <c r="C42" s="229" t="n"/>
      <c r="D42" s="229" t="n"/>
      <c r="E42" s="229" t="n"/>
      <c r="F42" s="229" t="n"/>
      <c r="G42" s="229" t="n"/>
      <c r="H42" s="229" t="n"/>
      <c r="I42" s="229" t="n"/>
      <c r="J42" s="229" t="n"/>
      <c r="K42" s="229" t="n"/>
      <c r="L42" s="229">
        <f>SUM(C89:F89)</f>
        <v/>
      </c>
      <c r="M42" s="229">
        <f>SUM(G89:J89)</f>
        <v/>
      </c>
      <c r="N42" s="229">
        <f>SUM(K89:N89)</f>
        <v/>
      </c>
      <c r="O42" s="229">
        <f>SUM(O89:R89)</f>
        <v/>
      </c>
      <c r="P42" s="229">
        <f>SUM(S89:V89)</f>
        <v/>
      </c>
      <c r="Q42" s="229">
        <f>SUM(W89:Z89)</f>
        <v/>
      </c>
      <c r="R42" s="230">
        <f>SUM(AA89:AD89)</f>
        <v/>
      </c>
      <c r="S42" s="230">
        <f>SUM(AE89:AH89)</f>
        <v/>
      </c>
      <c r="T42" s="230">
        <f>SUM(AI89:AL89)</f>
        <v/>
      </c>
      <c r="U42" s="230">
        <f>SUM(AM89:AP89)</f>
        <v/>
      </c>
      <c r="V42" s="230">
        <f>SUM(AQ89:AT89)</f>
        <v/>
      </c>
    </row>
    <row r="43" ht="16.5" customHeight="1" s="217">
      <c r="A43" s="67" t="inlineStr">
        <is>
          <t xml:space="preserve">  ▶ Ramosetron 시장 수량 (IQVIA 기준)</t>
        </is>
      </c>
      <c r="B43" s="51" t="n"/>
      <c r="C43" s="51" t="n"/>
      <c r="D43" s="51" t="n"/>
      <c r="E43" s="51" t="n"/>
      <c r="F43" s="51" t="n"/>
      <c r="G43" s="51" t="n"/>
      <c r="H43" s="51" t="n"/>
      <c r="I43" s="51" t="n"/>
      <c r="J43" s="51" t="n"/>
      <c r="K43" s="51" t="n"/>
      <c r="L43" s="51">
        <f>SUM(L39:L42)</f>
        <v/>
      </c>
      <c r="M43" s="51">
        <f>SUM(M39:M42)</f>
        <v/>
      </c>
      <c r="N43" s="51">
        <f>SUM(N39:N42)</f>
        <v/>
      </c>
      <c r="O43" s="51">
        <f>SUM(O39:O42)</f>
        <v/>
      </c>
      <c r="P43" s="51">
        <f>SUM(P39:P42)</f>
        <v/>
      </c>
      <c r="Q43" s="51">
        <f>SUM(Q39:Q42)</f>
        <v/>
      </c>
      <c r="R43" s="51">
        <f>SUM(R39:R42)</f>
        <v/>
      </c>
      <c r="S43" s="51">
        <f>SUM(S39:S42)</f>
        <v/>
      </c>
      <c r="T43" s="51">
        <f>SUM(T39:T42)</f>
        <v/>
      </c>
      <c r="U43" s="51">
        <f>SUM(U39:U42)</f>
        <v/>
      </c>
      <c r="V43" s="51">
        <f>SUM(V39:V42)</f>
        <v/>
      </c>
    </row>
    <row r="44" ht="16.5" customHeight="1" s="217">
      <c r="A44" s="68" t="n"/>
      <c r="B44" s="193" t="n"/>
      <c r="C44" s="193" t="n"/>
      <c r="D44" s="193" t="n"/>
      <c r="E44" s="193" t="n"/>
      <c r="F44" s="193" t="n"/>
      <c r="L44" s="107" t="n"/>
      <c r="M44" s="237">
        <f>M43/L43-1</f>
        <v/>
      </c>
      <c r="N44" s="237">
        <f>N43/M43-1</f>
        <v/>
      </c>
      <c r="O44" s="237">
        <f>O43/N43-1</f>
        <v/>
      </c>
      <c r="P44" s="237">
        <f>P43/O43-1</f>
        <v/>
      </c>
      <c r="Q44" s="237">
        <f>Q43/P43-1</f>
        <v/>
      </c>
      <c r="R44" s="237">
        <f>R43/Q43-1</f>
        <v/>
      </c>
      <c r="S44" s="237">
        <f>S43/R43-1</f>
        <v/>
      </c>
      <c r="T44" s="237">
        <f>T43/S43-1</f>
        <v/>
      </c>
      <c r="U44" s="237">
        <f>U43/T43-1</f>
        <v/>
      </c>
      <c r="V44" s="237">
        <f>V43/U43-1</f>
        <v/>
      </c>
    </row>
    <row r="45" ht="16.5" customHeight="1" s="217">
      <c r="A45" s="52" t="n"/>
      <c r="Q45" s="219" t="n"/>
    </row>
    <row r="46">
      <c r="A46" s="70" t="n"/>
      <c r="B46" s="139" t="inlineStr">
        <is>
          <t>[참고] 종별 비율 예측 파라미터 : 회복모형모델</t>
        </is>
      </c>
      <c r="L46">
        <f>L17*L33</f>
        <v/>
      </c>
    </row>
    <row r="47">
      <c r="A47" s="131" t="n"/>
      <c r="B47" s="123" t="inlineStr">
        <is>
          <t>연령대</t>
        </is>
      </c>
      <c r="C47" s="123" t="inlineStr">
        <is>
          <t>상한/하한</t>
        </is>
      </c>
      <c r="D47" s="123" t="inlineStr">
        <is>
          <t>기울기(slope)</t>
        </is>
      </c>
      <c r="E47" s="123" t="inlineStr">
        <is>
          <t>절편(intercept)</t>
        </is>
      </c>
      <c r="F47" s="123" t="inlineStr">
        <is>
          <t>기울기(logit,S-curve)</t>
        </is>
      </c>
      <c r="G47" s="238" t="n"/>
    </row>
    <row r="48">
      <c r="A48" s="131" t="n"/>
      <c r="B48" s="225" t="inlineStr">
        <is>
          <t xml:space="preserve">  상급종합병원 환자비율</t>
        </is>
      </c>
      <c r="C48" s="186" t="n">
        <v>0.41</v>
      </c>
      <c r="D48" s="239">
        <f>SLOPE(S69:Y69,$S$65:$Y$65)</f>
        <v/>
      </c>
      <c r="E48" s="240">
        <f>INTERCEPT(S69:Y69,$S$65:$Y$65)</f>
        <v/>
      </c>
      <c r="F48" s="240" t="n"/>
      <c r="G48" s="238" t="n"/>
    </row>
    <row r="49">
      <c r="A49" s="131" t="n"/>
      <c r="B49" s="225" t="inlineStr">
        <is>
          <t xml:space="preserve">  종합병원 환자비율 (분기)</t>
        </is>
      </c>
      <c r="C49" s="186" t="n">
        <v>0.4</v>
      </c>
      <c r="D49" s="239">
        <f>SLOPE(S70:Y70,$S$65:$Y$65)</f>
        <v/>
      </c>
      <c r="E49" s="240">
        <f>INTERCEPT(S70:Y70,$S$65:$Y$65)</f>
        <v/>
      </c>
      <c r="F49" s="240" t="n"/>
      <c r="G49" s="238" t="n"/>
    </row>
    <row r="50">
      <c r="A50" s="238" t="n"/>
      <c r="B50" s="225" t="inlineStr">
        <is>
          <t xml:space="preserve">  병원급 환자비율 (분기)</t>
        </is>
      </c>
      <c r="C50" s="189" t="n">
        <v>0.1</v>
      </c>
      <c r="D50" s="239">
        <f>SLOPE(S71:Y71,$S$65:$Y$65)</f>
        <v/>
      </c>
      <c r="E50" s="240">
        <f>INTERCEPT(S71:Y71,$S$65:$Y$65)</f>
        <v/>
      </c>
      <c r="F50" s="240" t="n"/>
      <c r="G50" s="238" t="n"/>
    </row>
    <row r="51">
      <c r="A51" s="238" t="n"/>
      <c r="B51" s="225" t="inlineStr">
        <is>
          <t xml:space="preserve">  의원급 환자비율 (분기)</t>
        </is>
      </c>
      <c r="C51" s="189" t="n">
        <v>0.1</v>
      </c>
      <c r="D51" s="239">
        <f>SLOPE(S72:Y72,$S$65:$Y$65)</f>
        <v/>
      </c>
      <c r="E51" s="240">
        <f>INTERCEPT(S72:Y72,$S$65:$Y$65)</f>
        <v/>
      </c>
      <c r="F51" s="240">
        <f>SLOPE(S73:Z73,$S$65:$Z$65)</f>
        <v/>
      </c>
      <c r="G51" s="238" t="n"/>
    </row>
    <row r="53" ht="16.5" customHeight="1" s="217">
      <c r="A53" s="55" t="inlineStr">
        <is>
          <t>※ 출처 :  NHIS (2010~2024),  IQVIA(FY2020~2025) BI 자체 추정</t>
        </is>
      </c>
    </row>
    <row r="54" ht="16.5" customHeight="1" s="217">
      <c r="A54" s="55" t="inlineStr">
        <is>
          <t>※ 범례</t>
        </is>
      </c>
    </row>
    <row r="55" ht="16.5" customHeight="1" s="217">
      <c r="A55" s="56" t="inlineStr">
        <is>
          <t>· 외부 입력 데이터: 청색(Blue) 표기</t>
        </is>
      </c>
    </row>
    <row r="56" ht="16.5" customHeight="1" s="217">
      <c r="A56" s="56" t="inlineStr">
        <is>
          <t>· 예측 변수(또는 예측치): 녹색(Green) 표기</t>
        </is>
      </c>
    </row>
    <row r="57" ht="16.5" customHeight="1" s="217">
      <c r="A57" s="56" t="inlineStr">
        <is>
          <t>· 최종 산출 결과: 황색(Yellow) 음영 행</t>
        </is>
      </c>
    </row>
    <row r="60">
      <c r="A60" s="219" t="inlineStr">
        <is>
          <t>■■■ [분기 확장 블록] CY역년분기 실측+롤링예측 → FY 재구성 ■■■</t>
        </is>
      </c>
    </row>
    <row r="61">
      <c r="A61" s="219" t="inlineStr">
        <is>
          <t>※ B(종별환자비율)는 HIRA 분기실측(2010Q1~2025Q4, 64개분기) 기반 분기 직접모델링으로 전환 (백테스트로 연간모델 대비 정확도 우수 확인)</t>
        </is>
      </c>
    </row>
    <row r="62">
      <c r="A62" s="219" t="inlineStr">
        <is>
          <t>※ F(환자당사용량)는 표본부족으로 기존 연간모델 유지, 4개분기에 flat 적용</t>
        </is>
      </c>
    </row>
    <row r="64">
      <c r="A64" s="219" t="inlineStr">
        <is>
          <t>구분 / CY분기 ▶</t>
        </is>
      </c>
      <c r="B64" s="111" t="inlineStr">
        <is>
          <t>2020Q1</t>
        </is>
      </c>
      <c r="C64" s="111" t="inlineStr">
        <is>
          <t>2020Q2</t>
        </is>
      </c>
      <c r="D64" s="111" t="inlineStr">
        <is>
          <t>2020Q3</t>
        </is>
      </c>
      <c r="E64" s="111" t="inlineStr">
        <is>
          <t>2020Q4</t>
        </is>
      </c>
      <c r="F64" s="111" t="inlineStr">
        <is>
          <t>2021Q1</t>
        </is>
      </c>
      <c r="G64" s="111" t="inlineStr">
        <is>
          <t>2021Q2</t>
        </is>
      </c>
      <c r="H64" s="111" t="inlineStr">
        <is>
          <t>2021Q3</t>
        </is>
      </c>
      <c r="I64" s="111" t="inlineStr">
        <is>
          <t>2021Q4</t>
        </is>
      </c>
      <c r="J64" s="111" t="inlineStr">
        <is>
          <t>2022Q1</t>
        </is>
      </c>
      <c r="K64" s="111" t="inlineStr">
        <is>
          <t>2022Q2</t>
        </is>
      </c>
      <c r="L64" s="111" t="inlineStr">
        <is>
          <t>2022Q3</t>
        </is>
      </c>
      <c r="M64" s="111" t="inlineStr">
        <is>
          <t>2022Q4</t>
        </is>
      </c>
      <c r="N64" s="111" t="inlineStr">
        <is>
          <t>2023Q1</t>
        </is>
      </c>
      <c r="O64" s="111" t="inlineStr">
        <is>
          <t>2023Q2</t>
        </is>
      </c>
      <c r="P64" s="111" t="inlineStr">
        <is>
          <t>2023Q3</t>
        </is>
      </c>
      <c r="Q64" s="111" t="inlineStr">
        <is>
          <t>2023Q4</t>
        </is>
      </c>
      <c r="R64" s="111" t="inlineStr">
        <is>
          <t>2024Q1</t>
        </is>
      </c>
      <c r="S64" s="111" t="inlineStr">
        <is>
          <t>2024Q2</t>
        </is>
      </c>
      <c r="T64" s="111" t="inlineStr">
        <is>
          <t>2024Q3</t>
        </is>
      </c>
      <c r="U64" s="111" t="inlineStr">
        <is>
          <t>2024Q4</t>
        </is>
      </c>
      <c r="V64" s="111" t="inlineStr">
        <is>
          <t>2025Q1</t>
        </is>
      </c>
      <c r="W64" s="111" t="inlineStr">
        <is>
          <t>2025Q2</t>
        </is>
      </c>
      <c r="X64" s="111" t="inlineStr">
        <is>
          <t>2025Q3</t>
        </is>
      </c>
      <c r="Y64" s="111" t="inlineStr">
        <is>
          <t>2025Q4</t>
        </is>
      </c>
      <c r="Z64" s="111" t="inlineStr">
        <is>
          <t>2026Q1</t>
        </is>
      </c>
      <c r="AA64" s="111" t="inlineStr">
        <is>
          <t>2026Q2</t>
        </is>
      </c>
      <c r="AB64" s="111" t="inlineStr">
        <is>
          <t>2026Q3</t>
        </is>
      </c>
      <c r="AC64" s="111" t="inlineStr">
        <is>
          <t>2026Q4</t>
        </is>
      </c>
      <c r="AD64" s="111" t="inlineStr">
        <is>
          <t>2027Q1</t>
        </is>
      </c>
      <c r="AE64" s="111" t="inlineStr">
        <is>
          <t>2027Q2</t>
        </is>
      </c>
      <c r="AF64" s="111" t="inlineStr">
        <is>
          <t>2027Q3</t>
        </is>
      </c>
      <c r="AG64" s="111" t="inlineStr">
        <is>
          <t>2027Q4</t>
        </is>
      </c>
      <c r="AH64" s="111" t="inlineStr">
        <is>
          <t>2028Q1</t>
        </is>
      </c>
      <c r="AI64" s="111" t="inlineStr">
        <is>
          <t>2028Q2</t>
        </is>
      </c>
      <c r="AJ64" s="111" t="inlineStr">
        <is>
          <t>2028Q3</t>
        </is>
      </c>
      <c r="AK64" s="111" t="inlineStr">
        <is>
          <t>2028Q4</t>
        </is>
      </c>
      <c r="AL64" s="111" t="inlineStr">
        <is>
          <t>2029Q1</t>
        </is>
      </c>
      <c r="AM64" s="111" t="inlineStr">
        <is>
          <t>2029Q2</t>
        </is>
      </c>
      <c r="AN64" s="111" t="inlineStr">
        <is>
          <t>2029Q3</t>
        </is>
      </c>
      <c r="AO64" s="111" t="inlineStr">
        <is>
          <t>2029Q4</t>
        </is>
      </c>
      <c r="AP64" s="111" t="inlineStr">
        <is>
          <t>2030Q1</t>
        </is>
      </c>
      <c r="AQ64" s="111" t="inlineStr">
        <is>
          <t>2030Q2</t>
        </is>
      </c>
      <c r="AR64" s="111" t="inlineStr">
        <is>
          <t>2030Q3</t>
        </is>
      </c>
      <c r="AS64" s="111" t="inlineStr">
        <is>
          <t>2030Q4</t>
        </is>
      </c>
      <c r="AT64" s="111" t="inlineStr">
        <is>
          <t>2031Q1</t>
        </is>
      </c>
    </row>
    <row r="65">
      <c r="A65" s="219" t="inlineStr">
        <is>
          <t>분기 순번(추세계산용)</t>
        </is>
      </c>
      <c r="B65" s="219" t="n">
        <v>1</v>
      </c>
      <c r="C65" s="219" t="n">
        <v>2</v>
      </c>
      <c r="D65" s="219" t="n">
        <v>3</v>
      </c>
      <c r="E65" s="219" t="n">
        <v>4</v>
      </c>
      <c r="F65" s="219" t="n">
        <v>5</v>
      </c>
      <c r="G65" s="219" t="n">
        <v>6</v>
      </c>
      <c r="H65" s="219" t="n">
        <v>7</v>
      </c>
      <c r="I65" s="219" t="n">
        <v>8</v>
      </c>
      <c r="J65" s="219" t="n">
        <v>9</v>
      </c>
      <c r="K65" s="219" t="n">
        <v>10</v>
      </c>
      <c r="L65" s="219" t="n">
        <v>11</v>
      </c>
      <c r="M65" s="219" t="n">
        <v>12</v>
      </c>
      <c r="N65" s="219" t="n">
        <v>13</v>
      </c>
      <c r="O65" s="219" t="n">
        <v>14</v>
      </c>
      <c r="P65" s="219" t="n">
        <v>15</v>
      </c>
      <c r="Q65" s="219" t="n">
        <v>16</v>
      </c>
      <c r="R65" s="219" t="n">
        <v>17</v>
      </c>
      <c r="S65" s="219" t="n">
        <v>18</v>
      </c>
      <c r="T65" s="219" t="n">
        <v>19</v>
      </c>
      <c r="U65" s="219" t="n">
        <v>20</v>
      </c>
      <c r="V65" s="219" t="n">
        <v>21</v>
      </c>
      <c r="W65" s="219" t="n">
        <v>22</v>
      </c>
      <c r="X65" s="219" t="n">
        <v>23</v>
      </c>
      <c r="Y65" s="219" t="n">
        <v>24</v>
      </c>
      <c r="Z65" s="219" t="n">
        <v>25</v>
      </c>
      <c r="AA65" s="219" t="n">
        <v>26</v>
      </c>
      <c r="AB65" s="219" t="n">
        <v>27</v>
      </c>
      <c r="AC65" s="219" t="n">
        <v>28</v>
      </c>
      <c r="AD65" s="219" t="n">
        <v>29</v>
      </c>
      <c r="AE65" s="219" t="n">
        <v>30</v>
      </c>
      <c r="AF65" s="219" t="n">
        <v>31</v>
      </c>
      <c r="AG65" s="219" t="n">
        <v>32</v>
      </c>
      <c r="AH65" s="219" t="n">
        <v>33</v>
      </c>
      <c r="AI65" s="219" t="n">
        <v>34</v>
      </c>
      <c r="AJ65" s="219" t="n">
        <v>35</v>
      </c>
      <c r="AK65" s="219" t="n">
        <v>36</v>
      </c>
      <c r="AL65" s="219" t="n">
        <v>37</v>
      </c>
      <c r="AM65" s="219" t="n">
        <v>38</v>
      </c>
      <c r="AN65" s="219" t="n">
        <v>39</v>
      </c>
      <c r="AO65" s="219" t="n">
        <v>40</v>
      </c>
      <c r="AP65" s="219" t="n">
        <v>41</v>
      </c>
      <c r="AQ65" s="219" t="n">
        <v>42</v>
      </c>
      <c r="AR65" s="219" t="n">
        <v>43</v>
      </c>
      <c r="AS65" s="219" t="n">
        <v>44</v>
      </c>
      <c r="AT65" s="219" t="n">
        <v>45</v>
      </c>
    </row>
    <row r="66">
      <c r="A66" s="219" t="inlineStr">
        <is>
          <t>▶ 전체 전신마취환자수 (분기)  [실측HIRA합계~2025Q4 / 미래는 연령모델 연간환자수×분기비중]</t>
        </is>
      </c>
      <c r="B66" s="241" t="n">
        <v>298057</v>
      </c>
      <c r="C66" s="241" t="n">
        <v>284248</v>
      </c>
      <c r="D66" s="241" t="n">
        <v>287449</v>
      </c>
      <c r="E66" s="241" t="n">
        <v>298374</v>
      </c>
      <c r="F66" s="241" t="n">
        <v>314963</v>
      </c>
      <c r="G66" s="241" t="n">
        <v>308831</v>
      </c>
      <c r="H66" s="241" t="n">
        <v>311462</v>
      </c>
      <c r="I66" s="241" t="n">
        <v>314385</v>
      </c>
      <c r="J66" s="241" t="n">
        <v>304354</v>
      </c>
      <c r="K66" s="241" t="n">
        <v>314775</v>
      </c>
      <c r="L66" s="241" t="n">
        <v>320993</v>
      </c>
      <c r="M66" s="241" t="n">
        <v>320425</v>
      </c>
      <c r="N66" s="241" t="n">
        <v>342701</v>
      </c>
      <c r="O66" s="241" t="n">
        <v>321578</v>
      </c>
      <c r="P66" s="241" t="n">
        <v>325581</v>
      </c>
      <c r="Q66" s="241" t="n">
        <v>323190</v>
      </c>
      <c r="R66" s="241" t="n">
        <v>320414</v>
      </c>
      <c r="S66" s="241" t="n">
        <v>291697</v>
      </c>
      <c r="T66" s="241" t="n">
        <v>308119</v>
      </c>
      <c r="U66" s="241" t="n">
        <v>312869</v>
      </c>
      <c r="V66" s="241" t="n">
        <v>329008</v>
      </c>
      <c r="W66" s="241" t="n">
        <v>322560</v>
      </c>
      <c r="X66" s="241" t="n">
        <v>350758</v>
      </c>
      <c r="Y66" s="241" t="n">
        <v>330334</v>
      </c>
      <c r="Z66" s="242">
        <f>R7*$B$103/($B$103+$B$104+$B$105+$B$106)</f>
        <v/>
      </c>
      <c r="AA66" s="242">
        <f>R7*$B$104/($B$103+$B$104+$B$105+$B$106)</f>
        <v/>
      </c>
      <c r="AB66" s="242">
        <f>R7*$B$105/($B$103+$B$104+$B$105+$B$106)</f>
        <v/>
      </c>
      <c r="AC66" s="242">
        <f>R7*$B$106/($B$103+$B$104+$B$105+$B$106)</f>
        <v/>
      </c>
      <c r="AD66" s="242">
        <f>S7*$B$103/($B$103+$B$104+$B$105+$B$106)</f>
        <v/>
      </c>
      <c r="AE66" s="242">
        <f>S7*$B$104/($B$103+$B$104+$B$105+$B$106)</f>
        <v/>
      </c>
      <c r="AF66" s="242">
        <f>S7*$B$105/($B$103+$B$104+$B$105+$B$106)</f>
        <v/>
      </c>
      <c r="AG66" s="242">
        <f>S7*$B$106/($B$103+$B$104+$B$105+$B$106)</f>
        <v/>
      </c>
      <c r="AH66" s="242">
        <f>T7*$B$103/($B$103+$B$104+$B$105+$B$106)</f>
        <v/>
      </c>
      <c r="AI66" s="242">
        <f>T7*$B$104/($B$103+$B$104+$B$105+$B$106)</f>
        <v/>
      </c>
      <c r="AJ66" s="242">
        <f>T7*$B$105/($B$103+$B$104+$B$105+$B$106)</f>
        <v/>
      </c>
      <c r="AK66" s="242">
        <f>T7*$B$106/($B$103+$B$104+$B$105+$B$106)</f>
        <v/>
      </c>
      <c r="AL66" s="242">
        <f>U7*$B$103/($B$103+$B$104+$B$105+$B$106)</f>
        <v/>
      </c>
      <c r="AM66" s="242">
        <f>U7*$B$104/($B$103+$B$104+$B$105+$B$106)</f>
        <v/>
      </c>
      <c r="AN66" s="242">
        <f>U7*$B$105/($B$103+$B$104+$B$105+$B$106)</f>
        <v/>
      </c>
      <c r="AO66" s="242">
        <f>U7*$B$106/($B$103+$B$104+$B$105+$B$106)</f>
        <v/>
      </c>
      <c r="AP66" s="242">
        <f>V7*$B$103/($B$103+$B$104+$B$105+$B$106)</f>
        <v/>
      </c>
      <c r="AQ66" s="242">
        <f>V7*$B$104/($B$103+$B$104+$B$105+$B$106)</f>
        <v/>
      </c>
      <c r="AR66" s="242">
        <f>V7*$B$105/($B$103+$B$104+$B$105+$B$106)</f>
        <v/>
      </c>
      <c r="AS66" s="242">
        <f>V7*$B$106/($B$103+$B$104+$B$105+$B$106)</f>
        <v/>
      </c>
      <c r="AT66" s="242">
        <f>(V7*V7/U7)*$B$103/($B$103+$B$104+$B$105+$B$106)</f>
        <v/>
      </c>
    </row>
    <row r="68">
      <c r="A68" t="inlineStr">
        <is>
          <t>[정규화 전]</t>
        </is>
      </c>
    </row>
    <row r="69">
      <c r="A69" s="219" t="inlineStr">
        <is>
          <t xml:space="preserve">  상급종합병원 환자비율 (분기) [실측HIRA / 미래는 최근4개분기평균]</t>
        </is>
      </c>
      <c r="B69" s="243">
        <f>원자료_분기실측!B5/B66</f>
        <v/>
      </c>
      <c r="C69" s="243">
        <f>원자료_분기실측!C5/C66</f>
        <v/>
      </c>
      <c r="D69" s="243">
        <f>원자료_분기실측!D5/D66</f>
        <v/>
      </c>
      <c r="E69" s="243">
        <f>원자료_분기실측!E5/E66</f>
        <v/>
      </c>
      <c r="F69" s="243">
        <f>원자료_분기실측!F5/F66</f>
        <v/>
      </c>
      <c r="G69" s="243">
        <f>원자료_분기실측!G5/G66</f>
        <v/>
      </c>
      <c r="H69" s="243">
        <f>원자료_분기실측!H5/H66</f>
        <v/>
      </c>
      <c r="I69" s="243">
        <f>원자료_분기실측!I5/I66</f>
        <v/>
      </c>
      <c r="J69" s="243">
        <f>원자료_분기실측!J5/J66</f>
        <v/>
      </c>
      <c r="K69" s="244">
        <f>원자료_분기실측!K5/K66</f>
        <v/>
      </c>
      <c r="L69" s="243">
        <f>원자료_분기실측!L5/L66</f>
        <v/>
      </c>
      <c r="M69" s="243">
        <f>원자료_분기실측!M5/M66</f>
        <v/>
      </c>
      <c r="N69" s="243">
        <f>원자료_분기실측!N5/N66</f>
        <v/>
      </c>
      <c r="O69" s="243">
        <f>원자료_분기실측!O5/O66</f>
        <v/>
      </c>
      <c r="P69" s="243">
        <f>원자료_분기실측!P5/P66</f>
        <v/>
      </c>
      <c r="Q69" s="243">
        <f>원자료_분기실측!Q5/Q66</f>
        <v/>
      </c>
      <c r="R69" s="243">
        <f>원자료_분기실측!R5/R66</f>
        <v/>
      </c>
      <c r="S69" s="245">
        <f>원자료_분기실측!S5/S66</f>
        <v/>
      </c>
      <c r="T69" s="243">
        <f>원자료_분기실측!T5/T66</f>
        <v/>
      </c>
      <c r="U69" s="243">
        <f>원자료_분기실측!U5/U66</f>
        <v/>
      </c>
      <c r="V69" s="243">
        <f>원자료_분기실측!V5/V66</f>
        <v/>
      </c>
      <c r="W69" s="243">
        <f>원자료_분기실측!W5/W66</f>
        <v/>
      </c>
      <c r="X69" s="243">
        <f>원자료_분기실측!X5/X66</f>
        <v/>
      </c>
      <c r="Y69" s="243">
        <f>원자료_분기실측!Y5/Y66</f>
        <v/>
      </c>
      <c r="Z69" s="222">
        <f>MIN($C$48,$D48*Z$65+$E48)</f>
        <v/>
      </c>
      <c r="AA69" s="222">
        <f>MIN($C$48,$D48*AA$65+$E48)</f>
        <v/>
      </c>
      <c r="AB69" s="222">
        <f>MIN($C$48,$D48*AB$65+$E48)</f>
        <v/>
      </c>
      <c r="AC69" s="222">
        <f>MIN($C$48,$D48*AC$65+$E48)</f>
        <v/>
      </c>
      <c r="AD69" s="222">
        <f>MIN($C$48,$D48*AD$65+$E48)</f>
        <v/>
      </c>
      <c r="AE69" s="222">
        <f>MIN($C$48,$D48*AE$65+$E48)</f>
        <v/>
      </c>
      <c r="AF69" s="222">
        <f>MIN($C$48,$D48*AF$65+$E48)</f>
        <v/>
      </c>
      <c r="AG69" s="222">
        <f>MIN($C$48,$D48*AG$65+$E48)</f>
        <v/>
      </c>
      <c r="AH69" s="222">
        <f>MIN($C$48,$D48*AH$65+$E48)</f>
        <v/>
      </c>
      <c r="AI69" s="222">
        <f>MIN($C$48,$D48*AI$65+$E48)</f>
        <v/>
      </c>
      <c r="AJ69" s="222">
        <f>MIN($C$48,$D48*AJ$65+$E48)</f>
        <v/>
      </c>
      <c r="AK69" s="222">
        <f>MIN($C$48,$D48*AK$65+$E48)</f>
        <v/>
      </c>
      <c r="AL69" s="222">
        <f>MIN($C$48,$D48*AL$65+$E48)</f>
        <v/>
      </c>
      <c r="AM69" s="222">
        <f>MIN($C$48,$D48*AM$65+$E48)</f>
        <v/>
      </c>
      <c r="AN69" s="222">
        <f>MIN($C$48,$D48*AN$65+$E48)</f>
        <v/>
      </c>
      <c r="AO69" s="222">
        <f>MIN($C$48,$D48*AO$65+$E48)</f>
        <v/>
      </c>
      <c r="AP69" s="222">
        <f>MIN($C$48,$D48*AP$65+$E48)</f>
        <v/>
      </c>
      <c r="AQ69" s="222">
        <f>MIN($C$48,$D48*AQ$65+$E48)</f>
        <v/>
      </c>
      <c r="AR69" s="222">
        <f>MIN($C$48,$D48*AR$65+$E48)</f>
        <v/>
      </c>
      <c r="AS69" s="222">
        <f>MIN($C$48,$D48*AS$65+$E48)</f>
        <v/>
      </c>
      <c r="AT69" s="222">
        <f>MIN($C$48,$D48*AT$65+$E48)</f>
        <v/>
      </c>
    </row>
    <row r="70">
      <c r="A70" s="219" t="inlineStr">
        <is>
          <t xml:space="preserve">  종합병원 환자비율 (분기) [실측HIRA / 미래는 최근4개분기평균]</t>
        </is>
      </c>
      <c r="B70" s="243">
        <f>원자료_분기실측!B6/B66</f>
        <v/>
      </c>
      <c r="C70" s="243">
        <f>원자료_분기실측!C6/C66</f>
        <v/>
      </c>
      <c r="D70" s="243">
        <f>원자료_분기실측!D6/D66</f>
        <v/>
      </c>
      <c r="E70" s="243">
        <f>원자료_분기실측!E6/E66</f>
        <v/>
      </c>
      <c r="F70" s="243">
        <f>원자료_분기실측!F6/F66</f>
        <v/>
      </c>
      <c r="G70" s="243">
        <f>원자료_분기실측!G6/G66</f>
        <v/>
      </c>
      <c r="H70" s="243">
        <f>원자료_분기실측!H6/H66</f>
        <v/>
      </c>
      <c r="I70" s="243">
        <f>원자료_분기실측!I6/I66</f>
        <v/>
      </c>
      <c r="J70" s="243">
        <f>원자료_분기실측!J6/J66</f>
        <v/>
      </c>
      <c r="K70" s="244">
        <f>원자료_분기실측!K6/K66</f>
        <v/>
      </c>
      <c r="L70" s="243">
        <f>원자료_분기실측!L6/L66</f>
        <v/>
      </c>
      <c r="M70" s="243">
        <f>원자료_분기실측!M6/M66</f>
        <v/>
      </c>
      <c r="N70" s="243">
        <f>원자료_분기실측!N6/N66</f>
        <v/>
      </c>
      <c r="O70" s="243">
        <f>원자료_분기실측!O6/O66</f>
        <v/>
      </c>
      <c r="P70" s="243">
        <f>원자료_분기실측!P6/P66</f>
        <v/>
      </c>
      <c r="Q70" s="243">
        <f>원자료_분기실측!Q6/Q66</f>
        <v/>
      </c>
      <c r="R70" s="243">
        <f>원자료_분기실측!R6/R66</f>
        <v/>
      </c>
      <c r="S70" s="243">
        <f>원자료_분기실측!S6/S66</f>
        <v/>
      </c>
      <c r="T70" s="243">
        <f>원자료_분기실측!T6/T66</f>
        <v/>
      </c>
      <c r="U70" s="243">
        <f>원자료_분기실측!U6/U66</f>
        <v/>
      </c>
      <c r="V70" s="243">
        <f>원자료_분기실측!V6/V66</f>
        <v/>
      </c>
      <c r="W70" s="243">
        <f>원자료_분기실측!W6/W66</f>
        <v/>
      </c>
      <c r="X70" s="243">
        <f>원자료_분기실측!X6/X66</f>
        <v/>
      </c>
      <c r="Y70" s="243">
        <f>원자료_분기실측!Y6/Y66</f>
        <v/>
      </c>
      <c r="Z70" s="222">
        <f>MAX($C$49,$D49*Z$65+$E49)</f>
        <v/>
      </c>
      <c r="AA70" s="222">
        <f>MAX($C$49,$D49*AA$65+$E49)</f>
        <v/>
      </c>
      <c r="AB70" s="222">
        <f>MAX($C$49,$D49*AB$65+$E49)</f>
        <v/>
      </c>
      <c r="AC70" s="222">
        <f>MAX($C$49,$D49*AC$65+$E49)</f>
        <v/>
      </c>
      <c r="AD70" s="222">
        <f>MAX($C$49,$D49*AD$65+$E49)</f>
        <v/>
      </c>
      <c r="AE70" s="222">
        <f>MAX($C$49,$D49*AE$65+$E49)</f>
        <v/>
      </c>
      <c r="AF70" s="222">
        <f>MAX($C$49,$D49*AF$65+$E49)</f>
        <v/>
      </c>
      <c r="AG70" s="222">
        <f>MAX($C$49,$D49*AG$65+$E49)</f>
        <v/>
      </c>
      <c r="AH70" s="222">
        <f>MAX($C$49,$D49*AH$65+$E49)</f>
        <v/>
      </c>
      <c r="AI70" s="222">
        <f>MAX($C$49,$D49*AI$65+$E49)</f>
        <v/>
      </c>
      <c r="AJ70" s="222">
        <f>MAX($C$49,$D49*AJ$65+$E49)</f>
        <v/>
      </c>
      <c r="AK70" s="222">
        <f>MAX($C$49,$D49*AK$65+$E49)</f>
        <v/>
      </c>
      <c r="AL70" s="222">
        <f>MAX($C$49,$D49*AL$65+$E49)</f>
        <v/>
      </c>
      <c r="AM70" s="222">
        <f>MAX($C$49,$D49*AM$65+$E49)</f>
        <v/>
      </c>
      <c r="AN70" s="222">
        <f>MAX($C$49,$D49*AN$65+$E49)</f>
        <v/>
      </c>
      <c r="AO70" s="222">
        <f>MAX($C$49,$D49*AO$65+$E49)</f>
        <v/>
      </c>
      <c r="AP70" s="222">
        <f>MAX($C$49,$D49*AP$65+$E49)</f>
        <v/>
      </c>
      <c r="AQ70" s="222">
        <f>MAX($C$49,$D49*AQ$65+$E49)</f>
        <v/>
      </c>
      <c r="AR70" s="222">
        <f>MAX($C$49,$D49*AR$65+$E49)</f>
        <v/>
      </c>
      <c r="AS70" s="222">
        <f>MAX($C$49,$D49*AS$65+$E49)</f>
        <v/>
      </c>
      <c r="AT70" s="222">
        <f>MAX($C$49,$D49*AT$65+$E49)</f>
        <v/>
      </c>
    </row>
    <row r="71">
      <c r="A71" s="219" t="inlineStr">
        <is>
          <t xml:space="preserve">  병원급 환자비율 (분기) [실측HIRA / 미래는 최근4개분기평균]</t>
        </is>
      </c>
      <c r="B71" s="243">
        <f>원자료_분기실측!B7/B66</f>
        <v/>
      </c>
      <c r="C71" s="243">
        <f>원자료_분기실측!C7/C66</f>
        <v/>
      </c>
      <c r="D71" s="243">
        <f>원자료_분기실측!D7/D66</f>
        <v/>
      </c>
      <c r="E71" s="243">
        <f>원자료_분기실측!E7/E66</f>
        <v/>
      </c>
      <c r="F71" s="243">
        <f>원자료_분기실측!F7/F66</f>
        <v/>
      </c>
      <c r="G71" s="243">
        <f>원자료_분기실측!G7/G66</f>
        <v/>
      </c>
      <c r="H71" s="243">
        <f>원자료_분기실측!H7/H66</f>
        <v/>
      </c>
      <c r="I71" s="243">
        <f>원자료_분기실측!I7/I66</f>
        <v/>
      </c>
      <c r="J71" s="243">
        <f>원자료_분기실측!J7/J66</f>
        <v/>
      </c>
      <c r="K71" s="244">
        <f>원자료_분기실측!K7/K66</f>
        <v/>
      </c>
      <c r="L71" s="243">
        <f>원자료_분기실측!L7/L66</f>
        <v/>
      </c>
      <c r="M71" s="243">
        <f>원자료_분기실측!M7/M66</f>
        <v/>
      </c>
      <c r="N71" s="243">
        <f>원자료_분기실측!N7/N66</f>
        <v/>
      </c>
      <c r="O71" s="243">
        <f>원자료_분기실측!O7/O66</f>
        <v/>
      </c>
      <c r="P71" s="243">
        <f>원자료_분기실측!P7/P66</f>
        <v/>
      </c>
      <c r="Q71" s="243">
        <f>원자료_분기실측!Q7/Q66</f>
        <v/>
      </c>
      <c r="R71" s="243">
        <f>원자료_분기실측!R7/R66</f>
        <v/>
      </c>
      <c r="S71" s="243">
        <f>원자료_분기실측!S7/S66</f>
        <v/>
      </c>
      <c r="T71" s="243">
        <f>원자료_분기실측!T7/T66</f>
        <v/>
      </c>
      <c r="U71" s="243">
        <f>원자료_분기실측!U7/U66</f>
        <v/>
      </c>
      <c r="V71" s="243">
        <f>원자료_분기실측!V7/V66</f>
        <v/>
      </c>
      <c r="W71" s="243">
        <f>원자료_분기실측!W7/W66</f>
        <v/>
      </c>
      <c r="X71" s="243">
        <f>원자료_분기실측!X7/X66</f>
        <v/>
      </c>
      <c r="Y71" s="243">
        <f>원자료_분기실측!Y7/Y66</f>
        <v/>
      </c>
      <c r="Z71" s="222">
        <f>MAX($C$50,$D50*Z$65+$E50)</f>
        <v/>
      </c>
      <c r="AA71" s="222">
        <f>MAX($C$50,$D50*AA$65+$E50)</f>
        <v/>
      </c>
      <c r="AB71" s="222">
        <f>MAX($C$50,$D50*AB$65+$E50)</f>
        <v/>
      </c>
      <c r="AC71" s="222">
        <f>MAX($C$50,$D50*AC$65+$E50)</f>
        <v/>
      </c>
      <c r="AD71" s="222">
        <f>MAX($C$50,$D50*AD$65+$E50)</f>
        <v/>
      </c>
      <c r="AE71" s="222">
        <f>MAX($C$50,$D50*AE$65+$E50)</f>
        <v/>
      </c>
      <c r="AF71" s="222">
        <f>MAX($C$50,$D50*AF$65+$E50)</f>
        <v/>
      </c>
      <c r="AG71" s="222">
        <f>MAX($C$50,$D50*AG$65+$E50)</f>
        <v/>
      </c>
      <c r="AH71" s="222">
        <f>MAX($C$50,$D50*AH$65+$E50)</f>
        <v/>
      </c>
      <c r="AI71" s="222">
        <f>MAX($C$50,$D50*AI$65+$E50)</f>
        <v/>
      </c>
      <c r="AJ71" s="222">
        <f>MAX($C$50,$D50*AJ$65+$E50)</f>
        <v/>
      </c>
      <c r="AK71" s="222">
        <f>MAX($C$50,$D50*AK$65+$E50)</f>
        <v/>
      </c>
      <c r="AL71" s="222">
        <f>MAX($C$50,$D50*AL$65+$E50)</f>
        <v/>
      </c>
      <c r="AM71" s="222">
        <f>MAX($C$50,$D50*AM$65+$E50)</f>
        <v/>
      </c>
      <c r="AN71" s="222">
        <f>MAX($C$50,$D50*AN$65+$E50)</f>
        <v/>
      </c>
      <c r="AO71" s="222">
        <f>MAX($C$50,$D50*AO$65+$E50)</f>
        <v/>
      </c>
      <c r="AP71" s="222">
        <f>MAX($C$50,$D50*AP$65+$E50)</f>
        <v/>
      </c>
      <c r="AQ71" s="222">
        <f>MAX($C$50,$D50*AQ$65+$E50)</f>
        <v/>
      </c>
      <c r="AR71" s="222">
        <f>MAX($C$50,$D50*AR$65+$E50)</f>
        <v/>
      </c>
      <c r="AS71" s="222">
        <f>MAX($C$50,$D50*AS$65+$E50)</f>
        <v/>
      </c>
      <c r="AT71" s="222">
        <f>MAX($C$50,$D50*AT$65+$E50)</f>
        <v/>
      </c>
    </row>
    <row r="72">
      <c r="A72" s="219" t="inlineStr">
        <is>
          <t xml:space="preserve">  의원급 환자비율 (분기) [실측HIRA / 미래는 최근8개분기선형추세]</t>
        </is>
      </c>
      <c r="B72" s="243">
        <f>원자료_분기실측!B8/B66</f>
        <v/>
      </c>
      <c r="C72" s="243">
        <f>원자료_분기실측!C8/C66</f>
        <v/>
      </c>
      <c r="D72" s="243">
        <f>원자료_분기실측!D8/D66</f>
        <v/>
      </c>
      <c r="E72" s="243">
        <f>원자료_분기실측!E8/E66</f>
        <v/>
      </c>
      <c r="F72" s="243">
        <f>원자료_분기실측!F8/F66</f>
        <v/>
      </c>
      <c r="G72" s="243">
        <f>원자료_분기실측!G8/G66</f>
        <v/>
      </c>
      <c r="H72" s="243">
        <f>원자료_분기실측!H8/H66</f>
        <v/>
      </c>
      <c r="I72" s="243">
        <f>원자료_분기실측!I8/I66</f>
        <v/>
      </c>
      <c r="J72" s="243">
        <f>원자료_분기실측!J8/J66</f>
        <v/>
      </c>
      <c r="K72" s="244">
        <f>원자료_분기실측!K8/K66</f>
        <v/>
      </c>
      <c r="L72" s="243">
        <f>원자료_분기실측!L8/L66</f>
        <v/>
      </c>
      <c r="M72" s="243">
        <f>원자료_분기실측!M8/M66</f>
        <v/>
      </c>
      <c r="N72" s="243">
        <f>원자료_분기실측!N8/N66</f>
        <v/>
      </c>
      <c r="O72" s="243">
        <f>원자료_분기실측!O8/O66</f>
        <v/>
      </c>
      <c r="P72" s="243">
        <f>원자료_분기실측!P8/P66</f>
        <v/>
      </c>
      <c r="Q72" s="243">
        <f>원자료_분기실측!Q8/Q66</f>
        <v/>
      </c>
      <c r="R72" s="243">
        <f>원자료_분기실측!R8/R66</f>
        <v/>
      </c>
      <c r="S72" s="243">
        <f>원자료_분기실측!S8/S66</f>
        <v/>
      </c>
      <c r="T72" s="243">
        <f>원자료_분기실측!T8/T66</f>
        <v/>
      </c>
      <c r="U72" s="243">
        <f>원자료_분기실측!U8/U66</f>
        <v/>
      </c>
      <c r="V72" s="243">
        <f>원자료_분기실측!V8/V66</f>
        <v/>
      </c>
      <c r="W72" s="243">
        <f>원자료_분기실측!W8/W66</f>
        <v/>
      </c>
      <c r="X72" s="243">
        <f>원자료_분기실측!X8/X66</f>
        <v/>
      </c>
      <c r="Y72" s="243">
        <f>원자료_분기실측!Y8/Y66</f>
        <v/>
      </c>
      <c r="Z72" s="222">
        <f>$C$51/(1+EXP(-(LN($Y$72/($C$51-$Y$72))+$F$51*(Z65-$Y$65))))</f>
        <v/>
      </c>
      <c r="AA72" s="222">
        <f>$C$51/(1+EXP(-(LN($Y$72/($C$51-$Y$72))+$F$51*(AA65-$Y$65))))</f>
        <v/>
      </c>
      <c r="AB72" s="222">
        <f>$C$51/(1+EXP(-(LN($Y$72/($C$51-$Y$72))+$F$51*(AB65-$Y$65))))</f>
        <v/>
      </c>
      <c r="AC72" s="222">
        <f>$C$51/(1+EXP(-(LN($Y$72/($C$51-$Y$72))+$F$51*(AC65-$Y$65))))</f>
        <v/>
      </c>
      <c r="AD72" s="222">
        <f>$C$51/(1+EXP(-(LN($Y$72/($C$51-$Y$72))+$F$51*(AD65-$Y$65))))</f>
        <v/>
      </c>
      <c r="AE72" s="222">
        <f>$C$51/(1+EXP(-(LN($Y$72/($C$51-$Y$72))+$F$51*(AE65-$Y$65))))</f>
        <v/>
      </c>
      <c r="AF72" s="222">
        <f>$C$51/(1+EXP(-(LN($Y$72/($C$51-$Y$72))+$F$51*(AF65-$Y$65))))</f>
        <v/>
      </c>
      <c r="AG72" s="222">
        <f>$C$51/(1+EXP(-(LN($Y$72/($C$51-$Y$72))+$F$51*(AG65-$Y$65))))</f>
        <v/>
      </c>
      <c r="AH72" s="222">
        <f>$C$51/(1+EXP(-(LN($Y$72/($C$51-$Y$72))+$F$51*(AH65-$Y$65))))</f>
        <v/>
      </c>
      <c r="AI72" s="222">
        <f>$C$51/(1+EXP(-(LN($Y$72/($C$51-$Y$72))+$F$51*(AI65-$Y$65))))</f>
        <v/>
      </c>
      <c r="AJ72" s="222">
        <f>$C$51/(1+EXP(-(LN($Y$72/($C$51-$Y$72))+$F$51*(AJ65-$Y$65))))</f>
        <v/>
      </c>
      <c r="AK72" s="222">
        <f>$C$51/(1+EXP(-(LN($Y$72/($C$51-$Y$72))+$F$51*(AK65-$Y$65))))</f>
        <v/>
      </c>
      <c r="AL72" s="222">
        <f>$C$51/(1+EXP(-(LN($Y$72/($C$51-$Y$72))+$F$51*(AL65-$Y$65))))</f>
        <v/>
      </c>
      <c r="AM72" s="222">
        <f>$C$51/(1+EXP(-(LN($Y$72/($C$51-$Y$72))+$F$51*(AM65-$Y$65))))</f>
        <v/>
      </c>
      <c r="AN72" s="222">
        <f>$C$51/(1+EXP(-(LN($Y$72/($C$51-$Y$72))+$F$51*(AN65-$Y$65))))</f>
        <v/>
      </c>
      <c r="AO72" s="222">
        <f>$C$51/(1+EXP(-(LN($Y$72/($C$51-$Y$72))+$F$51*(AO65-$Y$65))))</f>
        <v/>
      </c>
      <c r="AP72" s="222">
        <f>$C$51/(1+EXP(-(LN($Y$72/($C$51-$Y$72))+$F$51*(AP65-$Y$65))))</f>
        <v/>
      </c>
      <c r="AQ72" s="222">
        <f>$C$51/(1+EXP(-(LN($Y$72/($C$51-$Y$72))+$F$51*(AQ65-$Y$65))))</f>
        <v/>
      </c>
      <c r="AR72" s="222">
        <f>$C$51/(1+EXP(-(LN($Y$72/($C$51-$Y$72))+$F$51*(AR65-$Y$65))))</f>
        <v/>
      </c>
      <c r="AS72" s="222">
        <f>$C$51/(1+EXP(-(LN($Y$72/($C$51-$Y$72))+$F$51*(AS65-$Y$65))))</f>
        <v/>
      </c>
      <c r="AT72" s="222">
        <f>$C$51/(1+EXP(-(LN($Y$72/($C$51-$Y$72))+$F$51*(AT65-$Y$65))))</f>
        <v/>
      </c>
    </row>
    <row r="73">
      <c r="A73" s="185" t="inlineStr">
        <is>
          <t>[의원급 S-curve 로짓변환]</t>
        </is>
      </c>
      <c r="B73" s="219" t="n"/>
      <c r="S73" s="219">
        <f>LN(S72/($C$51-S72))</f>
        <v/>
      </c>
      <c r="T73" s="219">
        <f>LN(T72/($C$51-T72))</f>
        <v/>
      </c>
      <c r="U73" s="219">
        <f>LN(U72/($C$51-U72))</f>
        <v/>
      </c>
      <c r="V73" s="219">
        <f>LN(V72/($C$51-V72))</f>
        <v/>
      </c>
      <c r="W73" s="219">
        <f>LN(W72/($C$51-W72))</f>
        <v/>
      </c>
      <c r="X73" s="219">
        <f>LN(X72/($C$51-X72))</f>
        <v/>
      </c>
      <c r="Y73" s="219">
        <f>LN(Y72/($C$51-Y72))</f>
        <v/>
      </c>
    </row>
    <row r="74">
      <c r="A74" s="185" t="n"/>
      <c r="B74" s="219" t="n"/>
      <c r="S74" s="219" t="n"/>
      <c r="T74" s="219" t="n"/>
      <c r="U74" s="219" t="n"/>
      <c r="V74" s="219" t="n"/>
    </row>
    <row r="75">
      <c r="A75" t="inlineStr">
        <is>
          <t>[정규화 후]</t>
        </is>
      </c>
      <c r="Z75" s="246" t="n"/>
      <c r="AA75" s="246" t="n"/>
      <c r="AB75" s="246" t="n"/>
      <c r="AC75" s="246" t="n"/>
      <c r="AD75" s="246" t="n"/>
      <c r="AE75" s="246" t="n"/>
      <c r="AF75" s="246" t="n"/>
      <c r="AG75" s="246" t="n"/>
      <c r="AH75" s="246" t="n"/>
      <c r="AI75" s="246" t="n"/>
      <c r="AJ75" s="246" t="n"/>
      <c r="AK75" s="246" t="n"/>
      <c r="AL75" s="246" t="n"/>
      <c r="AM75" s="246" t="n"/>
      <c r="AN75" s="246" t="n"/>
      <c r="AO75" s="246" t="n"/>
      <c r="AP75" s="246" t="n"/>
      <c r="AQ75" s="246" t="n"/>
      <c r="AR75" s="246" t="n"/>
      <c r="AS75" s="246" t="n"/>
      <c r="AT75" s="246" t="n"/>
    </row>
    <row r="76">
      <c r="A76" s="219" t="inlineStr">
        <is>
          <t xml:space="preserve">  상급종합병원 환자비율 (분기) [실측HIRA / 미래는 최근4개분기평균]</t>
        </is>
      </c>
      <c r="B76" s="243" t="n"/>
      <c r="C76" s="243" t="n"/>
      <c r="D76" s="243" t="n"/>
      <c r="E76" s="243" t="n"/>
      <c r="F76" s="243" t="n"/>
      <c r="G76" s="243" t="n"/>
      <c r="H76" s="243" t="n"/>
      <c r="I76" s="243" t="n"/>
      <c r="J76" s="243" t="n"/>
      <c r="K76" s="244" t="n"/>
      <c r="L76" s="243" t="n"/>
      <c r="M76" s="243" t="n"/>
      <c r="N76" s="243" t="n"/>
      <c r="O76" s="243" t="n"/>
      <c r="P76" s="243" t="n"/>
      <c r="Q76" s="243" t="n"/>
      <c r="R76" s="243" t="n"/>
      <c r="S76" s="245" t="n"/>
      <c r="T76" s="243" t="n"/>
      <c r="U76" s="243" t="n"/>
      <c r="V76" s="243" t="n"/>
      <c r="W76" s="243" t="n"/>
      <c r="X76" s="243" t="n"/>
      <c r="Y76" s="243" t="n"/>
      <c r="Z76" s="222">
        <f>Z69/SUM(Z$69:Z$72)</f>
        <v/>
      </c>
      <c r="AA76" s="222">
        <f>AA69/SUM(AA$69:AA$72)</f>
        <v/>
      </c>
      <c r="AB76" s="222">
        <f>AB69/SUM(AB$69:AB$72)</f>
        <v/>
      </c>
      <c r="AC76" s="222">
        <f>AC69/SUM(AC$69:AC$72)</f>
        <v/>
      </c>
      <c r="AD76" s="222">
        <f>AD69/SUM(AD$69:AD$72)</f>
        <v/>
      </c>
      <c r="AE76" s="222">
        <f>AE69/SUM(AE$69:AE$72)</f>
        <v/>
      </c>
      <c r="AF76" s="222">
        <f>AF69/SUM(AF$69:AF$72)</f>
        <v/>
      </c>
      <c r="AG76" s="222">
        <f>AG69/SUM(AG$69:AG$72)</f>
        <v/>
      </c>
      <c r="AH76" s="222">
        <f>AH69/SUM(AH$69:AH$72)</f>
        <v/>
      </c>
      <c r="AI76" s="222">
        <f>AI69/SUM(AI$69:AI$72)</f>
        <v/>
      </c>
      <c r="AJ76" s="222">
        <f>AJ69/SUM(AJ$69:AJ$72)</f>
        <v/>
      </c>
      <c r="AK76" s="222">
        <f>AK69/SUM(AK$69:AK$72)</f>
        <v/>
      </c>
      <c r="AL76" s="222">
        <f>AL69/SUM(AL$69:AL$72)</f>
        <v/>
      </c>
      <c r="AM76" s="222">
        <f>AM69/SUM(AM$69:AM$72)</f>
        <v/>
      </c>
      <c r="AN76" s="222">
        <f>AN69/SUM(AN$69:AN$72)</f>
        <v/>
      </c>
      <c r="AO76" s="222">
        <f>AO69/SUM(AO$69:AO$72)</f>
        <v/>
      </c>
      <c r="AP76" s="222">
        <f>AP69/SUM(AP$69:AP$72)</f>
        <v/>
      </c>
      <c r="AQ76" s="222">
        <f>AQ69/SUM(AQ$69:AQ$72)</f>
        <v/>
      </c>
      <c r="AR76" s="222">
        <f>AR69/SUM(AR$69:AR$72)</f>
        <v/>
      </c>
      <c r="AS76" s="222">
        <f>AS69/SUM(AS$69:AS$72)</f>
        <v/>
      </c>
      <c r="AT76" s="222">
        <f>AT69/SUM(AT$69:AT$72)</f>
        <v/>
      </c>
    </row>
    <row r="77">
      <c r="A77" s="219" t="inlineStr">
        <is>
          <t xml:space="preserve">  종합병원 환자비율 (분기) [실측HIRA / 미래는 최근4개분기평균]</t>
        </is>
      </c>
      <c r="B77" s="243" t="n"/>
      <c r="C77" s="243" t="n"/>
      <c r="D77" s="243" t="n"/>
      <c r="E77" s="243" t="n"/>
      <c r="F77" s="243" t="n"/>
      <c r="G77" s="243" t="n"/>
      <c r="H77" s="243" t="n"/>
      <c r="I77" s="243" t="n"/>
      <c r="J77" s="243" t="n"/>
      <c r="K77" s="244" t="n"/>
      <c r="L77" s="243" t="n"/>
      <c r="M77" s="243" t="n"/>
      <c r="N77" s="243" t="n"/>
      <c r="O77" s="243" t="n"/>
      <c r="P77" s="243" t="n"/>
      <c r="Q77" s="243" t="n"/>
      <c r="R77" s="243" t="n"/>
      <c r="S77" s="243" t="n"/>
      <c r="T77" s="243" t="n"/>
      <c r="U77" s="243" t="n"/>
      <c r="V77" s="243" t="n"/>
      <c r="W77" s="243" t="n"/>
      <c r="X77" s="243" t="n"/>
      <c r="Y77" s="243" t="n"/>
      <c r="Z77" s="222">
        <f>Z70/SUM(Z$69:Z$72)</f>
        <v/>
      </c>
      <c r="AA77" s="222">
        <f>AA70/SUM(AA$69:AA$72)</f>
        <v/>
      </c>
      <c r="AB77" s="222">
        <f>AB70/SUM(AB$69:AB$72)</f>
        <v/>
      </c>
      <c r="AC77" s="222">
        <f>AC70/SUM(AC$69:AC$72)</f>
        <v/>
      </c>
      <c r="AD77" s="222">
        <f>AD70/SUM(AD$69:AD$72)</f>
        <v/>
      </c>
      <c r="AE77" s="222">
        <f>AE70/SUM(AE$69:AE$72)</f>
        <v/>
      </c>
      <c r="AF77" s="222">
        <f>AF70/SUM(AF$69:AF$72)</f>
        <v/>
      </c>
      <c r="AG77" s="222">
        <f>AG70/SUM(AG$69:AG$72)</f>
        <v/>
      </c>
      <c r="AH77" s="222">
        <f>AH70/SUM(AH$69:AH$72)</f>
        <v/>
      </c>
      <c r="AI77" s="222">
        <f>AI70/SUM(AI$69:AI$72)</f>
        <v/>
      </c>
      <c r="AJ77" s="222">
        <f>AJ70/SUM(AJ$69:AJ$72)</f>
        <v/>
      </c>
      <c r="AK77" s="222">
        <f>AK70/SUM(AK$69:AK$72)</f>
        <v/>
      </c>
      <c r="AL77" s="222">
        <f>AL70/SUM(AL$69:AL$72)</f>
        <v/>
      </c>
      <c r="AM77" s="222">
        <f>AM70/SUM(AM$69:AM$72)</f>
        <v/>
      </c>
      <c r="AN77" s="222">
        <f>AN70/SUM(AN$69:AN$72)</f>
        <v/>
      </c>
      <c r="AO77" s="222">
        <f>AO70/SUM(AO$69:AO$72)</f>
        <v/>
      </c>
      <c r="AP77" s="222">
        <f>AP70/SUM(AP$69:AP$72)</f>
        <v/>
      </c>
      <c r="AQ77" s="222">
        <f>AQ70/SUM(AQ$69:AQ$72)</f>
        <v/>
      </c>
      <c r="AR77" s="222">
        <f>AR70/SUM(AR$69:AR$72)</f>
        <v/>
      </c>
      <c r="AS77" s="222">
        <f>AS70/SUM(AS$69:AS$72)</f>
        <v/>
      </c>
      <c r="AT77" s="222">
        <f>AT70/SUM(AT$69:AT$72)</f>
        <v/>
      </c>
    </row>
    <row r="78">
      <c r="A78" s="219" t="inlineStr">
        <is>
          <t xml:space="preserve">  병원급 환자비율 (분기) [실측HIRA / 미래는 최근4개분기평균]</t>
        </is>
      </c>
      <c r="B78" s="243" t="n"/>
      <c r="C78" s="243" t="n"/>
      <c r="D78" s="243" t="n"/>
      <c r="E78" s="243" t="n"/>
      <c r="F78" s="243" t="n"/>
      <c r="G78" s="243" t="n"/>
      <c r="H78" s="243" t="n"/>
      <c r="I78" s="243" t="n"/>
      <c r="J78" s="243" t="n"/>
      <c r="K78" s="244" t="n"/>
      <c r="L78" s="243" t="n"/>
      <c r="M78" s="243" t="n"/>
      <c r="N78" s="243" t="n"/>
      <c r="O78" s="243" t="n"/>
      <c r="P78" s="243" t="n"/>
      <c r="Q78" s="243" t="n"/>
      <c r="R78" s="243" t="n"/>
      <c r="S78" s="243" t="n"/>
      <c r="T78" s="243" t="n"/>
      <c r="U78" s="243" t="n"/>
      <c r="V78" s="243" t="n"/>
      <c r="W78" s="243" t="n"/>
      <c r="X78" s="243" t="n"/>
      <c r="Y78" s="243" t="n"/>
      <c r="Z78" s="222">
        <f>Z71/SUM(Z$69:Z$72)</f>
        <v/>
      </c>
      <c r="AA78" s="222">
        <f>AA71/SUM(AA$69:AA$72)</f>
        <v/>
      </c>
      <c r="AB78" s="222">
        <f>AB71/SUM(AB$69:AB$72)</f>
        <v/>
      </c>
      <c r="AC78" s="222">
        <f>AC71/SUM(AC$69:AC$72)</f>
        <v/>
      </c>
      <c r="AD78" s="222">
        <f>AD71/SUM(AD$69:AD$72)</f>
        <v/>
      </c>
      <c r="AE78" s="222">
        <f>AE71/SUM(AE$69:AE$72)</f>
        <v/>
      </c>
      <c r="AF78" s="222">
        <f>AF71/SUM(AF$69:AF$72)</f>
        <v/>
      </c>
      <c r="AG78" s="222">
        <f>AG71/SUM(AG$69:AG$72)</f>
        <v/>
      </c>
      <c r="AH78" s="222">
        <f>AH71/SUM(AH$69:AH$72)</f>
        <v/>
      </c>
      <c r="AI78" s="222">
        <f>AI71/SUM(AI$69:AI$72)</f>
        <v/>
      </c>
      <c r="AJ78" s="222">
        <f>AJ71/SUM(AJ$69:AJ$72)</f>
        <v/>
      </c>
      <c r="AK78" s="222">
        <f>AK71/SUM(AK$69:AK$72)</f>
        <v/>
      </c>
      <c r="AL78" s="222">
        <f>AL71/SUM(AL$69:AL$72)</f>
        <v/>
      </c>
      <c r="AM78" s="222">
        <f>AM71/SUM(AM$69:AM$72)</f>
        <v/>
      </c>
      <c r="AN78" s="222">
        <f>AN71/SUM(AN$69:AN$72)</f>
        <v/>
      </c>
      <c r="AO78" s="222">
        <f>AO71/SUM(AO$69:AO$72)</f>
        <v/>
      </c>
      <c r="AP78" s="222">
        <f>AP71/SUM(AP$69:AP$72)</f>
        <v/>
      </c>
      <c r="AQ78" s="222">
        <f>AQ71/SUM(AQ$69:AQ$72)</f>
        <v/>
      </c>
      <c r="AR78" s="222">
        <f>AR71/SUM(AR$69:AR$72)</f>
        <v/>
      </c>
      <c r="AS78" s="222">
        <f>AS71/SUM(AS$69:AS$72)</f>
        <v/>
      </c>
      <c r="AT78" s="222">
        <f>AT71/SUM(AT$69:AT$72)</f>
        <v/>
      </c>
    </row>
    <row r="79">
      <c r="A79" s="219" t="inlineStr">
        <is>
          <t xml:space="preserve">  의원급 환자비율 (분기) [실측HIRA / 미래는 최근8개분기선형추세]</t>
        </is>
      </c>
      <c r="B79" s="243" t="n"/>
      <c r="C79" s="243" t="n"/>
      <c r="D79" s="243" t="n"/>
      <c r="E79" s="243" t="n"/>
      <c r="F79" s="243" t="n"/>
      <c r="G79" s="243" t="n"/>
      <c r="H79" s="243" t="n"/>
      <c r="I79" s="243" t="n"/>
      <c r="J79" s="243" t="n"/>
      <c r="K79" s="244" t="n"/>
      <c r="L79" s="243" t="n"/>
      <c r="M79" s="243" t="n"/>
      <c r="N79" s="243" t="n"/>
      <c r="O79" s="243" t="n"/>
      <c r="P79" s="243" t="n"/>
      <c r="Q79" s="243" t="n"/>
      <c r="R79" s="243" t="n"/>
      <c r="S79" s="243" t="n"/>
      <c r="T79" s="243" t="n"/>
      <c r="U79" s="243" t="n"/>
      <c r="V79" s="243" t="n"/>
      <c r="W79" s="243" t="n"/>
      <c r="X79" s="243" t="n"/>
      <c r="Y79" s="243" t="n"/>
      <c r="Z79" s="222">
        <f>Z72/SUM(Z$69:Z$72)</f>
        <v/>
      </c>
      <c r="AA79" s="222">
        <f>AA72/SUM(AA$69:AA$72)</f>
        <v/>
      </c>
      <c r="AB79" s="222">
        <f>AB72/SUM(AB$69:AB$72)</f>
        <v/>
      </c>
      <c r="AC79" s="222">
        <f>AC72/SUM(AC$69:AC$72)</f>
        <v/>
      </c>
      <c r="AD79" s="222">
        <f>AD72/SUM(AD$69:AD$72)</f>
        <v/>
      </c>
      <c r="AE79" s="222">
        <f>AE72/SUM(AE$69:AE$72)</f>
        <v/>
      </c>
      <c r="AF79" s="222">
        <f>AF72/SUM(AF$69:AF$72)</f>
        <v/>
      </c>
      <c r="AG79" s="222">
        <f>AG72/SUM(AG$69:AG$72)</f>
        <v/>
      </c>
      <c r="AH79" s="222">
        <f>AH72/SUM(AH$69:AH$72)</f>
        <v/>
      </c>
      <c r="AI79" s="222">
        <f>AI72/SUM(AI$69:AI$72)</f>
        <v/>
      </c>
      <c r="AJ79" s="222">
        <f>AJ72/SUM(AJ$69:AJ$72)</f>
        <v/>
      </c>
      <c r="AK79" s="222">
        <f>AK72/SUM(AK$69:AK$72)</f>
        <v/>
      </c>
      <c r="AL79" s="222">
        <f>AL72/SUM(AL$69:AL$72)</f>
        <v/>
      </c>
      <c r="AM79" s="222">
        <f>AM72/SUM(AM$69:AM$72)</f>
        <v/>
      </c>
      <c r="AN79" s="222">
        <f>AN72/SUM(AN$69:AN$72)</f>
        <v/>
      </c>
      <c r="AO79" s="222">
        <f>AO72/SUM(AO$69:AO$72)</f>
        <v/>
      </c>
      <c r="AP79" s="222">
        <f>AP72/SUM(AP$69:AP$72)</f>
        <v/>
      </c>
      <c r="AQ79" s="222">
        <f>AQ72/SUM(AQ$69:AQ$72)</f>
        <v/>
      </c>
      <c r="AR79" s="222">
        <f>AR72/SUM(AR$69:AR$72)</f>
        <v/>
      </c>
      <c r="AS79" s="222">
        <f>AS72/SUM(AS$69:AS$72)</f>
        <v/>
      </c>
      <c r="AT79" s="222">
        <f>AT72/SUM(AT$69:AT$72)</f>
        <v/>
      </c>
    </row>
    <row r="80">
      <c r="Z80" s="246">
        <f>SUM(Z76:Z79)</f>
        <v/>
      </c>
      <c r="AA80" s="246">
        <f>SUM(AA76:AA79)</f>
        <v/>
      </c>
      <c r="AB80" s="246">
        <f>SUM(AB76:AB79)</f>
        <v/>
      </c>
      <c r="AC80" s="246">
        <f>SUM(AC76:AC79)</f>
        <v/>
      </c>
      <c r="AD80" s="246">
        <f>SUM(AD76:AD79)</f>
        <v/>
      </c>
      <c r="AE80" s="246">
        <f>SUM(AE76:AE79)</f>
        <v/>
      </c>
      <c r="AF80" s="246">
        <f>SUM(AF76:AF79)</f>
        <v/>
      </c>
      <c r="AG80" s="246">
        <f>SUM(AG76:AG79)</f>
        <v/>
      </c>
      <c r="AH80" s="246">
        <f>SUM(AH76:AH79)</f>
        <v/>
      </c>
      <c r="AI80" s="246">
        <f>SUM(AI76:AI79)</f>
        <v/>
      </c>
      <c r="AJ80" s="246">
        <f>SUM(AJ76:AJ79)</f>
        <v/>
      </c>
      <c r="AK80" s="246">
        <f>SUM(AK76:AK79)</f>
        <v/>
      </c>
      <c r="AL80" s="246">
        <f>SUM(AL76:AL79)</f>
        <v/>
      </c>
      <c r="AM80" s="246">
        <f>SUM(AM76:AM79)</f>
        <v/>
      </c>
      <c r="AN80" s="246">
        <f>SUM(AN76:AN79)</f>
        <v/>
      </c>
      <c r="AO80" s="246">
        <f>SUM(AO76:AO79)</f>
        <v/>
      </c>
      <c r="AP80" s="246">
        <f>SUM(AP76:AP79)</f>
        <v/>
      </c>
      <c r="AQ80" s="246">
        <f>SUM(AQ76:AQ79)</f>
        <v/>
      </c>
      <c r="AR80" s="246">
        <f>SUM(AR76:AR79)</f>
        <v/>
      </c>
      <c r="AS80" s="246">
        <f>SUM(AS76:AS79)</f>
        <v/>
      </c>
      <c r="AT80" s="246">
        <f>SUM(AT76:AT79)</f>
        <v/>
      </c>
    </row>
    <row r="81">
      <c r="A81" s="219" t="inlineStr">
        <is>
          <t xml:space="preserve">  상급종합병원 전신마취환자수 (분기) = 실측 OR (전체환자수×B)</t>
        </is>
      </c>
      <c r="B81" s="208">
        <f>원자료_분기실측!B5</f>
        <v/>
      </c>
      <c r="C81" s="208">
        <f>원자료_분기실측!C5</f>
        <v/>
      </c>
      <c r="D81" s="208">
        <f>원자료_분기실측!D5</f>
        <v/>
      </c>
      <c r="E81" s="208">
        <f>원자료_분기실측!E5</f>
        <v/>
      </c>
      <c r="F81" s="208">
        <f>원자료_분기실측!F5</f>
        <v/>
      </c>
      <c r="G81" s="208">
        <f>원자료_분기실측!G5</f>
        <v/>
      </c>
      <c r="H81" s="208">
        <f>원자료_분기실측!H5</f>
        <v/>
      </c>
      <c r="I81" s="208">
        <f>원자료_분기실측!I5</f>
        <v/>
      </c>
      <c r="J81" s="208">
        <f>원자료_분기실측!J5</f>
        <v/>
      </c>
      <c r="K81" s="208">
        <f>원자료_분기실측!K5</f>
        <v/>
      </c>
      <c r="L81" s="208">
        <f>원자료_분기실측!L5</f>
        <v/>
      </c>
      <c r="M81" s="208">
        <f>원자료_분기실측!M5</f>
        <v/>
      </c>
      <c r="N81" s="208">
        <f>원자료_분기실측!N5</f>
        <v/>
      </c>
      <c r="O81" s="208">
        <f>원자료_분기실측!O5</f>
        <v/>
      </c>
      <c r="P81" s="208">
        <f>원자료_분기실측!P5</f>
        <v/>
      </c>
      <c r="Q81" s="208">
        <f>원자료_분기실측!Q5</f>
        <v/>
      </c>
      <c r="R81" s="208">
        <f>원자료_분기실측!R5</f>
        <v/>
      </c>
      <c r="S81" s="208">
        <f>원자료_분기실측!S5</f>
        <v/>
      </c>
      <c r="T81" s="208">
        <f>원자료_분기실측!T5</f>
        <v/>
      </c>
      <c r="U81" s="208">
        <f>원자료_분기실측!U5</f>
        <v/>
      </c>
      <c r="V81" s="208">
        <f>원자료_분기실측!V5</f>
        <v/>
      </c>
      <c r="W81" s="208">
        <f>원자료_분기실측!W5</f>
        <v/>
      </c>
      <c r="X81" s="208">
        <f>원자료_분기실측!X5</f>
        <v/>
      </c>
      <c r="Y81" s="208">
        <f>원자료_분기실측!Y5</f>
        <v/>
      </c>
      <c r="Z81" s="247">
        <f>Z$66*Z76</f>
        <v/>
      </c>
      <c r="AA81" s="247">
        <f>AA$66*AA76</f>
        <v/>
      </c>
      <c r="AB81" s="247">
        <f>AB$66*AB76</f>
        <v/>
      </c>
      <c r="AC81" s="247">
        <f>AC$66*AC76</f>
        <v/>
      </c>
      <c r="AD81" s="247">
        <f>AD$66*AD76</f>
        <v/>
      </c>
      <c r="AE81" s="247">
        <f>AE$66*AE76</f>
        <v/>
      </c>
      <c r="AF81" s="247">
        <f>AF$66*AF76</f>
        <v/>
      </c>
      <c r="AG81" s="247">
        <f>AG$66*AG76</f>
        <v/>
      </c>
      <c r="AH81" s="247">
        <f>AH$66*AH76</f>
        <v/>
      </c>
      <c r="AI81" s="247">
        <f>AI$66*AI76</f>
        <v/>
      </c>
      <c r="AJ81" s="247">
        <f>AJ$66*AJ76</f>
        <v/>
      </c>
      <c r="AK81" s="247">
        <f>AK$66*AK76</f>
        <v/>
      </c>
      <c r="AL81" s="247">
        <f>AL$66*AL76</f>
        <v/>
      </c>
      <c r="AM81" s="247">
        <f>AM$66*AM76</f>
        <v/>
      </c>
      <c r="AN81" s="247">
        <f>AN$66*AN76</f>
        <v/>
      </c>
      <c r="AO81" s="247">
        <f>AO$66*AO76</f>
        <v/>
      </c>
      <c r="AP81" s="247">
        <f>AP$66*AP76</f>
        <v/>
      </c>
      <c r="AQ81" s="247">
        <f>AQ$66*AQ76</f>
        <v/>
      </c>
      <c r="AR81" s="247">
        <f>AR$66*AR76</f>
        <v/>
      </c>
      <c r="AS81" s="247">
        <f>AS$66*AS76</f>
        <v/>
      </c>
      <c r="AT81" s="247">
        <f>AT$66*AT76</f>
        <v/>
      </c>
    </row>
    <row r="82">
      <c r="A82" s="219" t="inlineStr">
        <is>
          <t xml:space="preserve">  종합병원 전신마취환자수 (분기) = 실측 OR 전체환자수×B</t>
        </is>
      </c>
      <c r="B82" s="208">
        <f>원자료_분기실측!B6</f>
        <v/>
      </c>
      <c r="C82" s="208">
        <f>원자료_분기실측!C6</f>
        <v/>
      </c>
      <c r="D82" s="208">
        <f>원자료_분기실측!D6</f>
        <v/>
      </c>
      <c r="E82" s="208">
        <f>원자료_분기실측!E6</f>
        <v/>
      </c>
      <c r="F82" s="208">
        <f>원자료_분기실측!F6</f>
        <v/>
      </c>
      <c r="G82" s="208">
        <f>원자료_분기실측!G6</f>
        <v/>
      </c>
      <c r="H82" s="208">
        <f>원자료_분기실측!H6</f>
        <v/>
      </c>
      <c r="I82" s="208">
        <f>원자료_분기실측!I6</f>
        <v/>
      </c>
      <c r="J82" s="208">
        <f>원자료_분기실측!J6</f>
        <v/>
      </c>
      <c r="K82" s="208">
        <f>원자료_분기실측!K6</f>
        <v/>
      </c>
      <c r="L82" s="208">
        <f>원자료_분기실측!L6</f>
        <v/>
      </c>
      <c r="M82" s="208">
        <f>원자료_분기실측!M6</f>
        <v/>
      </c>
      <c r="N82" s="208">
        <f>원자료_분기실측!N6</f>
        <v/>
      </c>
      <c r="O82" s="208">
        <f>원자료_분기실측!O6</f>
        <v/>
      </c>
      <c r="P82" s="208">
        <f>원자료_분기실측!P6</f>
        <v/>
      </c>
      <c r="Q82" s="208">
        <f>원자료_분기실측!Q6</f>
        <v/>
      </c>
      <c r="R82" s="208">
        <f>원자료_분기실측!R6</f>
        <v/>
      </c>
      <c r="S82" s="208">
        <f>원자료_분기실측!S6</f>
        <v/>
      </c>
      <c r="T82" s="208">
        <f>원자료_분기실측!T6</f>
        <v/>
      </c>
      <c r="U82" s="208">
        <f>원자료_분기실측!U6</f>
        <v/>
      </c>
      <c r="V82" s="208">
        <f>원자료_분기실측!V6</f>
        <v/>
      </c>
      <c r="W82" s="208">
        <f>원자료_분기실측!W6</f>
        <v/>
      </c>
      <c r="X82" s="208">
        <f>원자료_분기실측!X6</f>
        <v/>
      </c>
      <c r="Y82" s="208">
        <f>원자료_분기실측!Y6</f>
        <v/>
      </c>
      <c r="Z82" s="247">
        <f>Z$66*Z77</f>
        <v/>
      </c>
      <c r="AA82" s="247">
        <f>AA$66*AA77</f>
        <v/>
      </c>
      <c r="AB82" s="247">
        <f>AB$66*AB77</f>
        <v/>
      </c>
      <c r="AC82" s="247">
        <f>AC$66*AC77</f>
        <v/>
      </c>
      <c r="AD82" s="247">
        <f>AD$66*AD77</f>
        <v/>
      </c>
      <c r="AE82" s="247">
        <f>AE$66*AE77</f>
        <v/>
      </c>
      <c r="AF82" s="247">
        <f>AF$66*AF77</f>
        <v/>
      </c>
      <c r="AG82" s="247">
        <f>AG$66*AG77</f>
        <v/>
      </c>
      <c r="AH82" s="247">
        <f>AH$66*AH77</f>
        <v/>
      </c>
      <c r="AI82" s="247">
        <f>AI$66*AI77</f>
        <v/>
      </c>
      <c r="AJ82" s="247">
        <f>AJ$66*AJ77</f>
        <v/>
      </c>
      <c r="AK82" s="247">
        <f>AK$66*AK77</f>
        <v/>
      </c>
      <c r="AL82" s="247">
        <f>AL$66*AL77</f>
        <v/>
      </c>
      <c r="AM82" s="247">
        <f>AM$66*AM77</f>
        <v/>
      </c>
      <c r="AN82" s="247">
        <f>AN$66*AN77</f>
        <v/>
      </c>
      <c r="AO82" s="247">
        <f>AO$66*AO77</f>
        <v/>
      </c>
      <c r="AP82" s="247">
        <f>AP$66*AP77</f>
        <v/>
      </c>
      <c r="AQ82" s="247">
        <f>AQ$66*AQ77</f>
        <v/>
      </c>
      <c r="AR82" s="247">
        <f>AR$66*AR77</f>
        <v/>
      </c>
      <c r="AS82" s="247">
        <f>AS$66*AS77</f>
        <v/>
      </c>
      <c r="AT82" s="247">
        <f>AT$66*AT77</f>
        <v/>
      </c>
    </row>
    <row r="83">
      <c r="A83" s="219" t="inlineStr">
        <is>
          <t xml:space="preserve">  병원급 전신마취환자수 (분기) = 실측 OR 전체환자수×B</t>
        </is>
      </c>
      <c r="B83" s="208">
        <f>원자료_분기실측!B7</f>
        <v/>
      </c>
      <c r="C83" s="208">
        <f>원자료_분기실측!C7</f>
        <v/>
      </c>
      <c r="D83" s="208">
        <f>원자료_분기실측!D7</f>
        <v/>
      </c>
      <c r="E83" s="208">
        <f>원자료_분기실측!E7</f>
        <v/>
      </c>
      <c r="F83" s="208">
        <f>원자료_분기실측!F7</f>
        <v/>
      </c>
      <c r="G83" s="208">
        <f>원자료_분기실측!G7</f>
        <v/>
      </c>
      <c r="H83" s="208">
        <f>원자료_분기실측!H7</f>
        <v/>
      </c>
      <c r="I83" s="208">
        <f>원자료_분기실측!I7</f>
        <v/>
      </c>
      <c r="J83" s="208">
        <f>원자료_분기실측!J7</f>
        <v/>
      </c>
      <c r="K83" s="208">
        <f>원자료_분기실측!K7</f>
        <v/>
      </c>
      <c r="L83" s="208">
        <f>원자료_분기실측!L7</f>
        <v/>
      </c>
      <c r="M83" s="208">
        <f>원자료_분기실측!M7</f>
        <v/>
      </c>
      <c r="N83" s="208">
        <f>원자료_분기실측!N7</f>
        <v/>
      </c>
      <c r="O83" s="208">
        <f>원자료_분기실측!O7</f>
        <v/>
      </c>
      <c r="P83" s="208">
        <f>원자료_분기실측!P7</f>
        <v/>
      </c>
      <c r="Q83" s="208">
        <f>원자료_분기실측!Q7</f>
        <v/>
      </c>
      <c r="R83" s="208">
        <f>원자료_분기실측!R7</f>
        <v/>
      </c>
      <c r="S83" s="208">
        <f>원자료_분기실측!S7</f>
        <v/>
      </c>
      <c r="T83" s="208">
        <f>원자료_분기실측!T7</f>
        <v/>
      </c>
      <c r="U83" s="208">
        <f>원자료_분기실측!U7</f>
        <v/>
      </c>
      <c r="V83" s="208">
        <f>원자료_분기실측!V7</f>
        <v/>
      </c>
      <c r="W83" s="208">
        <f>원자료_분기실측!W7</f>
        <v/>
      </c>
      <c r="X83" s="208">
        <f>원자료_분기실측!X7</f>
        <v/>
      </c>
      <c r="Y83" s="208">
        <f>원자료_분기실측!Y7</f>
        <v/>
      </c>
      <c r="Z83" s="247">
        <f>Z$66*Z78</f>
        <v/>
      </c>
      <c r="AA83" s="247">
        <f>AA$66*AA78</f>
        <v/>
      </c>
      <c r="AB83" s="247">
        <f>AB$66*AB78</f>
        <v/>
      </c>
      <c r="AC83" s="247">
        <f>AC$66*AC78</f>
        <v/>
      </c>
      <c r="AD83" s="247">
        <f>AD$66*AD78</f>
        <v/>
      </c>
      <c r="AE83" s="247">
        <f>AE$66*AE78</f>
        <v/>
      </c>
      <c r="AF83" s="247">
        <f>AF$66*AF78</f>
        <v/>
      </c>
      <c r="AG83" s="247">
        <f>AG$66*AG78</f>
        <v/>
      </c>
      <c r="AH83" s="247">
        <f>AH$66*AH78</f>
        <v/>
      </c>
      <c r="AI83" s="247">
        <f>AI$66*AI78</f>
        <v/>
      </c>
      <c r="AJ83" s="247">
        <f>AJ$66*AJ78</f>
        <v/>
      </c>
      <c r="AK83" s="247">
        <f>AK$66*AK78</f>
        <v/>
      </c>
      <c r="AL83" s="247">
        <f>AL$66*AL78</f>
        <v/>
      </c>
      <c r="AM83" s="247">
        <f>AM$66*AM78</f>
        <v/>
      </c>
      <c r="AN83" s="247">
        <f>AN$66*AN78</f>
        <v/>
      </c>
      <c r="AO83" s="247">
        <f>AO$66*AO78</f>
        <v/>
      </c>
      <c r="AP83" s="247">
        <f>AP$66*AP78</f>
        <v/>
      </c>
      <c r="AQ83" s="247">
        <f>AQ$66*AQ78</f>
        <v/>
      </c>
      <c r="AR83" s="247">
        <f>AR$66*AR78</f>
        <v/>
      </c>
      <c r="AS83" s="247">
        <f>AS$66*AS78</f>
        <v/>
      </c>
      <c r="AT83" s="247">
        <f>AT$66*AT78</f>
        <v/>
      </c>
    </row>
    <row r="84">
      <c r="A84" s="219" t="inlineStr">
        <is>
          <t xml:space="preserve">  의원급 전신마취환자수 (분기) = 실측 OR 전체환자수×B</t>
        </is>
      </c>
      <c r="B84" s="208">
        <f>원자료_분기실측!B8</f>
        <v/>
      </c>
      <c r="C84" s="208">
        <f>원자료_분기실측!C8</f>
        <v/>
      </c>
      <c r="D84" s="208">
        <f>원자료_분기실측!D8</f>
        <v/>
      </c>
      <c r="E84" s="208">
        <f>원자료_분기실측!E8</f>
        <v/>
      </c>
      <c r="F84" s="208">
        <f>원자료_분기실측!F8</f>
        <v/>
      </c>
      <c r="G84" s="208">
        <f>원자료_분기실측!G8</f>
        <v/>
      </c>
      <c r="H84" s="208">
        <f>원자료_분기실측!H8</f>
        <v/>
      </c>
      <c r="I84" s="208">
        <f>원자료_분기실측!I8</f>
        <v/>
      </c>
      <c r="J84" s="208">
        <f>원자료_분기실측!J8</f>
        <v/>
      </c>
      <c r="K84" s="208">
        <f>원자료_분기실측!K8</f>
        <v/>
      </c>
      <c r="L84" s="208">
        <f>원자료_분기실측!L8</f>
        <v/>
      </c>
      <c r="M84" s="208">
        <f>원자료_분기실측!M8</f>
        <v/>
      </c>
      <c r="N84" s="208">
        <f>원자료_분기실측!N8</f>
        <v/>
      </c>
      <c r="O84" s="208">
        <f>원자료_분기실측!O8</f>
        <v/>
      </c>
      <c r="P84" s="208">
        <f>원자료_분기실측!P8</f>
        <v/>
      </c>
      <c r="Q84" s="208">
        <f>원자료_분기실측!Q8</f>
        <v/>
      </c>
      <c r="R84" s="208">
        <f>원자료_분기실측!R8</f>
        <v/>
      </c>
      <c r="S84" s="208">
        <f>원자료_분기실측!S8</f>
        <v/>
      </c>
      <c r="T84" s="208">
        <f>원자료_분기실측!T8</f>
        <v/>
      </c>
      <c r="U84" s="208">
        <f>원자료_분기실측!U8</f>
        <v/>
      </c>
      <c r="V84" s="208">
        <f>원자료_분기실측!V8</f>
        <v/>
      </c>
      <c r="W84" s="208">
        <f>원자료_분기실측!W8</f>
        <v/>
      </c>
      <c r="X84" s="208">
        <f>원자료_분기실측!X8</f>
        <v/>
      </c>
      <c r="Y84" s="208">
        <f>원자료_분기실측!Y8</f>
        <v/>
      </c>
      <c r="Z84" s="247">
        <f>Z$66*Z79</f>
        <v/>
      </c>
      <c r="AA84" s="247">
        <f>AA$66*AA79</f>
        <v/>
      </c>
      <c r="AB84" s="247">
        <f>AB$66*AB79</f>
        <v/>
      </c>
      <c r="AC84" s="247">
        <f>AC$66*AC79</f>
        <v/>
      </c>
      <c r="AD84" s="247">
        <f>AD$66*AD79</f>
        <v/>
      </c>
      <c r="AE84" s="247">
        <f>AE$66*AE79</f>
        <v/>
      </c>
      <c r="AF84" s="247">
        <f>AF$66*AF79</f>
        <v/>
      </c>
      <c r="AG84" s="247">
        <f>AG$66*AG79</f>
        <v/>
      </c>
      <c r="AH84" s="247">
        <f>AH$66*AH79</f>
        <v/>
      </c>
      <c r="AI84" s="247">
        <f>AI$66*AI79</f>
        <v/>
      </c>
      <c r="AJ84" s="247">
        <f>AJ$66*AJ79</f>
        <v/>
      </c>
      <c r="AK84" s="247">
        <f>AK$66*AK79</f>
        <v/>
      </c>
      <c r="AL84" s="247">
        <f>AL$66*AL79</f>
        <v/>
      </c>
      <c r="AM84" s="247">
        <f>AM$66*AM79</f>
        <v/>
      </c>
      <c r="AN84" s="247">
        <f>AN$66*AN79</f>
        <v/>
      </c>
      <c r="AO84" s="247">
        <f>AO$66*AO79</f>
        <v/>
      </c>
      <c r="AP84" s="247">
        <f>AP$66*AP79</f>
        <v/>
      </c>
      <c r="AQ84" s="247">
        <f>AQ$66*AQ79</f>
        <v/>
      </c>
      <c r="AR84" s="247">
        <f>AR$66*AR79</f>
        <v/>
      </c>
      <c r="AS84" s="247">
        <f>AS$66*AS79</f>
        <v/>
      </c>
      <c r="AT84" s="247">
        <f>AT$66*AT79</f>
        <v/>
      </c>
    </row>
    <row r="86">
      <c r="A86" s="219" t="inlineStr">
        <is>
          <t xml:space="preserve">  상급종합병원 Ramosetron 시장수량 (분기) = 종별환자수×F(연,flat)</t>
        </is>
      </c>
      <c r="B86" s="248">
        <f>B$96*원자료_분기실측!B23</f>
        <v/>
      </c>
      <c r="C86" s="248">
        <f>C$96*원자료_분기실측!C23</f>
        <v/>
      </c>
      <c r="D86" s="248">
        <f>D$96*원자료_분기실측!D23</f>
        <v/>
      </c>
      <c r="E86" s="248">
        <f>E$96*원자료_분기실측!E23</f>
        <v/>
      </c>
      <c r="F86" s="248">
        <f>F$96*원자료_분기실측!F23</f>
        <v/>
      </c>
      <c r="G86" s="248">
        <f>G$96*원자료_분기실측!G23</f>
        <v/>
      </c>
      <c r="H86" s="248">
        <f>H$96*원자료_분기실측!H23</f>
        <v/>
      </c>
      <c r="I86" s="248">
        <f>I$96*원자료_분기실측!I23</f>
        <v/>
      </c>
      <c r="J86" s="248">
        <f>J$96*원자료_분기실측!J23</f>
        <v/>
      </c>
      <c r="K86" s="248">
        <f>K$96*원자료_분기실측!K23</f>
        <v/>
      </c>
      <c r="L86" s="248">
        <f>L$96*원자료_분기실측!L23</f>
        <v/>
      </c>
      <c r="M86" s="248">
        <f>M$96*원자료_분기실측!M23</f>
        <v/>
      </c>
      <c r="N86" s="248">
        <f>N$96*원자료_분기실측!N23</f>
        <v/>
      </c>
      <c r="O86" s="248">
        <f>O$96*원자료_분기실측!O23</f>
        <v/>
      </c>
      <c r="P86" s="248">
        <f>P$96*원자료_분기실측!P23</f>
        <v/>
      </c>
      <c r="Q86" s="248">
        <f>Q$96*원자료_분기실측!Q23</f>
        <v/>
      </c>
      <c r="R86" s="248">
        <f>R$96*원자료_분기실측!R23</f>
        <v/>
      </c>
      <c r="S86" s="248">
        <f>S$96*원자료_분기실측!S23</f>
        <v/>
      </c>
      <c r="T86" s="248">
        <f>T$96*원자료_분기실측!T23</f>
        <v/>
      </c>
      <c r="U86" s="248">
        <f>U$96*원자료_분기실측!U23</f>
        <v/>
      </c>
      <c r="V86" s="248">
        <f>V$96*원자료_분기실측!V23</f>
        <v/>
      </c>
      <c r="W86" s="248">
        <f>W$96*원자료_분기실측!W23</f>
        <v/>
      </c>
      <c r="X86" s="248">
        <f>X$96*원자료_분기실측!X23</f>
        <v/>
      </c>
      <c r="Y86" s="248">
        <f>Y$96*원자료_분기실측!Y23</f>
        <v/>
      </c>
      <c r="Z86" s="248">
        <f>Z$96*원자료_분기실측!Z23</f>
        <v/>
      </c>
      <c r="AA86" s="247">
        <f>AA$96*원자료_분기실측!AA23</f>
        <v/>
      </c>
      <c r="AB86" s="247">
        <f>AB81*R33</f>
        <v/>
      </c>
      <c r="AC86" s="247">
        <f>AC81*R33</f>
        <v/>
      </c>
      <c r="AD86" s="247">
        <f>AD81*S33</f>
        <v/>
      </c>
      <c r="AE86" s="247">
        <f>AE81*S33</f>
        <v/>
      </c>
      <c r="AF86" s="247">
        <f>AF81*S33</f>
        <v/>
      </c>
      <c r="AG86" s="247">
        <f>AG81*S33</f>
        <v/>
      </c>
      <c r="AH86" s="247">
        <f>AH81*T33</f>
        <v/>
      </c>
      <c r="AI86" s="247">
        <f>AI81*T33</f>
        <v/>
      </c>
      <c r="AJ86" s="247">
        <f>AJ81*T33</f>
        <v/>
      </c>
      <c r="AK86" s="247">
        <f>AK81*T33</f>
        <v/>
      </c>
      <c r="AL86" s="247">
        <f>AL81*U33</f>
        <v/>
      </c>
      <c r="AM86" s="247">
        <f>AM81*U33</f>
        <v/>
      </c>
      <c r="AN86" s="247">
        <f>AN81*U33</f>
        <v/>
      </c>
      <c r="AO86" s="247">
        <f>AO81*U33</f>
        <v/>
      </c>
      <c r="AP86" s="247">
        <f>AP81*V33</f>
        <v/>
      </c>
      <c r="AQ86" s="247">
        <f>AQ81*V33</f>
        <v/>
      </c>
      <c r="AR86" s="247">
        <f>AR81*V33</f>
        <v/>
      </c>
      <c r="AS86" s="247">
        <f>AS81*V33</f>
        <v/>
      </c>
      <c r="AT86" s="247">
        <f>AT81*V33</f>
        <v/>
      </c>
    </row>
    <row r="87">
      <c r="A87" s="219" t="inlineStr">
        <is>
          <t xml:space="preserve">  종합병원 Ramosetron 시장수량 (분기) = 종별환자수×F(연,flat)</t>
        </is>
      </c>
      <c r="B87" s="248">
        <f>B$96*원자료_분기실측!B24</f>
        <v/>
      </c>
      <c r="C87" s="248">
        <f>C$96*원자료_분기실측!C24</f>
        <v/>
      </c>
      <c r="D87" s="248">
        <f>D$96*원자료_분기실측!D24</f>
        <v/>
      </c>
      <c r="E87" s="248">
        <f>E$96*원자료_분기실측!E24</f>
        <v/>
      </c>
      <c r="F87" s="248">
        <f>F$96*원자료_분기실측!F24</f>
        <v/>
      </c>
      <c r="G87" s="248">
        <f>G$96*원자료_분기실측!G24</f>
        <v/>
      </c>
      <c r="H87" s="248">
        <f>H$96*원자료_분기실측!H24</f>
        <v/>
      </c>
      <c r="I87" s="248">
        <f>I$96*원자료_분기실측!I24</f>
        <v/>
      </c>
      <c r="J87" s="248">
        <f>J$96*원자료_분기실측!J24</f>
        <v/>
      </c>
      <c r="K87" s="248">
        <f>K$96*원자료_분기실측!K24</f>
        <v/>
      </c>
      <c r="L87" s="248">
        <f>L$96*원자료_분기실측!L24</f>
        <v/>
      </c>
      <c r="M87" s="248">
        <f>M$96*원자료_분기실측!M24</f>
        <v/>
      </c>
      <c r="N87" s="248">
        <f>N$96*원자료_분기실측!N24</f>
        <v/>
      </c>
      <c r="O87" s="248">
        <f>O$96*원자료_분기실측!O24</f>
        <v/>
      </c>
      <c r="P87" s="248">
        <f>P$96*원자료_분기실측!P24</f>
        <v/>
      </c>
      <c r="Q87" s="248">
        <f>Q$96*원자료_분기실측!Q24</f>
        <v/>
      </c>
      <c r="R87" s="248">
        <f>R$96*원자료_분기실측!R24</f>
        <v/>
      </c>
      <c r="S87" s="248">
        <f>S$96*원자료_분기실측!S24</f>
        <v/>
      </c>
      <c r="T87" s="248">
        <f>T$96*원자료_분기실측!T24</f>
        <v/>
      </c>
      <c r="U87" s="248">
        <f>U$96*원자료_분기실측!U24</f>
        <v/>
      </c>
      <c r="V87" s="248">
        <f>V$96*원자료_분기실측!V24</f>
        <v/>
      </c>
      <c r="W87" s="248">
        <f>W$96*원자료_분기실측!W24</f>
        <v/>
      </c>
      <c r="X87" s="248">
        <f>X$96*원자료_분기실측!X24</f>
        <v/>
      </c>
      <c r="Y87" s="248">
        <f>Y$96*원자료_분기실측!Y24</f>
        <v/>
      </c>
      <c r="Z87" s="248">
        <f>Z$96*원자료_분기실측!Z24</f>
        <v/>
      </c>
      <c r="AA87" s="247">
        <f>AA$96*원자료_분기실측!AA24</f>
        <v/>
      </c>
      <c r="AB87" s="247">
        <f>AB82*R34</f>
        <v/>
      </c>
      <c r="AC87" s="247">
        <f>AC82*R34</f>
        <v/>
      </c>
      <c r="AD87" s="247">
        <f>AD82*S34</f>
        <v/>
      </c>
      <c r="AE87" s="247">
        <f>AE82*S34</f>
        <v/>
      </c>
      <c r="AF87" s="247">
        <f>AF82*S34</f>
        <v/>
      </c>
      <c r="AG87" s="247">
        <f>AG82*S34</f>
        <v/>
      </c>
      <c r="AH87" s="247">
        <f>AH82*T34</f>
        <v/>
      </c>
      <c r="AI87" s="247">
        <f>AI82*T34</f>
        <v/>
      </c>
      <c r="AJ87" s="247">
        <f>AJ82*T34</f>
        <v/>
      </c>
      <c r="AK87" s="247">
        <f>AK82*T34</f>
        <v/>
      </c>
      <c r="AL87" s="247">
        <f>AL82*U34</f>
        <v/>
      </c>
      <c r="AM87" s="247">
        <f>AM82*U34</f>
        <v/>
      </c>
      <c r="AN87" s="247">
        <f>AN82*U34</f>
        <v/>
      </c>
      <c r="AO87" s="247">
        <f>AO82*U34</f>
        <v/>
      </c>
      <c r="AP87" s="247">
        <f>AP82*V34</f>
        <v/>
      </c>
      <c r="AQ87" s="247">
        <f>AQ82*V34</f>
        <v/>
      </c>
      <c r="AR87" s="247">
        <f>AR82*V34</f>
        <v/>
      </c>
      <c r="AS87" s="247">
        <f>AS82*V34</f>
        <v/>
      </c>
      <c r="AT87" s="247">
        <f>AT82*V34</f>
        <v/>
      </c>
    </row>
    <row r="88">
      <c r="A88" s="219" t="inlineStr">
        <is>
          <t xml:space="preserve">  병원급 Ramosetron 시장수량 (분기) = 종별환자수×F(연,flat)</t>
        </is>
      </c>
      <c r="B88" s="248">
        <f>B$96*원자료_분기실측!B25</f>
        <v/>
      </c>
      <c r="C88" s="248">
        <f>C$96*원자료_분기실측!C25</f>
        <v/>
      </c>
      <c r="D88" s="248">
        <f>D$96*원자료_분기실측!D25</f>
        <v/>
      </c>
      <c r="E88" s="248">
        <f>E$96*원자료_분기실측!E25</f>
        <v/>
      </c>
      <c r="F88" s="248">
        <f>F$96*원자료_분기실측!F25</f>
        <v/>
      </c>
      <c r="G88" s="248">
        <f>G$96*원자료_분기실측!G25</f>
        <v/>
      </c>
      <c r="H88" s="248">
        <f>H$96*원자료_분기실측!H25</f>
        <v/>
      </c>
      <c r="I88" s="248">
        <f>I$96*원자료_분기실측!I25</f>
        <v/>
      </c>
      <c r="J88" s="248">
        <f>J$96*원자료_분기실측!J25</f>
        <v/>
      </c>
      <c r="K88" s="248">
        <f>K$96*원자료_분기실측!K25</f>
        <v/>
      </c>
      <c r="L88" s="248">
        <f>L$96*원자료_분기실측!L25</f>
        <v/>
      </c>
      <c r="M88" s="248">
        <f>M$96*원자료_분기실측!M25</f>
        <v/>
      </c>
      <c r="N88" s="248">
        <f>N$96*원자료_분기실측!N25</f>
        <v/>
      </c>
      <c r="O88" s="248">
        <f>O$96*원자료_분기실측!O25</f>
        <v/>
      </c>
      <c r="P88" s="248">
        <f>P$96*원자료_분기실측!P25</f>
        <v/>
      </c>
      <c r="Q88" s="248">
        <f>Q$96*원자료_분기실측!Q25</f>
        <v/>
      </c>
      <c r="R88" s="248">
        <f>R$96*원자료_분기실측!R25</f>
        <v/>
      </c>
      <c r="S88" s="248">
        <f>S$96*원자료_분기실측!S25</f>
        <v/>
      </c>
      <c r="T88" s="248">
        <f>T$96*원자료_분기실측!T25</f>
        <v/>
      </c>
      <c r="U88" s="248">
        <f>U$96*원자료_분기실측!U25</f>
        <v/>
      </c>
      <c r="V88" s="248">
        <f>V$96*원자료_분기실측!V25</f>
        <v/>
      </c>
      <c r="W88" s="248">
        <f>W$96*원자료_분기실측!W25</f>
        <v/>
      </c>
      <c r="X88" s="248">
        <f>X$96*원자료_분기실측!X25</f>
        <v/>
      </c>
      <c r="Y88" s="248">
        <f>Y$96*원자료_분기실측!Y25</f>
        <v/>
      </c>
      <c r="Z88" s="248">
        <f>Z$96*원자료_분기실측!Z25</f>
        <v/>
      </c>
      <c r="AA88" s="247">
        <f>AA$96*원자료_분기실측!AA25</f>
        <v/>
      </c>
      <c r="AB88" s="247">
        <f>AB83*R35</f>
        <v/>
      </c>
      <c r="AC88" s="247">
        <f>AC83*R35</f>
        <v/>
      </c>
      <c r="AD88" s="247">
        <f>AD83*S35</f>
        <v/>
      </c>
      <c r="AE88" s="247">
        <f>AE83*S35</f>
        <v/>
      </c>
      <c r="AF88" s="247">
        <f>AF83*S35</f>
        <v/>
      </c>
      <c r="AG88" s="247">
        <f>AG83*S35</f>
        <v/>
      </c>
      <c r="AH88" s="247">
        <f>AH83*T35</f>
        <v/>
      </c>
      <c r="AI88" s="247">
        <f>AI83*T35</f>
        <v/>
      </c>
      <c r="AJ88" s="247">
        <f>AJ83*T35</f>
        <v/>
      </c>
      <c r="AK88" s="247">
        <f>AK83*T35</f>
        <v/>
      </c>
      <c r="AL88" s="247">
        <f>AL83*U35</f>
        <v/>
      </c>
      <c r="AM88" s="247">
        <f>AM83*U35</f>
        <v/>
      </c>
      <c r="AN88" s="247">
        <f>AN83*U35</f>
        <v/>
      </c>
      <c r="AO88" s="247">
        <f>AO83*U35</f>
        <v/>
      </c>
      <c r="AP88" s="247">
        <f>AP83*V35</f>
        <v/>
      </c>
      <c r="AQ88" s="247">
        <f>AQ83*V35</f>
        <v/>
      </c>
      <c r="AR88" s="247">
        <f>AR83*V35</f>
        <v/>
      </c>
      <c r="AS88" s="247">
        <f>AS83*V35</f>
        <v/>
      </c>
      <c r="AT88" s="247">
        <f>AT83*V35</f>
        <v/>
      </c>
    </row>
    <row r="89">
      <c r="A89" s="219" t="inlineStr">
        <is>
          <t xml:space="preserve">  의원급 Ramosetron 시장수량 (분기) = 종별환자수×F(연,flat)</t>
        </is>
      </c>
      <c r="B89" s="248">
        <f>B$96*원자료_분기실측!B26</f>
        <v/>
      </c>
      <c r="C89" s="248">
        <f>C$96*원자료_분기실측!C26</f>
        <v/>
      </c>
      <c r="D89" s="248">
        <f>D$96*원자료_분기실측!D26</f>
        <v/>
      </c>
      <c r="E89" s="248">
        <f>E$96*원자료_분기실측!E26</f>
        <v/>
      </c>
      <c r="F89" s="248">
        <f>F$96*원자료_분기실측!F26</f>
        <v/>
      </c>
      <c r="G89" s="248">
        <f>G$96*원자료_분기실측!G26</f>
        <v/>
      </c>
      <c r="H89" s="248">
        <f>H$96*원자료_분기실측!H26</f>
        <v/>
      </c>
      <c r="I89" s="248">
        <f>I$96*원자료_분기실측!I26</f>
        <v/>
      </c>
      <c r="J89" s="248">
        <f>J$96*원자료_분기실측!J26</f>
        <v/>
      </c>
      <c r="K89" s="248">
        <f>K$96*원자료_분기실측!K26</f>
        <v/>
      </c>
      <c r="L89" s="248">
        <f>L$96*원자료_분기실측!L26</f>
        <v/>
      </c>
      <c r="M89" s="248">
        <f>M$96*원자료_분기실측!M26</f>
        <v/>
      </c>
      <c r="N89" s="248">
        <f>N$96*원자료_분기실측!N26</f>
        <v/>
      </c>
      <c r="O89" s="248">
        <f>O$96*원자료_분기실측!O26</f>
        <v/>
      </c>
      <c r="P89" s="248">
        <f>P$96*원자료_분기실측!P26</f>
        <v/>
      </c>
      <c r="Q89" s="248">
        <f>Q$96*원자료_분기실측!Q26</f>
        <v/>
      </c>
      <c r="R89" s="248">
        <f>R$96*원자료_분기실측!R26</f>
        <v/>
      </c>
      <c r="S89" s="248">
        <f>S$96*원자료_분기실측!S26</f>
        <v/>
      </c>
      <c r="T89" s="248">
        <f>T$96*원자료_분기실측!T26</f>
        <v/>
      </c>
      <c r="U89" s="248">
        <f>U$96*원자료_분기실측!U26</f>
        <v/>
      </c>
      <c r="V89" s="248">
        <f>V$96*원자료_분기실측!V26</f>
        <v/>
      </c>
      <c r="W89" s="248">
        <f>W$96*원자료_분기실측!W26</f>
        <v/>
      </c>
      <c r="X89" s="248">
        <f>X$96*원자료_분기실측!X26</f>
        <v/>
      </c>
      <c r="Y89" s="248">
        <f>Y$96*원자료_분기실측!Y26</f>
        <v/>
      </c>
      <c r="Z89" s="248">
        <f>Z$96*원자료_분기실측!Z26</f>
        <v/>
      </c>
      <c r="AA89" s="247">
        <f>AA$96*원자료_분기실측!AA26</f>
        <v/>
      </c>
      <c r="AB89" s="247">
        <f>AB84*R36</f>
        <v/>
      </c>
      <c r="AC89" s="247">
        <f>AC84*R36</f>
        <v/>
      </c>
      <c r="AD89" s="247">
        <f>AD84*S36</f>
        <v/>
      </c>
      <c r="AE89" s="247">
        <f>AE84*S36</f>
        <v/>
      </c>
      <c r="AF89" s="247">
        <f>AF84*S36</f>
        <v/>
      </c>
      <c r="AG89" s="247">
        <f>AG84*S36</f>
        <v/>
      </c>
      <c r="AH89" s="247">
        <f>AH84*T36</f>
        <v/>
      </c>
      <c r="AI89" s="247">
        <f>AI84*T36</f>
        <v/>
      </c>
      <c r="AJ89" s="247">
        <f>AJ84*T36</f>
        <v/>
      </c>
      <c r="AK89" s="247">
        <f>AK84*T36</f>
        <v/>
      </c>
      <c r="AL89" s="247">
        <f>AL84*U36</f>
        <v/>
      </c>
      <c r="AM89" s="247">
        <f>AM84*U36</f>
        <v/>
      </c>
      <c r="AN89" s="247">
        <f>AN84*U36</f>
        <v/>
      </c>
      <c r="AO89" s="247">
        <f>AO84*U36</f>
        <v/>
      </c>
      <c r="AP89" s="247">
        <f>AP84*V36</f>
        <v/>
      </c>
      <c r="AQ89" s="247">
        <f>AQ84*V36</f>
        <v/>
      </c>
      <c r="AR89" s="247">
        <f>AR84*V36</f>
        <v/>
      </c>
      <c r="AS89" s="247">
        <f>AS84*V36</f>
        <v/>
      </c>
      <c r="AT89" s="247">
        <f>AT84*V36</f>
        <v/>
      </c>
    </row>
    <row r="91">
      <c r="A91" s="219" t="inlineStr">
        <is>
          <t>상급종합병원 환자당 Ramo 사용수량</t>
        </is>
      </c>
      <c r="B91" s="249">
        <f>B86/B81</f>
        <v/>
      </c>
      <c r="C91" s="249">
        <f>C86/C81</f>
        <v/>
      </c>
      <c r="D91" s="249">
        <f>D86/D81</f>
        <v/>
      </c>
      <c r="E91" s="249">
        <f>E86/E81</f>
        <v/>
      </c>
      <c r="F91" s="249">
        <f>F86/F81</f>
        <v/>
      </c>
      <c r="G91" s="249">
        <f>G86/G81</f>
        <v/>
      </c>
      <c r="H91" s="249">
        <f>H86/H81</f>
        <v/>
      </c>
      <c r="I91" s="249">
        <f>I86/I81</f>
        <v/>
      </c>
      <c r="J91" s="249">
        <f>J86/J81</f>
        <v/>
      </c>
      <c r="K91" s="249">
        <f>K86/K81</f>
        <v/>
      </c>
      <c r="L91" s="249">
        <f>L86/L81</f>
        <v/>
      </c>
      <c r="M91" s="249">
        <f>M86/M81</f>
        <v/>
      </c>
      <c r="N91" s="249">
        <f>N86/N81</f>
        <v/>
      </c>
      <c r="O91" s="249">
        <f>O86/O81</f>
        <v/>
      </c>
      <c r="P91" s="249">
        <f>P86/P81</f>
        <v/>
      </c>
      <c r="Q91" s="249">
        <f>Q86/Q81</f>
        <v/>
      </c>
      <c r="R91" s="249">
        <f>R86/R81</f>
        <v/>
      </c>
      <c r="S91" s="249">
        <f>S86/S81</f>
        <v/>
      </c>
      <c r="T91" s="249">
        <f>T86/T81</f>
        <v/>
      </c>
      <c r="U91" s="249">
        <f>U86/U81</f>
        <v/>
      </c>
      <c r="V91" s="249">
        <f>V86/V81</f>
        <v/>
      </c>
      <c r="W91" s="249">
        <f>W86/W81</f>
        <v/>
      </c>
      <c r="X91" s="249">
        <f>X86/X81</f>
        <v/>
      </c>
      <c r="Y91" s="249">
        <f>Y86/Y81</f>
        <v/>
      </c>
      <c r="Z91" s="249">
        <f>Z86/Z81</f>
        <v/>
      </c>
      <c r="AA91" s="250">
        <f>AA86/AA81</f>
        <v/>
      </c>
      <c r="AB91" s="247">
        <f>AB76*R28</f>
        <v/>
      </c>
      <c r="AC91" s="247">
        <f>AC76*R28</f>
        <v/>
      </c>
      <c r="AD91" s="247">
        <f>AD76*S28</f>
        <v/>
      </c>
      <c r="AE91" s="247">
        <f>AE76*S28</f>
        <v/>
      </c>
      <c r="AF91" s="247">
        <f>AF76*S28</f>
        <v/>
      </c>
      <c r="AG91" s="247">
        <f>AG76*S28</f>
        <v/>
      </c>
      <c r="AH91" s="247">
        <f>AH76*T28</f>
        <v/>
      </c>
      <c r="AI91" s="247">
        <f>AI76*T28</f>
        <v/>
      </c>
      <c r="AJ91" s="247">
        <f>AJ76*T28</f>
        <v/>
      </c>
      <c r="AK91" s="247">
        <f>AK76*T28</f>
        <v/>
      </c>
      <c r="AL91" s="247">
        <f>AL76*U28</f>
        <v/>
      </c>
      <c r="AM91" s="247">
        <f>AM76*U28</f>
        <v/>
      </c>
      <c r="AN91" s="247">
        <f>AN76*U28</f>
        <v/>
      </c>
      <c r="AO91" s="247">
        <f>AO76*U28</f>
        <v/>
      </c>
      <c r="AP91" s="247">
        <f>AP76*V28</f>
        <v/>
      </c>
      <c r="AQ91" s="247">
        <f>AQ76*V28</f>
        <v/>
      </c>
      <c r="AR91" s="247">
        <f>AR76*V28</f>
        <v/>
      </c>
      <c r="AS91" s="247">
        <f>AS76*V28</f>
        <v/>
      </c>
      <c r="AT91" s="247">
        <f>AT76*V28</f>
        <v/>
      </c>
    </row>
    <row r="92">
      <c r="A92" s="219" t="inlineStr">
        <is>
          <t>종합병원 환자당 Ramo 사용수량</t>
        </is>
      </c>
      <c r="B92" s="249">
        <f>B87/B82</f>
        <v/>
      </c>
      <c r="C92" s="249">
        <f>C87/C82</f>
        <v/>
      </c>
      <c r="D92" s="249">
        <f>D87/D82</f>
        <v/>
      </c>
      <c r="E92" s="249">
        <f>E87/E82</f>
        <v/>
      </c>
      <c r="F92" s="249">
        <f>F87/F82</f>
        <v/>
      </c>
      <c r="G92" s="249">
        <f>G87/G82</f>
        <v/>
      </c>
      <c r="H92" s="249">
        <f>H87/H82</f>
        <v/>
      </c>
      <c r="I92" s="249">
        <f>I87/I82</f>
        <v/>
      </c>
      <c r="J92" s="249">
        <f>J87/J82</f>
        <v/>
      </c>
      <c r="K92" s="249">
        <f>K87/K82</f>
        <v/>
      </c>
      <c r="L92" s="249">
        <f>L87/L82</f>
        <v/>
      </c>
      <c r="M92" s="249">
        <f>M87/M82</f>
        <v/>
      </c>
      <c r="N92" s="249">
        <f>N87/N82</f>
        <v/>
      </c>
      <c r="O92" s="249">
        <f>O87/O82</f>
        <v/>
      </c>
      <c r="P92" s="249">
        <f>P87/P82</f>
        <v/>
      </c>
      <c r="Q92" s="249">
        <f>Q87/Q82</f>
        <v/>
      </c>
      <c r="R92" s="249">
        <f>R87/R82</f>
        <v/>
      </c>
      <c r="S92" s="249">
        <f>S87/S82</f>
        <v/>
      </c>
      <c r="T92" s="249">
        <f>T87/T82</f>
        <v/>
      </c>
      <c r="U92" s="249">
        <f>U87/U82</f>
        <v/>
      </c>
      <c r="V92" s="249">
        <f>V87/V82</f>
        <v/>
      </c>
      <c r="W92" s="249">
        <f>W87/W82</f>
        <v/>
      </c>
      <c r="X92" s="249">
        <f>X87/X82</f>
        <v/>
      </c>
      <c r="Y92" s="249">
        <f>Y87/Y82</f>
        <v/>
      </c>
      <c r="Z92" s="249">
        <f>Z87/Z82</f>
        <v/>
      </c>
      <c r="AA92" s="250">
        <f>AA87/AA82</f>
        <v/>
      </c>
      <c r="AB92" s="247">
        <f>AB77*R29</f>
        <v/>
      </c>
      <c r="AC92" s="247">
        <f>AC77*R29</f>
        <v/>
      </c>
      <c r="AD92" s="247">
        <f>AD77*S29</f>
        <v/>
      </c>
      <c r="AE92" s="247">
        <f>AE77*S29</f>
        <v/>
      </c>
      <c r="AF92" s="247">
        <f>AF77*S29</f>
        <v/>
      </c>
      <c r="AG92" s="247">
        <f>AG77*S29</f>
        <v/>
      </c>
      <c r="AH92" s="247">
        <f>AH77*T29</f>
        <v/>
      </c>
      <c r="AI92" s="247">
        <f>AI77*T29</f>
        <v/>
      </c>
      <c r="AJ92" s="247">
        <f>AJ77*T29</f>
        <v/>
      </c>
      <c r="AK92" s="247">
        <f>AK77*T29</f>
        <v/>
      </c>
      <c r="AL92" s="247">
        <f>AL77*U29</f>
        <v/>
      </c>
      <c r="AM92" s="247">
        <f>AM77*U29</f>
        <v/>
      </c>
      <c r="AN92" s="247">
        <f>AN77*U29</f>
        <v/>
      </c>
      <c r="AO92" s="247">
        <f>AO77*U29</f>
        <v/>
      </c>
      <c r="AP92" s="247">
        <f>AP77*V29</f>
        <v/>
      </c>
      <c r="AQ92" s="247">
        <f>AQ77*V29</f>
        <v/>
      </c>
      <c r="AR92" s="247">
        <f>AR77*V29</f>
        <v/>
      </c>
      <c r="AS92" s="247">
        <f>AS77*V29</f>
        <v/>
      </c>
      <c r="AT92" s="247">
        <f>AT77*V29</f>
        <v/>
      </c>
    </row>
    <row r="93">
      <c r="A93" s="219" t="inlineStr">
        <is>
          <t>병원 환자당 Ramo 사용수량</t>
        </is>
      </c>
      <c r="B93" s="249">
        <f>B88/B83</f>
        <v/>
      </c>
      <c r="C93" s="249">
        <f>C88/C83</f>
        <v/>
      </c>
      <c r="D93" s="249">
        <f>D88/D83</f>
        <v/>
      </c>
      <c r="E93" s="249">
        <f>E88/E83</f>
        <v/>
      </c>
      <c r="F93" s="249">
        <f>F88/F83</f>
        <v/>
      </c>
      <c r="G93" s="249">
        <f>G88/G83</f>
        <v/>
      </c>
      <c r="H93" s="249">
        <f>H88/H83</f>
        <v/>
      </c>
      <c r="I93" s="249">
        <f>I88/I83</f>
        <v/>
      </c>
      <c r="J93" s="249">
        <f>J88/J83</f>
        <v/>
      </c>
      <c r="K93" s="249">
        <f>K88/K83</f>
        <v/>
      </c>
      <c r="L93" s="249">
        <f>L88/L83</f>
        <v/>
      </c>
      <c r="M93" s="249">
        <f>M88/M83</f>
        <v/>
      </c>
      <c r="N93" s="249">
        <f>N88/N83</f>
        <v/>
      </c>
      <c r="O93" s="249">
        <f>O88/O83</f>
        <v/>
      </c>
      <c r="P93" s="249">
        <f>P88/P83</f>
        <v/>
      </c>
      <c r="Q93" s="249">
        <f>Q88/Q83</f>
        <v/>
      </c>
      <c r="R93" s="249">
        <f>R88/R83</f>
        <v/>
      </c>
      <c r="S93" s="249">
        <f>S88/S83</f>
        <v/>
      </c>
      <c r="T93" s="249">
        <f>T88/T83</f>
        <v/>
      </c>
      <c r="U93" s="249">
        <f>U88/U83</f>
        <v/>
      </c>
      <c r="V93" s="249">
        <f>V88/V83</f>
        <v/>
      </c>
      <c r="W93" s="249">
        <f>W88/W83</f>
        <v/>
      </c>
      <c r="X93" s="249">
        <f>X88/X83</f>
        <v/>
      </c>
      <c r="Y93" s="249">
        <f>Y88/Y83</f>
        <v/>
      </c>
      <c r="Z93" s="249">
        <f>Z88/Z83</f>
        <v/>
      </c>
      <c r="AA93" s="250">
        <f>AA88/AA83</f>
        <v/>
      </c>
      <c r="AB93" s="247">
        <f>AB78*R30</f>
        <v/>
      </c>
      <c r="AC93" s="247">
        <f>AC78*R30</f>
        <v/>
      </c>
      <c r="AD93" s="247">
        <f>AD78*S30</f>
        <v/>
      </c>
      <c r="AE93" s="247">
        <f>AE78*S30</f>
        <v/>
      </c>
      <c r="AF93" s="247">
        <f>AF78*S30</f>
        <v/>
      </c>
      <c r="AG93" s="247">
        <f>AG78*S30</f>
        <v/>
      </c>
      <c r="AH93" s="247">
        <f>AH78*T30</f>
        <v/>
      </c>
      <c r="AI93" s="247">
        <f>AI78*T30</f>
        <v/>
      </c>
      <c r="AJ93" s="247">
        <f>AJ78*T30</f>
        <v/>
      </c>
      <c r="AK93" s="247">
        <f>AK78*T30</f>
        <v/>
      </c>
      <c r="AL93" s="247">
        <f>AL78*U30</f>
        <v/>
      </c>
      <c r="AM93" s="247">
        <f>AM78*U30</f>
        <v/>
      </c>
      <c r="AN93" s="247">
        <f>AN78*U30</f>
        <v/>
      </c>
      <c r="AO93" s="247">
        <f>AO78*U30</f>
        <v/>
      </c>
      <c r="AP93" s="247">
        <f>AP78*V30</f>
        <v/>
      </c>
      <c r="AQ93" s="247">
        <f>AQ78*V30</f>
        <v/>
      </c>
      <c r="AR93" s="247">
        <f>AR78*V30</f>
        <v/>
      </c>
      <c r="AS93" s="247">
        <f>AS78*V30</f>
        <v/>
      </c>
      <c r="AT93" s="247">
        <f>AT78*V30</f>
        <v/>
      </c>
    </row>
    <row r="94">
      <c r="A94" s="219" t="inlineStr">
        <is>
          <t>의원 환자당 Ramo 사용수량</t>
        </is>
      </c>
      <c r="B94" s="249">
        <f>B89/B84</f>
        <v/>
      </c>
      <c r="C94" s="249">
        <f>C89/C84</f>
        <v/>
      </c>
      <c r="D94" s="249">
        <f>D89/D84</f>
        <v/>
      </c>
      <c r="E94" s="249">
        <f>E89/E84</f>
        <v/>
      </c>
      <c r="F94" s="249">
        <f>F89/F84</f>
        <v/>
      </c>
      <c r="G94" s="249">
        <f>G89/G84</f>
        <v/>
      </c>
      <c r="H94" s="249">
        <f>H89/H84</f>
        <v/>
      </c>
      <c r="I94" s="249">
        <f>I89/I84</f>
        <v/>
      </c>
      <c r="J94" s="249">
        <f>J89/J84</f>
        <v/>
      </c>
      <c r="K94" s="249">
        <f>K89/K84</f>
        <v/>
      </c>
      <c r="L94" s="249">
        <f>L89/L84</f>
        <v/>
      </c>
      <c r="M94" s="249">
        <f>M89/M84</f>
        <v/>
      </c>
      <c r="N94" s="249">
        <f>N89/N84</f>
        <v/>
      </c>
      <c r="O94" s="249">
        <f>O89/O84</f>
        <v/>
      </c>
      <c r="P94" s="249">
        <f>P89/P84</f>
        <v/>
      </c>
      <c r="Q94" s="249">
        <f>Q89/Q84</f>
        <v/>
      </c>
      <c r="R94" s="249">
        <f>R89/R84</f>
        <v/>
      </c>
      <c r="S94" s="249">
        <f>S89/S84</f>
        <v/>
      </c>
      <c r="T94" s="249">
        <f>T89/T84</f>
        <v/>
      </c>
      <c r="U94" s="249">
        <f>U89/U84</f>
        <v/>
      </c>
      <c r="V94" s="249">
        <f>V89/V84</f>
        <v/>
      </c>
      <c r="W94" s="249">
        <f>W89/W84</f>
        <v/>
      </c>
      <c r="X94" s="249">
        <f>X89/X84</f>
        <v/>
      </c>
      <c r="Y94" s="249">
        <f>Y89/Y84</f>
        <v/>
      </c>
      <c r="Z94" s="249">
        <f>Z89/Z84</f>
        <v/>
      </c>
      <c r="AA94" s="250">
        <f>AA89/AA84</f>
        <v/>
      </c>
      <c r="AB94" s="247">
        <f>AB79*R31</f>
        <v/>
      </c>
      <c r="AC94" s="247">
        <f>AC79*R31</f>
        <v/>
      </c>
      <c r="AD94" s="247">
        <f>AD79*S31</f>
        <v/>
      </c>
      <c r="AE94" s="247">
        <f>AE79*S31</f>
        <v/>
      </c>
      <c r="AF94" s="247">
        <f>AF79*S31</f>
        <v/>
      </c>
      <c r="AG94" s="247">
        <f>AG79*S31</f>
        <v/>
      </c>
      <c r="AH94" s="247">
        <f>AH79*T31</f>
        <v/>
      </c>
      <c r="AI94" s="247">
        <f>AI79*T31</f>
        <v/>
      </c>
      <c r="AJ94" s="247">
        <f>AJ79*T31</f>
        <v/>
      </c>
      <c r="AK94" s="247">
        <f>AK79*T31</f>
        <v/>
      </c>
      <c r="AL94" s="247">
        <f>AL79*U31</f>
        <v/>
      </c>
      <c r="AM94" s="247">
        <f>AM79*U31</f>
        <v/>
      </c>
      <c r="AN94" s="247">
        <f>AN79*U31</f>
        <v/>
      </c>
      <c r="AO94" s="247">
        <f>AO79*U31</f>
        <v/>
      </c>
      <c r="AP94" s="247">
        <f>AP79*V31</f>
        <v/>
      </c>
      <c r="AQ94" s="247">
        <f>AQ79*V31</f>
        <v/>
      </c>
      <c r="AR94" s="247">
        <f>AR79*V31</f>
        <v/>
      </c>
      <c r="AS94" s="247">
        <f>AS79*V31</f>
        <v/>
      </c>
      <c r="AT94" s="247">
        <f>AT79*V31</f>
        <v/>
      </c>
    </row>
    <row r="96">
      <c r="A96" s="219" t="inlineStr">
        <is>
          <t>▶ Ramosetron 전체시장 수량 (분기) [실측IQVIA / 미래는 4개종별 합산 bottom-up]</t>
        </is>
      </c>
      <c r="B96" s="208">
        <f>원자료_분기실측!B41</f>
        <v/>
      </c>
      <c r="C96" s="208">
        <f>원자료_분기실측!C41</f>
        <v/>
      </c>
      <c r="D96" s="208">
        <f>원자료_분기실측!D41</f>
        <v/>
      </c>
      <c r="E96" s="208">
        <f>원자료_분기실측!E41</f>
        <v/>
      </c>
      <c r="F96" s="208">
        <f>원자료_분기실측!F41</f>
        <v/>
      </c>
      <c r="G96" s="208">
        <f>원자료_분기실측!G41</f>
        <v/>
      </c>
      <c r="H96" s="208">
        <f>원자료_분기실측!H41</f>
        <v/>
      </c>
      <c r="I96" s="208">
        <f>원자료_분기실측!I41</f>
        <v/>
      </c>
      <c r="J96" s="208">
        <f>원자료_분기실측!J41</f>
        <v/>
      </c>
      <c r="K96" s="208">
        <f>원자료_분기실측!K41</f>
        <v/>
      </c>
      <c r="L96" s="208">
        <f>원자료_분기실측!L41</f>
        <v/>
      </c>
      <c r="M96" s="208">
        <f>원자료_분기실측!M41</f>
        <v/>
      </c>
      <c r="N96" s="208">
        <f>원자료_분기실측!N41</f>
        <v/>
      </c>
      <c r="O96" s="208">
        <f>원자료_분기실측!O41</f>
        <v/>
      </c>
      <c r="P96" s="208">
        <f>원자료_분기실측!P41</f>
        <v/>
      </c>
      <c r="Q96" s="208">
        <f>원자료_분기실측!Q41</f>
        <v/>
      </c>
      <c r="R96" s="208">
        <f>원자료_분기실측!R41</f>
        <v/>
      </c>
      <c r="S96" s="208">
        <f>원자료_분기실측!S41</f>
        <v/>
      </c>
      <c r="T96" s="208">
        <f>원자료_분기실측!T41</f>
        <v/>
      </c>
      <c r="U96" s="208">
        <f>원자료_분기실측!U41</f>
        <v/>
      </c>
      <c r="V96" s="208">
        <f>원자료_분기실측!V41</f>
        <v/>
      </c>
      <c r="W96" s="208">
        <f>원자료_분기실측!W41</f>
        <v/>
      </c>
      <c r="X96" s="208">
        <f>원자료_분기실측!X41</f>
        <v/>
      </c>
      <c r="Y96" s="208">
        <f>원자료_분기실측!Y41</f>
        <v/>
      </c>
      <c r="Z96" s="208">
        <f>원자료_분기실측!Z41</f>
        <v/>
      </c>
      <c r="AA96" s="208">
        <f>원자료_분기실측!AA41</f>
        <v/>
      </c>
      <c r="AB96" s="247">
        <f>SUM(AB86:AB89)</f>
        <v/>
      </c>
      <c r="AC96" s="247">
        <f>SUM(AC86:AC89)</f>
        <v/>
      </c>
      <c r="AD96" s="247">
        <f>SUM(AD86:AD89)</f>
        <v/>
      </c>
      <c r="AE96" s="247">
        <f>SUM(AE86:AE89)</f>
        <v/>
      </c>
      <c r="AF96" s="247">
        <f>SUM(AF86:AF89)</f>
        <v/>
      </c>
      <c r="AG96" s="247">
        <f>SUM(AG86:AG89)</f>
        <v/>
      </c>
      <c r="AH96" s="247">
        <f>SUM(AH86:AH89)</f>
        <v/>
      </c>
      <c r="AI96" s="247">
        <f>SUM(AI86:AI89)</f>
        <v/>
      </c>
      <c r="AJ96" s="247">
        <f>SUM(AJ86:AJ89)</f>
        <v/>
      </c>
      <c r="AK96" s="247">
        <f>SUM(AK86:AK89)</f>
        <v/>
      </c>
      <c r="AL96" s="247">
        <f>SUM(AL86:AL89)</f>
        <v/>
      </c>
      <c r="AM96" s="247">
        <f>SUM(AM86:AM89)</f>
        <v/>
      </c>
      <c r="AN96" s="247">
        <f>SUM(AN86:AN89)</f>
        <v/>
      </c>
      <c r="AO96" s="247">
        <f>SUM(AO86:AO89)</f>
        <v/>
      </c>
      <c r="AP96" s="247">
        <f>SUM(AP86:AP89)</f>
        <v/>
      </c>
      <c r="AQ96" s="247">
        <f>SUM(AQ86:AQ89)</f>
        <v/>
      </c>
      <c r="AR96" s="247">
        <f>SUM(AR86:AR89)</f>
        <v/>
      </c>
      <c r="AS96" s="247">
        <f>SUM(AS86:AS89)</f>
        <v/>
      </c>
      <c r="AT96" s="247">
        <f>SUM(AT86:AT89)</f>
        <v/>
      </c>
    </row>
    <row r="98">
      <c r="A98" s="219" t="inlineStr">
        <is>
          <t>■ FY 분기 재구성 ▶ Ramosetron 전체시장수량</t>
        </is>
      </c>
    </row>
    <row r="99">
      <c r="B99" s="111" t="inlineStr">
        <is>
          <t>FY2020Q1</t>
        </is>
      </c>
      <c r="C99" s="111" t="inlineStr">
        <is>
          <t>FY2020Q2</t>
        </is>
      </c>
      <c r="D99" s="111" t="inlineStr">
        <is>
          <t>FY2020Q3</t>
        </is>
      </c>
      <c r="E99" s="111" t="inlineStr">
        <is>
          <t>FY2020Q4</t>
        </is>
      </c>
      <c r="F99" s="111" t="inlineStr">
        <is>
          <t>FY2021Q1</t>
        </is>
      </c>
      <c r="G99" s="111" t="inlineStr">
        <is>
          <t>FY2021Q2</t>
        </is>
      </c>
      <c r="H99" s="111" t="inlineStr">
        <is>
          <t>FY2021Q3</t>
        </is>
      </c>
      <c r="I99" s="111" t="inlineStr">
        <is>
          <t>FY2021Q4</t>
        </is>
      </c>
      <c r="J99" s="111" t="inlineStr">
        <is>
          <t>FY2022Q1</t>
        </is>
      </c>
      <c r="K99" s="111" t="inlineStr">
        <is>
          <t>FY2022Q2</t>
        </is>
      </c>
      <c r="L99" s="111" t="inlineStr">
        <is>
          <t>FY2022Q3</t>
        </is>
      </c>
      <c r="M99" s="111" t="inlineStr">
        <is>
          <t>FY2022Q4</t>
        </is>
      </c>
      <c r="N99" s="111" t="inlineStr">
        <is>
          <t>FY2023Q1</t>
        </is>
      </c>
      <c r="O99" s="111" t="inlineStr">
        <is>
          <t>FY2023Q2</t>
        </is>
      </c>
      <c r="P99" s="111" t="inlineStr">
        <is>
          <t>FY2023Q3</t>
        </is>
      </c>
      <c r="Q99" s="111" t="inlineStr">
        <is>
          <t>FY2023Q4</t>
        </is>
      </c>
      <c r="R99" s="111" t="inlineStr">
        <is>
          <t>FY2024Q1</t>
        </is>
      </c>
      <c r="S99" s="111" t="inlineStr">
        <is>
          <t>FY2024Q2</t>
        </is>
      </c>
      <c r="T99" s="111" t="inlineStr">
        <is>
          <t>FY2024Q3</t>
        </is>
      </c>
      <c r="U99" s="111" t="inlineStr">
        <is>
          <t>FY2024Q4</t>
        </is>
      </c>
      <c r="V99" s="111" t="inlineStr">
        <is>
          <t>FY2025Q1</t>
        </is>
      </c>
      <c r="W99" s="111" t="inlineStr">
        <is>
          <t>FY2025Q2</t>
        </is>
      </c>
      <c r="X99" s="111" t="inlineStr">
        <is>
          <t>FY2025Q3</t>
        </is>
      </c>
      <c r="Y99" s="111" t="inlineStr">
        <is>
          <t>FY2025Q4</t>
        </is>
      </c>
      <c r="Z99" s="111" t="inlineStr">
        <is>
          <t>FY2026Q1</t>
        </is>
      </c>
      <c r="AA99" s="111" t="inlineStr">
        <is>
          <t>FY2026Q2</t>
        </is>
      </c>
      <c r="AB99" s="111" t="inlineStr">
        <is>
          <t>FY2026Q3</t>
        </is>
      </c>
      <c r="AC99" s="111" t="inlineStr">
        <is>
          <t>FY2026Q4</t>
        </is>
      </c>
      <c r="AD99" s="111" t="inlineStr">
        <is>
          <t>FY2027Q1</t>
        </is>
      </c>
      <c r="AE99" s="111" t="inlineStr">
        <is>
          <t>FY2027Q2</t>
        </is>
      </c>
      <c r="AF99" s="111" t="inlineStr">
        <is>
          <t>FY2027Q3</t>
        </is>
      </c>
      <c r="AG99" s="111" t="inlineStr">
        <is>
          <t>FY2027Q4</t>
        </is>
      </c>
      <c r="AH99" s="111" t="inlineStr">
        <is>
          <t>FY2028Q1</t>
        </is>
      </c>
      <c r="AI99" s="111" t="inlineStr">
        <is>
          <t>FY2028Q2</t>
        </is>
      </c>
      <c r="AJ99" s="111" t="inlineStr">
        <is>
          <t>FY2028Q3</t>
        </is>
      </c>
      <c r="AK99" s="111" t="inlineStr">
        <is>
          <t>FY2028Q4</t>
        </is>
      </c>
      <c r="AL99" s="111" t="inlineStr">
        <is>
          <t>FY2029Q1</t>
        </is>
      </c>
      <c r="AM99" s="111" t="inlineStr">
        <is>
          <t>FY2029Q2</t>
        </is>
      </c>
      <c r="AN99" s="111" t="inlineStr">
        <is>
          <t>FY2029Q3</t>
        </is>
      </c>
      <c r="AO99" s="111" t="inlineStr">
        <is>
          <t>FY2029Q4</t>
        </is>
      </c>
      <c r="AP99" s="111" t="inlineStr">
        <is>
          <t>FY2030Q1</t>
        </is>
      </c>
      <c r="AQ99" s="111" t="inlineStr">
        <is>
          <t>FY2030Q2</t>
        </is>
      </c>
      <c r="AR99" s="111" t="inlineStr">
        <is>
          <t>FY2030Q3</t>
        </is>
      </c>
      <c r="AS99" s="111" t="inlineStr">
        <is>
          <t>FY2030Q4</t>
        </is>
      </c>
      <c r="AV99" s="111" t="n"/>
      <c r="AW99" s="111" t="n"/>
      <c r="AX99" s="111" t="n"/>
      <c r="AY99" s="111" t="n"/>
      <c r="AZ99" s="111" t="n"/>
      <c r="BA99" s="111" t="n"/>
      <c r="BB99" s="111" t="n"/>
      <c r="BC99" s="111" t="n"/>
      <c r="BD99" s="111" t="n"/>
      <c r="BE99" s="111" t="n"/>
      <c r="BF99" s="111" t="n"/>
    </row>
    <row r="100">
      <c r="B100" s="208">
        <f>C96</f>
        <v/>
      </c>
      <c r="C100" s="208">
        <f>D96</f>
        <v/>
      </c>
      <c r="D100" s="208">
        <f>E96</f>
        <v/>
      </c>
      <c r="E100" s="208">
        <f>F96</f>
        <v/>
      </c>
      <c r="F100" s="208">
        <f>G96</f>
        <v/>
      </c>
      <c r="G100" s="208">
        <f>H96</f>
        <v/>
      </c>
      <c r="H100" s="208">
        <f>I96</f>
        <v/>
      </c>
      <c r="I100" s="208">
        <f>J96</f>
        <v/>
      </c>
      <c r="J100" s="208">
        <f>K96</f>
        <v/>
      </c>
      <c r="K100" s="208">
        <f>L96</f>
        <v/>
      </c>
      <c r="L100" s="208">
        <f>M96</f>
        <v/>
      </c>
      <c r="M100" s="208">
        <f>N96</f>
        <v/>
      </c>
      <c r="N100" s="208">
        <f>O96</f>
        <v/>
      </c>
      <c r="O100" s="208">
        <f>P96</f>
        <v/>
      </c>
      <c r="P100" s="208">
        <f>Q96</f>
        <v/>
      </c>
      <c r="Q100" s="208">
        <f>R96</f>
        <v/>
      </c>
      <c r="R100" s="208">
        <f>S96</f>
        <v/>
      </c>
      <c r="S100" s="208">
        <f>T96</f>
        <v/>
      </c>
      <c r="T100" s="208">
        <f>U96</f>
        <v/>
      </c>
      <c r="U100" s="208">
        <f>V96</f>
        <v/>
      </c>
      <c r="V100" s="208">
        <f>W96</f>
        <v/>
      </c>
      <c r="W100" s="208">
        <f>X96</f>
        <v/>
      </c>
      <c r="X100" s="208">
        <f>Y96</f>
        <v/>
      </c>
      <c r="Y100" s="208">
        <f>Z96</f>
        <v/>
      </c>
      <c r="Z100" s="208">
        <f>AA96</f>
        <v/>
      </c>
      <c r="AA100" s="251">
        <f>AB96</f>
        <v/>
      </c>
      <c r="AB100" s="251">
        <f>AC96</f>
        <v/>
      </c>
      <c r="AC100" s="251">
        <f>AD96</f>
        <v/>
      </c>
      <c r="AD100" s="251">
        <f>AE96</f>
        <v/>
      </c>
      <c r="AE100" s="251">
        <f>AF96</f>
        <v/>
      </c>
      <c r="AF100" s="251">
        <f>AG96</f>
        <v/>
      </c>
      <c r="AG100" s="251">
        <f>AH96</f>
        <v/>
      </c>
      <c r="AH100" s="251">
        <f>AI96</f>
        <v/>
      </c>
      <c r="AI100" s="251">
        <f>AJ96</f>
        <v/>
      </c>
      <c r="AJ100" s="251">
        <f>AK96</f>
        <v/>
      </c>
      <c r="AK100" s="251">
        <f>AL96</f>
        <v/>
      </c>
      <c r="AL100" s="251">
        <f>AM96</f>
        <v/>
      </c>
      <c r="AM100" s="251">
        <f>AN96</f>
        <v/>
      </c>
      <c r="AN100" s="251">
        <f>AO96</f>
        <v/>
      </c>
      <c r="AO100" s="251">
        <f>AP96</f>
        <v/>
      </c>
      <c r="AP100" s="251">
        <f>AQ96</f>
        <v/>
      </c>
      <c r="AQ100" s="251">
        <f>AR96</f>
        <v/>
      </c>
      <c r="AR100" s="251">
        <f>AS96</f>
        <v/>
      </c>
      <c r="AS100" s="251">
        <f>AT96</f>
        <v/>
      </c>
    </row>
    <row r="102">
      <c r="A102" s="219" t="inlineStr">
        <is>
          <t>[참고] 전체환자수 분기계절성비중 (2023~2025 평균)</t>
        </is>
      </c>
      <c r="Z102" s="252" t="n"/>
      <c r="AA102" s="252">
        <f>AA86/AA81</f>
        <v/>
      </c>
    </row>
    <row r="103">
      <c r="A103" s="219" t="inlineStr">
        <is>
          <t xml:space="preserve">  Q1 비중</t>
        </is>
      </c>
      <c r="B103" s="219">
        <f>AVERAGE(N66/(N66+O66+P66+Q66),R66/(R66+S66+T66+U66),V66/(V66+W66+X66+Y66))</f>
        <v/>
      </c>
      <c r="Z103" s="252" t="n"/>
      <c r="AA103" s="252">
        <f>AA87/AA82</f>
        <v/>
      </c>
    </row>
    <row r="104">
      <c r="A104" s="219" t="inlineStr">
        <is>
          <t xml:space="preserve">  Q2 비중</t>
        </is>
      </c>
      <c r="B104" s="219">
        <f>AVERAGE(O66/(N66+O66+P66+Q66),S66/(R66+S66+T66+U66),W66/(V66+W66+X66+Y66))</f>
        <v/>
      </c>
      <c r="Z104" s="252" t="n"/>
      <c r="AA104" s="252">
        <f>AA88/AA83</f>
        <v/>
      </c>
    </row>
    <row r="105">
      <c r="A105" s="219" t="inlineStr">
        <is>
          <t xml:space="preserve">  Q3 비중</t>
        </is>
      </c>
      <c r="B105" s="219">
        <f>AVERAGE(P66/(N66+O66+P66+Q66),T66/(R66+S66+T66+U66),X66/(V66+W66+X66+Y66))</f>
        <v/>
      </c>
      <c r="Z105" s="252" t="n"/>
      <c r="AA105" s="252">
        <f>AA89/AA84</f>
        <v/>
      </c>
    </row>
    <row r="106">
      <c r="A106" s="219" t="inlineStr">
        <is>
          <t xml:space="preserve">  Q4 비중</t>
        </is>
      </c>
      <c r="B106" s="219">
        <f>AVERAGE(Q66/(N66+O66+P66+Q66),U66/(R66+S66+T66+U66),Y66/(V66+W66+X66+Y66))</f>
        <v/>
      </c>
      <c r="Z106" s="252" t="n"/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tabColor rgb="009AA0A8"/>
    <outlinePr summaryBelow="1" summaryRight="1"/>
    <pageSetUpPr/>
  </sheetPr>
  <dimension ref="A2:AT60"/>
  <sheetViews>
    <sheetView showGridLines="0" tabSelected="0" zoomScaleNormal="100" workbookViewId="0">
      <pane xSplit="1" ySplit="5" topLeftCell="B6" activePane="bottomRight" state="frozen"/>
      <selection pane="topRight" activeCell="B1" sqref="B1"/>
      <selection pane="bottomLeft" activeCell="A23" sqref="A23"/>
      <selection pane="bottomRight" activeCell="A1" sqref="A1:XFD1"/>
    </sheetView>
  </sheetViews>
  <sheetFormatPr baseColWidth="8" defaultColWidth="8.5" defaultRowHeight="17.6"/>
  <cols>
    <col width="30.7109375" customWidth="1" style="217" min="1" max="1"/>
    <col width="13.0703125" bestFit="1" customWidth="1" style="217" min="2" max="2"/>
    <col width="22.92578125" bestFit="1" customWidth="1" style="217" min="3" max="3"/>
    <col width="22.2109375" bestFit="1" customWidth="1" style="217" min="4" max="4"/>
    <col width="11.42578125" bestFit="1" customWidth="1" style="217" min="5" max="6"/>
    <col width="11.42578125" customWidth="1" style="217" min="7" max="14"/>
    <col width="9.7109375" bestFit="1" customWidth="1" style="217" min="15" max="15"/>
    <col width="9.7109375" bestFit="1" customWidth="1" style="217" min="16" max="16"/>
    <col width="9.7109375" bestFit="1" customWidth="1" style="217" min="17" max="46"/>
  </cols>
  <sheetData>
    <row r="2" ht="20.25" customHeight="1" s="217">
      <c r="A2" s="191" t="inlineStr">
        <is>
          <t>NSA 수량 산출 : IQVIA 데이터 기반 예측 (로짓 변환 회귀)</t>
        </is>
      </c>
    </row>
    <row r="3" ht="6" customHeight="1" s="217">
      <c r="A3" s="71" t="inlineStr">
        <is>
          <t xml:space="preserve"> </t>
        </is>
      </c>
    </row>
    <row r="4" ht="16.5" customHeight="1" s="217">
      <c r="B4" s="37" t="inlineStr">
        <is>
          <t>◀ 실측 (UBIST MS, FY18~25)</t>
        </is>
      </c>
      <c r="J4" s="37" t="inlineStr">
        <is>
          <t>예측 ▶</t>
        </is>
      </c>
    </row>
    <row r="5" ht="16.5" customHeight="1" s="217">
      <c r="A5" s="38" t="inlineStr">
        <is>
          <t>구분  /  회계연도 ▶</t>
        </is>
      </c>
      <c r="B5" s="72" t="inlineStr">
        <is>
          <t>FY2018</t>
        </is>
      </c>
      <c r="C5" s="72" t="inlineStr">
        <is>
          <t>FY2019</t>
        </is>
      </c>
      <c r="D5" s="72" t="inlineStr">
        <is>
          <t>FY2020</t>
        </is>
      </c>
      <c r="E5" s="72" t="inlineStr">
        <is>
          <t>FY2021</t>
        </is>
      </c>
      <c r="F5" s="72" t="inlineStr">
        <is>
          <t>FY2022</t>
        </is>
      </c>
      <c r="G5" s="72" t="inlineStr">
        <is>
          <t>FY2023</t>
        </is>
      </c>
      <c r="H5" s="72" t="inlineStr">
        <is>
          <t>FY2024</t>
        </is>
      </c>
      <c r="I5" s="72" t="inlineStr">
        <is>
          <t>FY2025</t>
        </is>
      </c>
      <c r="J5" s="73" t="inlineStr">
        <is>
          <t>FY2026</t>
        </is>
      </c>
      <c r="K5" s="73" t="inlineStr">
        <is>
          <t>FY2027</t>
        </is>
      </c>
      <c r="L5" s="73" t="inlineStr">
        <is>
          <t>FY2028</t>
        </is>
      </c>
      <c r="M5" s="73" t="inlineStr">
        <is>
          <t>FY2029</t>
        </is>
      </c>
      <c r="N5" s="73" t="inlineStr">
        <is>
          <t>FY2030</t>
        </is>
      </c>
      <c r="P5" t="inlineStr">
        <is>
          <t>FY26 1분기</t>
        </is>
      </c>
    </row>
    <row r="6" ht="16.5" customHeight="1" s="217">
      <c r="A6" s="41" t="inlineStr">
        <is>
          <t>■ A. Ramosetron 시장 수량  [근거_Ramosetron 시장 수량]</t>
        </is>
      </c>
      <c r="B6" s="42" t="n"/>
      <c r="C6" s="42" t="n"/>
      <c r="D6" s="42" t="n"/>
      <c r="E6" s="42" t="n"/>
      <c r="F6" s="42" t="n"/>
      <c r="G6" s="42" t="n"/>
      <c r="H6" s="42" t="n"/>
      <c r="I6" s="42" t="n"/>
      <c r="J6" s="42" t="n"/>
      <c r="K6" s="42" t="n"/>
      <c r="L6" s="42" t="n"/>
      <c r="M6" s="42" t="n"/>
      <c r="N6" s="42" t="n"/>
    </row>
    <row r="7" ht="16.5" customHeight="1" s="217">
      <c r="A7" s="219" t="inlineStr">
        <is>
          <t xml:space="preserve">  Ramosetron 주사제 전체 수량 (시장)</t>
        </is>
      </c>
      <c r="B7" s="45" t="n"/>
      <c r="C7" s="45" t="n"/>
      <c r="D7" s="45">
        <f>'근거_Ramosetron 시장 수량'!L43</f>
        <v/>
      </c>
      <c r="E7" s="45">
        <f>'근거_Ramosetron 시장 수량'!M43</f>
        <v/>
      </c>
      <c r="F7" s="45">
        <f>'근거_Ramosetron 시장 수량'!N43</f>
        <v/>
      </c>
      <c r="G7" s="45">
        <f>'근거_Ramosetron 시장 수량'!O43</f>
        <v/>
      </c>
      <c r="H7" s="45">
        <f>'근거_Ramosetron 시장 수량'!P43</f>
        <v/>
      </c>
      <c r="I7" s="45">
        <f>'근거_Ramosetron 시장 수량'!Q43</f>
        <v/>
      </c>
      <c r="J7" s="45">
        <f>'근거_Ramosetron 시장 수량'!R43</f>
        <v/>
      </c>
      <c r="K7" s="45">
        <f>'근거_Ramosetron 시장 수량'!S43</f>
        <v/>
      </c>
      <c r="L7" s="45">
        <f>'근거_Ramosetron 시장 수량'!T43</f>
        <v/>
      </c>
      <c r="M7" s="45">
        <f>'근거_Ramosetron 시장 수량'!U43</f>
        <v/>
      </c>
      <c r="N7" s="45">
        <f>'근거_Ramosetron 시장 수량'!V43</f>
        <v/>
      </c>
    </row>
    <row r="9" ht="16.5" customHeight="1" s="217">
      <c r="A9" s="41" t="inlineStr">
        <is>
          <t>■ B. 종별 Ramosetron 수량  :                    [근거_Ramosetron 시장 수량]</t>
        </is>
      </c>
      <c r="B9" s="42" t="n"/>
      <c r="C9" s="42" t="n"/>
      <c r="D9" s="42" t="n"/>
      <c r="E9" s="42" t="n"/>
      <c r="F9" s="42" t="n"/>
      <c r="G9" s="42" t="n"/>
      <c r="H9" s="42" t="n"/>
      <c r="I9" s="42" t="n"/>
      <c r="J9" s="42" t="n"/>
      <c r="K9" s="42" t="n"/>
      <c r="L9" s="42" t="n"/>
      <c r="M9" s="42" t="n"/>
      <c r="N9" s="42" t="n"/>
    </row>
    <row r="10" ht="16.5" customHeight="1" s="217">
      <c r="A10" s="64" t="inlineStr">
        <is>
          <t>상급종합병원</t>
        </is>
      </c>
      <c r="B10" s="253" t="n"/>
      <c r="C10" s="253" t="n"/>
      <c r="D10" s="254">
        <f>'근거_Ramosetron 시장 수량'!L39</f>
        <v/>
      </c>
      <c r="E10" s="254">
        <f>'근거_Ramosetron 시장 수량'!M39</f>
        <v/>
      </c>
      <c r="F10" s="254">
        <f>'근거_Ramosetron 시장 수량'!N39</f>
        <v/>
      </c>
      <c r="G10" s="254">
        <f>'근거_Ramosetron 시장 수량'!O39</f>
        <v/>
      </c>
      <c r="H10" s="254">
        <f>'근거_Ramosetron 시장 수량'!P39</f>
        <v/>
      </c>
      <c r="I10" s="254">
        <f>'근거_Ramosetron 시장 수량'!Q39</f>
        <v/>
      </c>
      <c r="J10" s="254">
        <f>'근거_Ramosetron 시장 수량'!R39</f>
        <v/>
      </c>
      <c r="K10" s="254">
        <f>'근거_Ramosetron 시장 수량'!S39</f>
        <v/>
      </c>
      <c r="L10" s="254">
        <f>'근거_Ramosetron 시장 수량'!T39</f>
        <v/>
      </c>
      <c r="M10" s="254">
        <f>'근거_Ramosetron 시장 수량'!U39</f>
        <v/>
      </c>
      <c r="N10" s="254">
        <f>'근거_Ramosetron 시장 수량'!V39</f>
        <v/>
      </c>
      <c r="P10" s="255" t="n"/>
      <c r="Q10" s="255" t="n"/>
    </row>
    <row r="11" ht="16.5" customHeight="1" s="217">
      <c r="A11" s="64" t="inlineStr">
        <is>
          <t>종합병원</t>
        </is>
      </c>
      <c r="B11" s="253" t="n"/>
      <c r="C11" s="253" t="n"/>
      <c r="D11" s="254">
        <f>'근거_Ramosetron 시장 수량'!L40</f>
        <v/>
      </c>
      <c r="E11" s="254">
        <f>'근거_Ramosetron 시장 수량'!M40</f>
        <v/>
      </c>
      <c r="F11" s="254">
        <f>'근거_Ramosetron 시장 수량'!N40</f>
        <v/>
      </c>
      <c r="G11" s="254">
        <f>'근거_Ramosetron 시장 수량'!O40</f>
        <v/>
      </c>
      <c r="H11" s="254">
        <f>'근거_Ramosetron 시장 수량'!P40</f>
        <v/>
      </c>
      <c r="I11" s="254">
        <f>'근거_Ramosetron 시장 수량'!Q40</f>
        <v/>
      </c>
      <c r="J11" s="254">
        <f>'근거_Ramosetron 시장 수량'!R40</f>
        <v/>
      </c>
      <c r="K11" s="254">
        <f>'근거_Ramosetron 시장 수량'!S40</f>
        <v/>
      </c>
      <c r="L11" s="254">
        <f>'근거_Ramosetron 시장 수량'!T40</f>
        <v/>
      </c>
      <c r="M11" s="254">
        <f>'근거_Ramosetron 시장 수량'!U40</f>
        <v/>
      </c>
      <c r="N11" s="254">
        <f>'근거_Ramosetron 시장 수량'!V40</f>
        <v/>
      </c>
      <c r="P11" s="255" t="n"/>
      <c r="Q11" s="255" t="n"/>
    </row>
    <row r="12" ht="16.5" customHeight="1" s="217">
      <c r="A12" s="64" t="inlineStr">
        <is>
          <t>병원</t>
        </is>
      </c>
      <c r="B12" s="253" t="n"/>
      <c r="C12" s="253" t="n"/>
      <c r="D12" s="254">
        <f>'근거_Ramosetron 시장 수량'!L41</f>
        <v/>
      </c>
      <c r="E12" s="254">
        <f>'근거_Ramosetron 시장 수량'!M41</f>
        <v/>
      </c>
      <c r="F12" s="254">
        <f>'근거_Ramosetron 시장 수량'!N41</f>
        <v/>
      </c>
      <c r="G12" s="254">
        <f>'근거_Ramosetron 시장 수량'!O41</f>
        <v/>
      </c>
      <c r="H12" s="254">
        <f>'근거_Ramosetron 시장 수량'!P41</f>
        <v/>
      </c>
      <c r="I12" s="254">
        <f>'근거_Ramosetron 시장 수량'!Q41</f>
        <v/>
      </c>
      <c r="J12" s="254">
        <f>'근거_Ramosetron 시장 수량'!R41</f>
        <v/>
      </c>
      <c r="K12" s="254">
        <f>'근거_Ramosetron 시장 수량'!S41</f>
        <v/>
      </c>
      <c r="L12" s="254">
        <f>'근거_Ramosetron 시장 수량'!T41</f>
        <v/>
      </c>
      <c r="M12" s="254">
        <f>'근거_Ramosetron 시장 수량'!U41</f>
        <v/>
      </c>
      <c r="N12" s="254">
        <f>'근거_Ramosetron 시장 수량'!V41</f>
        <v/>
      </c>
      <c r="P12" s="255" t="n"/>
      <c r="Q12" s="255" t="n"/>
    </row>
    <row r="13" ht="16.5" customHeight="1" s="217">
      <c r="A13" s="64" t="inlineStr">
        <is>
          <t>의원</t>
        </is>
      </c>
      <c r="B13" s="253" t="n"/>
      <c r="C13" s="253" t="n"/>
      <c r="D13" s="254">
        <f>'근거_Ramosetron 시장 수량'!L42</f>
        <v/>
      </c>
      <c r="E13" s="254">
        <f>'근거_Ramosetron 시장 수량'!M42</f>
        <v/>
      </c>
      <c r="F13" s="254">
        <f>'근거_Ramosetron 시장 수량'!N42</f>
        <v/>
      </c>
      <c r="G13" s="254">
        <f>'근거_Ramosetron 시장 수량'!O42</f>
        <v/>
      </c>
      <c r="H13" s="254">
        <f>'근거_Ramosetron 시장 수량'!P42</f>
        <v/>
      </c>
      <c r="I13" s="254">
        <f>'근거_Ramosetron 시장 수량'!Q42</f>
        <v/>
      </c>
      <c r="J13" s="254">
        <f>'근거_Ramosetron 시장 수량'!R42</f>
        <v/>
      </c>
      <c r="K13" s="254">
        <f>'근거_Ramosetron 시장 수량'!S42</f>
        <v/>
      </c>
      <c r="L13" s="254">
        <f>'근거_Ramosetron 시장 수량'!T42</f>
        <v/>
      </c>
      <c r="M13" s="254">
        <f>'근거_Ramosetron 시장 수량'!U42</f>
        <v/>
      </c>
      <c r="N13" s="254">
        <f>'근거_Ramosetron 시장 수량'!V42</f>
        <v/>
      </c>
      <c r="P13" s="255" t="n"/>
      <c r="Q13" s="255" t="n"/>
    </row>
    <row r="15" ht="16.5" customHeight="1" s="217">
      <c r="A15" s="41" t="inlineStr">
        <is>
          <t>■ E. 종별 NSA MS  :    [ NSA 수량 (C) x NSA 종별 비율 (D) / 종별 Ramosetron 수량 (B) ]</t>
        </is>
      </c>
      <c r="B15" s="42" t="n"/>
      <c r="C15" s="42" t="n"/>
      <c r="D15" s="42" t="n"/>
      <c r="E15" s="42" t="n"/>
      <c r="F15" s="42" t="n"/>
      <c r="G15" s="42" t="n"/>
      <c r="H15" s="42" t="n"/>
      <c r="I15" s="42" t="n"/>
      <c r="J15" s="42" t="n"/>
      <c r="K15" s="42" t="n"/>
      <c r="L15" s="42" t="n"/>
      <c r="M15" s="42" t="n"/>
      <c r="N15" s="42" t="n"/>
    </row>
    <row r="16" ht="16.5" customHeight="1" s="217">
      <c r="A16" s="64" t="inlineStr">
        <is>
          <t>상급종합병원</t>
        </is>
      </c>
      <c r="B16" s="256" t="n"/>
      <c r="C16" s="256" t="n"/>
      <c r="D16" s="256" t="n"/>
      <c r="E16" s="253">
        <f>(G49+H49+I49+J49)/E10</f>
        <v/>
      </c>
      <c r="F16" s="253">
        <f>(K49+L49+M49+N49)/F10</f>
        <v/>
      </c>
      <c r="G16" s="253">
        <f>(O49+P49+Q49+R49)/G10</f>
        <v/>
      </c>
      <c r="H16" s="253">
        <f>(S49+T49+U49+V49)/H10</f>
        <v/>
      </c>
      <c r="I16" s="253">
        <f>(W49+X49+Y49+Z49)/I10</f>
        <v/>
      </c>
      <c r="J16" s="257">
        <f>(AA49+AB49+AC49+AD49)/J10</f>
        <v/>
      </c>
      <c r="K16" s="257">
        <f>(AE49+AF49+AG49+AH49)/K10</f>
        <v/>
      </c>
      <c r="L16" s="257">
        <f>(AI49+AJ49+AK49+AL49)/L10</f>
        <v/>
      </c>
      <c r="M16" s="257">
        <f>(AM49+AN49+AO49+AP49)/M10</f>
        <v/>
      </c>
      <c r="N16" s="257">
        <f>(AQ49+AR49+AS49+AT49)/N10</f>
        <v/>
      </c>
    </row>
    <row r="17" ht="16.5" customHeight="1" s="217">
      <c r="A17" s="64" t="inlineStr">
        <is>
          <t>종합병원</t>
        </is>
      </c>
      <c r="B17" s="256" t="n"/>
      <c r="C17" s="256" t="n"/>
      <c r="D17" s="256" t="n"/>
      <c r="E17" s="253">
        <f>(G50+H50+I50+J50)/E11</f>
        <v/>
      </c>
      <c r="F17" s="253">
        <f>(K50+L50+M50+N50)/F11</f>
        <v/>
      </c>
      <c r="G17" s="253">
        <f>(O50+P50+Q50+R50)/G11</f>
        <v/>
      </c>
      <c r="H17" s="253">
        <f>(S50+T50+U50+V50)/H11</f>
        <v/>
      </c>
      <c r="I17" s="253">
        <f>(W50+X50+Y50+Z50)/I11</f>
        <v/>
      </c>
      <c r="J17" s="257">
        <f>(AA50+AB50+AC50+AD50)/J11</f>
        <v/>
      </c>
      <c r="K17" s="257">
        <f>(AE50+AF50+AG50+AH50)/K11</f>
        <v/>
      </c>
      <c r="L17" s="257">
        <f>(AI50+AJ50+AK50+AL50)/L11</f>
        <v/>
      </c>
      <c r="M17" s="257">
        <f>(AM50+AN50+AO50+AP50)/M11</f>
        <v/>
      </c>
      <c r="N17" s="257">
        <f>(AQ50+AR50+AS50+AT50)/N11</f>
        <v/>
      </c>
    </row>
    <row r="18" ht="16.5" customHeight="1" s="217">
      <c r="A18" s="64" t="inlineStr">
        <is>
          <t>병원</t>
        </is>
      </c>
      <c r="B18" s="256" t="n"/>
      <c r="C18" s="256" t="n"/>
      <c r="D18" s="256" t="n"/>
      <c r="E18" s="253">
        <f>(G51+H51+I51+J51)/E12</f>
        <v/>
      </c>
      <c r="F18" s="253">
        <f>(K51+L51+M51+N51)/F12</f>
        <v/>
      </c>
      <c r="G18" s="253">
        <f>(O51+P51+Q51+R51)/G12</f>
        <v/>
      </c>
      <c r="H18" s="253">
        <f>(S51+T51+U51+V51)/H12</f>
        <v/>
      </c>
      <c r="I18" s="253">
        <f>(W51+X51+Y51+Z51)/I12</f>
        <v/>
      </c>
      <c r="J18" s="257">
        <f>(AA51+AB51+AC51+AD51)/J12</f>
        <v/>
      </c>
      <c r="K18" s="257">
        <f>(AE51+AF51+AG51+AH51)/K12</f>
        <v/>
      </c>
      <c r="L18" s="257">
        <f>(AI51+AJ51+AK51+AL51)/L12</f>
        <v/>
      </c>
      <c r="M18" s="257">
        <f>(AM51+AN51+AO51+AP51)/M12</f>
        <v/>
      </c>
      <c r="N18" s="257">
        <f>(AQ51+AR51+AS51+AT51)/N12</f>
        <v/>
      </c>
    </row>
    <row r="19" ht="16.5" customHeight="1" s="217">
      <c r="A19" s="64" t="inlineStr">
        <is>
          <t>의원</t>
        </is>
      </c>
      <c r="B19" s="256" t="n"/>
      <c r="C19" s="256" t="n"/>
      <c r="D19" s="256" t="n"/>
      <c r="E19" s="253">
        <f>(G52+H52+I52+J52)/E13</f>
        <v/>
      </c>
      <c r="F19" s="253">
        <f>(K52+L52+M52+N52)/F13</f>
        <v/>
      </c>
      <c r="G19" s="253">
        <f>(O52+P52+Q52+R52)/G13</f>
        <v/>
      </c>
      <c r="H19" s="253">
        <f>(S52+T52+U52+V52)/H13</f>
        <v/>
      </c>
      <c r="I19" s="253">
        <f>(W52+X52+Y52+Z52)/I13</f>
        <v/>
      </c>
      <c r="J19" s="257">
        <f>(AA52+AB52+AC52+AD52)/J13</f>
        <v/>
      </c>
      <c r="K19" s="257">
        <f>(AE52+AF52+AG52+AH52)/K13</f>
        <v/>
      </c>
      <c r="L19" s="257">
        <f>(AI52+AJ52+AK52+AL52)/L13</f>
        <v/>
      </c>
      <c r="M19" s="257">
        <f>(AM52+AN52+AO52+AP52)/M13</f>
        <v/>
      </c>
      <c r="N19" s="257">
        <f>(AQ52+AR52+AS52+AT52)/N13</f>
        <v/>
      </c>
    </row>
    <row r="20" ht="16.5" customHeight="1" s="217">
      <c r="A20" s="145" t="inlineStr">
        <is>
          <t>전체 MS</t>
        </is>
      </c>
      <c r="B20" s="256" t="n"/>
      <c r="C20" s="256" t="n"/>
      <c r="D20" s="256" t="n"/>
      <c r="E20" s="258">
        <f>E27/E7</f>
        <v/>
      </c>
      <c r="F20" s="258">
        <f>F27/F7</f>
        <v/>
      </c>
      <c r="G20" s="258">
        <f>G27/G7</f>
        <v/>
      </c>
      <c r="H20" s="258">
        <f>H27/H7</f>
        <v/>
      </c>
      <c r="I20" s="258">
        <f>I27/I7</f>
        <v/>
      </c>
      <c r="J20" s="259">
        <f>J27/J7</f>
        <v/>
      </c>
      <c r="K20" s="259">
        <f>K27/K7</f>
        <v/>
      </c>
      <c r="L20" s="259">
        <f>L27/L7</f>
        <v/>
      </c>
      <c r="M20" s="259">
        <f>M27/M7</f>
        <v/>
      </c>
      <c r="N20" s="259">
        <f>N27/N7</f>
        <v/>
      </c>
    </row>
    <row r="21" ht="16.5" customHeight="1" s="217">
      <c r="A21" s="64" t="n"/>
      <c r="B21" s="256" t="n"/>
      <c r="C21" s="256" t="n"/>
      <c r="D21" s="256" t="n"/>
      <c r="E21" s="253" t="n"/>
      <c r="F21" s="253" t="n"/>
      <c r="G21" s="253" t="n"/>
      <c r="H21" s="253" t="n"/>
      <c r="I21" s="253" t="n"/>
      <c r="J21" s="253" t="n"/>
      <c r="K21" s="253" t="n"/>
      <c r="L21" s="253" t="n"/>
      <c r="M21" s="253" t="n"/>
      <c r="N21" s="253" t="n"/>
    </row>
    <row r="22" ht="16.5" customHeight="1" s="217">
      <c r="A22" s="41" t="inlineStr">
        <is>
          <t>■ F. 종별 NSA 수량  :    [ 종별 Ramosetron 수량 (B) x 종별 NSA MS (E) ]</t>
        </is>
      </c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</row>
    <row r="23" ht="16.5" customHeight="1" s="217">
      <c r="A23" s="64" t="inlineStr">
        <is>
          <t>상급종합병원</t>
        </is>
      </c>
      <c r="B23" s="256" t="n"/>
      <c r="C23" s="256" t="n"/>
      <c r="D23" s="256" t="n"/>
      <c r="E23" s="256">
        <f>E10*E16</f>
        <v/>
      </c>
      <c r="F23" s="256">
        <f>F10*F16</f>
        <v/>
      </c>
      <c r="G23" s="256">
        <f>G10*G16</f>
        <v/>
      </c>
      <c r="H23" s="256">
        <f>H10*H16</f>
        <v/>
      </c>
      <c r="I23" s="256">
        <f>I10*I16</f>
        <v/>
      </c>
      <c r="J23" s="260">
        <f>J10*J16</f>
        <v/>
      </c>
      <c r="K23" s="260">
        <f>K10*K16</f>
        <v/>
      </c>
      <c r="L23" s="260">
        <f>L10*L16</f>
        <v/>
      </c>
      <c r="M23" s="260">
        <f>M10*M16</f>
        <v/>
      </c>
      <c r="N23" s="260">
        <f>N10*N16</f>
        <v/>
      </c>
    </row>
    <row r="24" ht="16.5" customHeight="1" s="217">
      <c r="A24" s="64" t="inlineStr">
        <is>
          <t>종합병원</t>
        </is>
      </c>
      <c r="B24" s="256" t="n"/>
      <c r="C24" s="256" t="n"/>
      <c r="D24" s="256" t="n"/>
      <c r="E24" s="256">
        <f>E11*E17</f>
        <v/>
      </c>
      <c r="F24" s="256">
        <f>F11*F17</f>
        <v/>
      </c>
      <c r="G24" s="256">
        <f>G11*G17</f>
        <v/>
      </c>
      <c r="H24" s="256">
        <f>H11*H17</f>
        <v/>
      </c>
      <c r="I24" s="256">
        <f>I11*I17</f>
        <v/>
      </c>
      <c r="J24" s="260">
        <f>J11*J17</f>
        <v/>
      </c>
      <c r="K24" s="260">
        <f>K11*K17</f>
        <v/>
      </c>
      <c r="L24" s="260">
        <f>L11*L17</f>
        <v/>
      </c>
      <c r="M24" s="260">
        <f>M11*M17</f>
        <v/>
      </c>
      <c r="N24" s="260">
        <f>N11*N17</f>
        <v/>
      </c>
    </row>
    <row r="25" ht="16.5" customHeight="1" s="217">
      <c r="A25" s="64" t="inlineStr">
        <is>
          <t>병원</t>
        </is>
      </c>
      <c r="B25" s="256" t="n"/>
      <c r="C25" s="256" t="n"/>
      <c r="D25" s="256" t="n"/>
      <c r="E25" s="256">
        <f>E12*E18</f>
        <v/>
      </c>
      <c r="F25" s="256">
        <f>F12*F18</f>
        <v/>
      </c>
      <c r="G25" s="256">
        <f>G12*G18</f>
        <v/>
      </c>
      <c r="H25" s="256">
        <f>H12*H18</f>
        <v/>
      </c>
      <c r="I25" s="256">
        <f>I12*I18</f>
        <v/>
      </c>
      <c r="J25" s="260">
        <f>J12*J18</f>
        <v/>
      </c>
      <c r="K25" s="260">
        <f>K12*K18</f>
        <v/>
      </c>
      <c r="L25" s="260">
        <f>L12*L18</f>
        <v/>
      </c>
      <c r="M25" s="260">
        <f>M12*M18</f>
        <v/>
      </c>
      <c r="N25" s="260">
        <f>N12*N18</f>
        <v/>
      </c>
    </row>
    <row r="26" ht="16.5" customHeight="1" s="217">
      <c r="A26" s="64" t="inlineStr">
        <is>
          <t>의원</t>
        </is>
      </c>
      <c r="B26" s="256" t="n"/>
      <c r="C26" s="256" t="n"/>
      <c r="D26" s="256" t="n"/>
      <c r="E26" s="256">
        <f>E13*E19</f>
        <v/>
      </c>
      <c r="F26" s="256">
        <f>F13*F19</f>
        <v/>
      </c>
      <c r="G26" s="256">
        <f>G13*G19</f>
        <v/>
      </c>
      <c r="H26" s="256">
        <f>H13*H19</f>
        <v/>
      </c>
      <c r="I26" s="256">
        <f>I13*I19</f>
        <v/>
      </c>
      <c r="J26" s="260">
        <f>J13*J19</f>
        <v/>
      </c>
      <c r="K26" s="260">
        <f>K13*K19</f>
        <v/>
      </c>
      <c r="L26" s="260">
        <f>L13*L19</f>
        <v/>
      </c>
      <c r="M26" s="260">
        <f>M13*M19</f>
        <v/>
      </c>
      <c r="N26" s="260">
        <f>N13*N19</f>
        <v/>
      </c>
    </row>
    <row r="27" ht="16.5" customHeight="1" s="217">
      <c r="A27" s="67" t="inlineStr">
        <is>
          <t xml:space="preserve">  ▶ NSA 수량 (IQVIA 기준) </t>
        </is>
      </c>
      <c r="B27" s="51" t="n"/>
      <c r="C27" s="51" t="n"/>
      <c r="D27" s="261" t="n">
        <v>1601660</v>
      </c>
      <c r="E27" s="261">
        <f>SUM(E23:E26)</f>
        <v/>
      </c>
      <c r="F27" s="261">
        <f>SUM(F23:F26)</f>
        <v/>
      </c>
      <c r="G27" s="261">
        <f>SUM(G23:G26)</f>
        <v/>
      </c>
      <c r="H27" s="261">
        <f>SUM(H23:H26)</f>
        <v/>
      </c>
      <c r="I27" s="261">
        <f>SUM(I23:I26)</f>
        <v/>
      </c>
      <c r="J27" s="261">
        <f>SUM(J23:J26)</f>
        <v/>
      </c>
      <c r="K27" s="261">
        <f>SUM(K23:K26)</f>
        <v/>
      </c>
      <c r="L27" s="261">
        <f>SUM(L23:L26)</f>
        <v/>
      </c>
      <c r="M27" s="261">
        <f>SUM(M23:M26)</f>
        <v/>
      </c>
      <c r="N27" s="261">
        <f>SUM(N23:N26)</f>
        <v/>
      </c>
      <c r="P27" s="229" t="n"/>
      <c r="Q27" s="255" t="n"/>
    </row>
    <row r="28">
      <c r="E28" s="262">
        <f>E27/E7</f>
        <v/>
      </c>
      <c r="F28" s="262">
        <f>F27/F7</f>
        <v/>
      </c>
      <c r="G28" s="262">
        <f>G27/G7</f>
        <v/>
      </c>
      <c r="H28" s="262">
        <f>H27/H7</f>
        <v/>
      </c>
      <c r="I28" s="262">
        <f>I27/I7</f>
        <v/>
      </c>
      <c r="J28" s="262">
        <f>J27/J7</f>
        <v/>
      </c>
      <c r="K28" s="262">
        <f>K27/K7</f>
        <v/>
      </c>
      <c r="L28" s="262">
        <f>L27/L7</f>
        <v/>
      </c>
      <c r="M28" s="262">
        <f>M27/M7</f>
        <v/>
      </c>
      <c r="N28" s="262">
        <f>N27/N7</f>
        <v/>
      </c>
    </row>
    <row r="29" ht="16.5" customHeight="1" s="217">
      <c r="A29" s="78" t="n"/>
    </row>
    <row r="30">
      <c r="A30" s="160" t="n"/>
      <c r="B30" s="160" t="inlineStr">
        <is>
          <t>[참고] 종별 NSA MS 예측 파라미터 (2026Q2~2031Q1 적용)</t>
        </is>
      </c>
    </row>
    <row r="31">
      <c r="B31" s="123" t="inlineStr">
        <is>
          <t>유형</t>
        </is>
      </c>
      <c r="C31" s="123" t="inlineStr">
        <is>
          <t>예측방식</t>
        </is>
      </c>
      <c r="D31" s="123" t="inlineStr">
        <is>
          <t>분기당 기울기</t>
        </is>
      </c>
      <c r="E31" s="123" t="inlineStr">
        <is>
          <t>상한/하한</t>
        </is>
      </c>
      <c r="F31" s="123" t="inlineStr">
        <is>
          <t>백테스트 MAPE</t>
        </is>
      </c>
    </row>
    <row r="32">
      <c r="B32" s="161" t="inlineStr">
        <is>
          <t>상급종합병원</t>
        </is>
      </c>
      <c r="C32" s="162" t="inlineStr">
        <is>
          <t>전체기간선형(레벨보정)</t>
        </is>
      </c>
      <c r="D32" s="163">
        <f>SLOPE($F$43:$Z$43,$F$40:$Z$40)</f>
        <v/>
      </c>
      <c r="E32" s="163" t="n">
        <v>0.55</v>
      </c>
      <c r="F32" s="184" t="inlineStr">
        <is>
          <t>2.92%</t>
        </is>
      </c>
    </row>
    <row r="33">
      <c r="B33" s="161" t="inlineStr">
        <is>
          <t>종합병원</t>
        </is>
      </c>
      <c r="C33" s="163" t="inlineStr">
        <is>
          <t>S-curve(로짓변환+저점앵커)</t>
        </is>
      </c>
      <c r="D33" s="163">
        <f>SLOPE($U$54:$Z$54,$U$40:$Z$40)</f>
        <v/>
      </c>
      <c r="E33" s="163" t="n">
        <v>0.5600000000000001</v>
      </c>
      <c r="F33" s="184" t="inlineStr">
        <is>
          <t>3.83%</t>
        </is>
      </c>
    </row>
    <row r="34">
      <c r="B34" s="162" t="inlineStr">
        <is>
          <t>병원</t>
        </is>
      </c>
      <c r="C34" s="162" t="inlineStr">
        <is>
          <t>롤링4분기평균(갱신)</t>
        </is>
      </c>
      <c r="D34" s="163" t="inlineStr">
        <is>
          <t>-</t>
        </is>
      </c>
      <c r="E34" s="163" t="inlineStr">
        <is>
          <t>4분기 이동평균</t>
        </is>
      </c>
      <c r="F34" s="184" t="inlineStr">
        <is>
          <t>8.89%</t>
        </is>
      </c>
    </row>
    <row r="35">
      <c r="B35" s="161" t="inlineStr">
        <is>
          <t>의원</t>
        </is>
      </c>
      <c r="C35" s="163" t="inlineStr">
        <is>
          <t>EWMA(α=0.3)</t>
        </is>
      </c>
      <c r="D35" s="163" t="inlineStr">
        <is>
          <t>-</t>
        </is>
      </c>
      <c r="E35" s="163" t="inlineStr">
        <is>
          <t>EWMA 마지막값 flat</t>
        </is>
      </c>
      <c r="F35" s="184" t="inlineStr">
        <is>
          <t>10.30%</t>
        </is>
      </c>
    </row>
    <row r="36">
      <c r="B36" s="164" t="inlineStr">
        <is>
          <t>※ 채택근거: 2020Q1~2026Q1 실측 walk-forward 백테스트. 상급종합·종합병원은 레벨보정 방식으로 통일(실측→예측 연속성 보장, 갱신 시 급락 리스크 방지)</t>
        </is>
      </c>
    </row>
    <row r="37">
      <c r="B37" s="164" t="n"/>
    </row>
    <row r="38" ht="12" customFormat="1" customHeight="1" s="80">
      <c r="A38" s="79" t="n"/>
    </row>
    <row r="39">
      <c r="A39" s="219" t="inlineStr">
        <is>
          <t>구분 / CY분기 ▶</t>
        </is>
      </c>
      <c r="B39" s="111" t="inlineStr">
        <is>
          <t>2020Q1</t>
        </is>
      </c>
      <c r="C39" s="111" t="inlineStr">
        <is>
          <t>2020Q2</t>
        </is>
      </c>
      <c r="D39" s="111" t="inlineStr">
        <is>
          <t>2020Q3</t>
        </is>
      </c>
      <c r="E39" s="111" t="inlineStr">
        <is>
          <t>2020Q4</t>
        </is>
      </c>
      <c r="F39" s="111" t="inlineStr">
        <is>
          <t>2021Q1</t>
        </is>
      </c>
      <c r="G39" s="111" t="inlineStr">
        <is>
          <t>2021Q2</t>
        </is>
      </c>
      <c r="H39" s="111" t="inlineStr">
        <is>
          <t>2021Q3</t>
        </is>
      </c>
      <c r="I39" s="111" t="inlineStr">
        <is>
          <t>2021Q4</t>
        </is>
      </c>
      <c r="J39" s="111" t="inlineStr">
        <is>
          <t>2022Q1</t>
        </is>
      </c>
      <c r="K39" s="111" t="inlineStr">
        <is>
          <t>2022Q2</t>
        </is>
      </c>
      <c r="L39" s="111" t="inlineStr">
        <is>
          <t>2022Q3</t>
        </is>
      </c>
      <c r="M39" s="111" t="inlineStr">
        <is>
          <t>2022Q4</t>
        </is>
      </c>
      <c r="N39" s="111" t="inlineStr">
        <is>
          <t>2023Q1</t>
        </is>
      </c>
      <c r="O39" s="111" t="inlineStr">
        <is>
          <t>2023Q2</t>
        </is>
      </c>
      <c r="P39" s="111" t="inlineStr">
        <is>
          <t>2023Q3</t>
        </is>
      </c>
      <c r="Q39" s="111" t="inlineStr">
        <is>
          <t>2023Q4</t>
        </is>
      </c>
      <c r="R39" s="111" t="inlineStr">
        <is>
          <t>2024Q1</t>
        </is>
      </c>
      <c r="S39" s="111" t="inlineStr">
        <is>
          <t>2024Q2</t>
        </is>
      </c>
      <c r="T39" s="111" t="inlineStr">
        <is>
          <t>2024Q3</t>
        </is>
      </c>
      <c r="U39" s="111" t="inlineStr">
        <is>
          <t>2024Q4</t>
        </is>
      </c>
      <c r="V39" s="111" t="inlineStr">
        <is>
          <t>2025Q1</t>
        </is>
      </c>
      <c r="W39" s="111" t="inlineStr">
        <is>
          <t>2025Q2</t>
        </is>
      </c>
      <c r="X39" s="111" t="inlineStr">
        <is>
          <t>2025Q3</t>
        </is>
      </c>
      <c r="Y39" s="111" t="inlineStr">
        <is>
          <t>2025Q4</t>
        </is>
      </c>
      <c r="Z39" s="111" t="inlineStr">
        <is>
          <t>2026Q1</t>
        </is>
      </c>
      <c r="AA39" s="111" t="inlineStr">
        <is>
          <t>2026Q2</t>
        </is>
      </c>
      <c r="AB39" s="111" t="inlineStr">
        <is>
          <t>2026Q3</t>
        </is>
      </c>
      <c r="AC39" s="111" t="inlineStr">
        <is>
          <t>2026Q4</t>
        </is>
      </c>
      <c r="AD39" s="111" t="inlineStr">
        <is>
          <t>2027Q1</t>
        </is>
      </c>
      <c r="AE39" s="111" t="inlineStr">
        <is>
          <t>2027Q2</t>
        </is>
      </c>
      <c r="AF39" s="111" t="inlineStr">
        <is>
          <t>2027Q3</t>
        </is>
      </c>
      <c r="AG39" s="111" t="inlineStr">
        <is>
          <t>2027Q4</t>
        </is>
      </c>
      <c r="AH39" s="111" t="inlineStr">
        <is>
          <t>2028Q1</t>
        </is>
      </c>
      <c r="AI39" s="111" t="inlineStr">
        <is>
          <t>2028Q2</t>
        </is>
      </c>
      <c r="AJ39" s="111" t="inlineStr">
        <is>
          <t>2028Q3</t>
        </is>
      </c>
      <c r="AK39" s="111" t="inlineStr">
        <is>
          <t>2028Q4</t>
        </is>
      </c>
      <c r="AL39" s="111" t="inlineStr">
        <is>
          <t>2029Q1</t>
        </is>
      </c>
      <c r="AM39" s="111" t="inlineStr">
        <is>
          <t>2029Q2</t>
        </is>
      </c>
      <c r="AN39" s="111" t="inlineStr">
        <is>
          <t>2029Q3</t>
        </is>
      </c>
      <c r="AO39" s="111" t="inlineStr">
        <is>
          <t>2029Q4</t>
        </is>
      </c>
      <c r="AP39" s="111" t="inlineStr">
        <is>
          <t>2030Q1</t>
        </is>
      </c>
      <c r="AQ39" s="111" t="inlineStr">
        <is>
          <t>2030Q2</t>
        </is>
      </c>
      <c r="AR39" s="111" t="inlineStr">
        <is>
          <t>2030Q3</t>
        </is>
      </c>
      <c r="AS39" s="111" t="inlineStr">
        <is>
          <t>2030Q4</t>
        </is>
      </c>
      <c r="AT39" s="111" t="inlineStr">
        <is>
          <t>2031Q1</t>
        </is>
      </c>
    </row>
    <row r="40">
      <c r="A40" s="219" t="inlineStr">
        <is>
          <t>분기 순번(추세계산용)</t>
        </is>
      </c>
      <c r="B40" s="219" t="n">
        <v>1</v>
      </c>
      <c r="C40" s="219" t="n">
        <v>2</v>
      </c>
      <c r="D40" s="219" t="n">
        <v>3</v>
      </c>
      <c r="E40" s="219" t="n">
        <v>4</v>
      </c>
      <c r="F40" s="219" t="n">
        <v>5</v>
      </c>
      <c r="G40" s="219" t="n">
        <v>6</v>
      </c>
      <c r="H40" s="219" t="n">
        <v>7</v>
      </c>
      <c r="I40" s="219" t="n">
        <v>8</v>
      </c>
      <c r="J40" s="219" t="n">
        <v>9</v>
      </c>
      <c r="K40" s="219" t="n">
        <v>10</v>
      </c>
      <c r="L40" s="219" t="n">
        <v>11</v>
      </c>
      <c r="M40" s="219" t="n">
        <v>12</v>
      </c>
      <c r="N40" s="219" t="n">
        <v>13</v>
      </c>
      <c r="O40" s="219" t="n">
        <v>14</v>
      </c>
      <c r="P40" s="219" t="n">
        <v>15</v>
      </c>
      <c r="Q40" s="219" t="n">
        <v>16</v>
      </c>
      <c r="R40" s="219" t="n">
        <v>17</v>
      </c>
      <c r="S40" s="219" t="n">
        <v>18</v>
      </c>
      <c r="T40" s="219" t="n">
        <v>19</v>
      </c>
      <c r="U40" s="219" t="n">
        <v>20</v>
      </c>
      <c r="V40" s="219" t="n">
        <v>21</v>
      </c>
      <c r="W40" s="219" t="n">
        <v>22</v>
      </c>
      <c r="X40" s="219" t="n">
        <v>23</v>
      </c>
      <c r="Y40" s="219" t="n">
        <v>24</v>
      </c>
      <c r="Z40" s="219" t="n">
        <v>25</v>
      </c>
      <c r="AA40" s="219" t="n">
        <v>26</v>
      </c>
      <c r="AB40" s="219" t="n">
        <v>27</v>
      </c>
      <c r="AC40" s="219" t="n">
        <v>28</v>
      </c>
      <c r="AD40" s="219" t="n">
        <v>29</v>
      </c>
      <c r="AE40" s="219" t="n">
        <v>30</v>
      </c>
      <c r="AF40" s="219" t="n">
        <v>31</v>
      </c>
      <c r="AG40" s="219" t="n">
        <v>32</v>
      </c>
      <c r="AH40" s="219" t="n">
        <v>33</v>
      </c>
      <c r="AI40" s="219" t="n">
        <v>34</v>
      </c>
      <c r="AJ40" s="219" t="n">
        <v>35</v>
      </c>
      <c r="AK40" s="219" t="n">
        <v>36</v>
      </c>
      <c r="AL40" s="219" t="n">
        <v>37</v>
      </c>
      <c r="AM40" s="219" t="n">
        <v>38</v>
      </c>
      <c r="AN40" s="219" t="n">
        <v>39</v>
      </c>
      <c r="AO40" s="219" t="n">
        <v>40</v>
      </c>
      <c r="AP40" s="219" t="n">
        <v>41</v>
      </c>
      <c r="AQ40" s="219" t="n">
        <v>42</v>
      </c>
      <c r="AR40" s="219" t="n">
        <v>43</v>
      </c>
      <c r="AS40" s="219" t="n">
        <v>44</v>
      </c>
      <c r="AT40" s="219" t="n">
        <v>45</v>
      </c>
    </row>
    <row r="42">
      <c r="A42" s="41" t="inlineStr">
        <is>
          <t>■ E. 종별 NSA MS  :    [ NSA 수량 (C) x NSA 종별 비율 (D) / 종별 Ramosetron 수량 (B) ]</t>
        </is>
      </c>
    </row>
    <row r="43">
      <c r="A43" s="64" t="inlineStr">
        <is>
          <t>상급종합병원</t>
        </is>
      </c>
      <c r="B43" s="263">
        <f>원자료_분기실측!B46</f>
        <v/>
      </c>
      <c r="C43" s="263">
        <f>원자료_분기실측!C46</f>
        <v/>
      </c>
      <c r="D43" s="263">
        <f>원자료_분기실측!D46</f>
        <v/>
      </c>
      <c r="E43" s="263">
        <f>원자료_분기실측!E46</f>
        <v/>
      </c>
      <c r="F43" s="263">
        <f>원자료_분기실측!F46</f>
        <v/>
      </c>
      <c r="G43" s="263">
        <f>원자료_분기실측!G46</f>
        <v/>
      </c>
      <c r="H43" s="263">
        <f>원자료_분기실측!H46</f>
        <v/>
      </c>
      <c r="I43" s="263">
        <f>원자료_분기실측!I46</f>
        <v/>
      </c>
      <c r="J43" s="263">
        <f>원자료_분기실측!J46</f>
        <v/>
      </c>
      <c r="K43" s="263">
        <f>원자료_분기실측!K46</f>
        <v/>
      </c>
      <c r="L43" s="263">
        <f>원자료_분기실측!L46</f>
        <v/>
      </c>
      <c r="M43" s="263">
        <f>원자료_분기실측!M46</f>
        <v/>
      </c>
      <c r="N43" s="263">
        <f>원자료_분기실측!N46</f>
        <v/>
      </c>
      <c r="O43" s="263">
        <f>원자료_분기실측!O46</f>
        <v/>
      </c>
      <c r="P43" s="263">
        <f>원자료_분기실측!P46</f>
        <v/>
      </c>
      <c r="Q43" s="263">
        <f>원자료_분기실측!Q46</f>
        <v/>
      </c>
      <c r="R43" s="263">
        <f>원자료_분기실측!R46</f>
        <v/>
      </c>
      <c r="S43" s="263">
        <f>원자료_분기실측!S46</f>
        <v/>
      </c>
      <c r="T43" s="263">
        <f>원자료_분기실측!T46</f>
        <v/>
      </c>
      <c r="U43" s="263">
        <f>원자료_분기실측!U46</f>
        <v/>
      </c>
      <c r="V43" s="263">
        <f>원자료_분기실측!V46</f>
        <v/>
      </c>
      <c r="W43" s="263">
        <f>원자료_분기실측!W46</f>
        <v/>
      </c>
      <c r="X43" s="263">
        <f>원자료_분기실측!X46</f>
        <v/>
      </c>
      <c r="Y43" s="263">
        <f>원자료_분기실측!Y46</f>
        <v/>
      </c>
      <c r="Z43" s="263">
        <f>원자료_분기실측!Z46</f>
        <v/>
      </c>
      <c r="AA43" s="264">
        <f>MAX($E$32,$Z$43+$D$32*(AA40-$Z$40))</f>
        <v/>
      </c>
      <c r="AB43" s="264">
        <f>MAX($E$32,$Z$43+$D$32*(AB40-$Z$40))</f>
        <v/>
      </c>
      <c r="AC43" s="264">
        <f>MAX($E$32,$Z$43+$D$32*(AC40-$Z$40))</f>
        <v/>
      </c>
      <c r="AD43" s="264">
        <f>MAX($E$32,$Z$43+$D$32*(AD40-$Z$40))</f>
        <v/>
      </c>
      <c r="AE43" s="264">
        <f>MAX($E$32,$Z$43+$D$32*(AE40-$Z$40))</f>
        <v/>
      </c>
      <c r="AF43" s="264">
        <f>MAX($E$32,$Z$43+$D$32*(AF40-$Z$40))</f>
        <v/>
      </c>
      <c r="AG43" s="264">
        <f>MAX($E$32,$Z$43+$D$32*(AG40-$Z$40))</f>
        <v/>
      </c>
      <c r="AH43" s="264">
        <f>MAX($E$32,$Z$43+$D$32*(AH40-$Z$40))</f>
        <v/>
      </c>
      <c r="AI43" s="264">
        <f>MAX($E$32,$Z$43+$D$32*(AI40-$Z$40))</f>
        <v/>
      </c>
      <c r="AJ43" s="264">
        <f>MAX($E$32,$Z$43+$D$32*(AJ40-$Z$40))</f>
        <v/>
      </c>
      <c r="AK43" s="264">
        <f>MAX($E$32,$Z$43+$D$32*(AK40-$Z$40))</f>
        <v/>
      </c>
      <c r="AL43" s="264">
        <f>MAX($E$32,$Z$43+$D$32*(AL40-$Z$40))</f>
        <v/>
      </c>
      <c r="AM43" s="264">
        <f>MAX($E$32,$Z$43+$D$32*(AM40-$Z$40))</f>
        <v/>
      </c>
      <c r="AN43" s="264">
        <f>MAX($E$32,$Z$43+$D$32*(AN40-$Z$40))</f>
        <v/>
      </c>
      <c r="AO43" s="264">
        <f>MAX($E$32,$Z$43+$D$32*(AO40-$Z$40))</f>
        <v/>
      </c>
      <c r="AP43" s="264">
        <f>MAX($E$32,$Z$43+$D$32*(AP40-$Z$40))</f>
        <v/>
      </c>
      <c r="AQ43" s="264">
        <f>MAX($E$32,$Z$43+$D$32*(AQ40-$Z$40))</f>
        <v/>
      </c>
      <c r="AR43" s="264">
        <f>MAX($E$32,$Z$43+$D$32*(AR40-$Z$40))</f>
        <v/>
      </c>
      <c r="AS43" s="264">
        <f>MAX($E$32,$Z$43+$D$32*(AS40-$Z$40))</f>
        <v/>
      </c>
      <c r="AT43" s="264">
        <f>MAX($E$32,$Z$43+$D$32*(AT40-$Z$40))</f>
        <v/>
      </c>
    </row>
    <row r="44">
      <c r="A44" s="64" t="inlineStr">
        <is>
          <t>종합병원</t>
        </is>
      </c>
      <c r="B44" s="263">
        <f>원자료_분기실측!B47</f>
        <v/>
      </c>
      <c r="C44" s="263">
        <f>원자료_분기실측!C47</f>
        <v/>
      </c>
      <c r="D44" s="263">
        <f>원자료_분기실측!D47</f>
        <v/>
      </c>
      <c r="E44" s="263">
        <f>원자료_분기실측!E47</f>
        <v/>
      </c>
      <c r="F44" s="263">
        <f>원자료_분기실측!F47</f>
        <v/>
      </c>
      <c r="G44" s="263">
        <f>원자료_분기실측!G47</f>
        <v/>
      </c>
      <c r="H44" s="263">
        <f>원자료_분기실측!H47</f>
        <v/>
      </c>
      <c r="I44" s="263">
        <f>원자료_분기실측!I47</f>
        <v/>
      </c>
      <c r="J44" s="263">
        <f>원자료_분기실측!J47</f>
        <v/>
      </c>
      <c r="K44" s="263">
        <f>원자료_분기실측!K47</f>
        <v/>
      </c>
      <c r="L44" s="263">
        <f>원자료_분기실측!L47</f>
        <v/>
      </c>
      <c r="M44" s="263">
        <f>원자료_분기실측!M47</f>
        <v/>
      </c>
      <c r="N44" s="263">
        <f>원자료_분기실측!N47</f>
        <v/>
      </c>
      <c r="O44" s="263">
        <f>원자료_분기실측!O47</f>
        <v/>
      </c>
      <c r="P44" s="263">
        <f>원자료_분기실측!P47</f>
        <v/>
      </c>
      <c r="Q44" s="263">
        <f>원자료_분기실측!Q47</f>
        <v/>
      </c>
      <c r="R44" s="263">
        <f>원자료_분기실측!R47</f>
        <v/>
      </c>
      <c r="S44" s="263">
        <f>원자료_분기실측!S47</f>
        <v/>
      </c>
      <c r="T44" s="263">
        <f>원자료_분기실측!T47</f>
        <v/>
      </c>
      <c r="U44" s="263">
        <f>원자료_분기실측!U47</f>
        <v/>
      </c>
      <c r="V44" s="263">
        <f>원자료_분기실측!V47</f>
        <v/>
      </c>
      <c r="W44" s="263">
        <f>원자료_분기실측!W47</f>
        <v/>
      </c>
      <c r="X44" s="263">
        <f>원자료_분기실측!X47</f>
        <v/>
      </c>
      <c r="Y44" s="263">
        <f>원자료_분기실측!Y47</f>
        <v/>
      </c>
      <c r="Z44" s="263">
        <f>원자료_분기실측!Z47</f>
        <v/>
      </c>
      <c r="AA44" s="264">
        <f>$E$33/(1+EXP(-(LN($Z$44/($E$33-$Z$44))+$D$33*(AA40-$Z$40))))</f>
        <v/>
      </c>
      <c r="AB44" s="264">
        <f>$E$33/(1+EXP(-(LN($Z$44/($E$33-$Z$44))+$D$33*(AB40-$Z$40))))</f>
        <v/>
      </c>
      <c r="AC44" s="264">
        <f>$E$33/(1+EXP(-(LN($Z$44/($E$33-$Z$44))+$D$33*(AC40-$Z$40))))</f>
        <v/>
      </c>
      <c r="AD44" s="264">
        <f>$E$33/(1+EXP(-(LN($Z$44/($E$33-$Z$44))+$D$33*(AD40-$Z$40))))</f>
        <v/>
      </c>
      <c r="AE44" s="264">
        <f>$E$33/(1+EXP(-(LN($Z$44/($E$33-$Z$44))+$D$33*(AE40-$Z$40))))</f>
        <v/>
      </c>
      <c r="AF44" s="264">
        <f>$E$33/(1+EXP(-(LN($Z$44/($E$33-$Z$44))+$D$33*(AF40-$Z$40))))</f>
        <v/>
      </c>
      <c r="AG44" s="264">
        <f>$E$33/(1+EXP(-(LN($Z$44/($E$33-$Z$44))+$D$33*(AG40-$Z$40))))</f>
        <v/>
      </c>
      <c r="AH44" s="264">
        <f>$E$33/(1+EXP(-(LN($Z$44/($E$33-$Z$44))+$D$33*(AH40-$Z$40))))</f>
        <v/>
      </c>
      <c r="AI44" s="264">
        <f>$E$33/(1+EXP(-(LN($Z$44/($E$33-$Z$44))+$D$33*(AI40-$Z$40))))</f>
        <v/>
      </c>
      <c r="AJ44" s="264">
        <f>$E$33/(1+EXP(-(LN($Z$44/($E$33-$Z$44))+$D$33*(AJ40-$Z$40))))</f>
        <v/>
      </c>
      <c r="AK44" s="264">
        <f>$E$33/(1+EXP(-(LN($Z$44/($E$33-$Z$44))+$D$33*(AK40-$Z$40))))</f>
        <v/>
      </c>
      <c r="AL44" s="264">
        <f>$E$33/(1+EXP(-(LN($Z$44/($E$33-$Z$44))+$D$33*(AL40-$Z$40))))</f>
        <v/>
      </c>
      <c r="AM44" s="264">
        <f>$E$33/(1+EXP(-(LN($Z$44/($E$33-$Z$44))+$D$33*(AM40-$Z$40))))</f>
        <v/>
      </c>
      <c r="AN44" s="264">
        <f>$E$33/(1+EXP(-(LN($Z$44/($E$33-$Z$44))+$D$33*(AN40-$Z$40))))</f>
        <v/>
      </c>
      <c r="AO44" s="264">
        <f>$E$33/(1+EXP(-(LN($Z$44/($E$33-$Z$44))+$D$33*(AO40-$Z$40))))</f>
        <v/>
      </c>
      <c r="AP44" s="264">
        <f>$E$33/(1+EXP(-(LN($Z$44/($E$33-$Z$44))+$D$33*(AP40-$Z$40))))</f>
        <v/>
      </c>
      <c r="AQ44" s="264">
        <f>$E$33/(1+EXP(-(LN($Z$44/($E$33-$Z$44))+$D$33*(AQ40-$Z$40))))</f>
        <v/>
      </c>
      <c r="AR44" s="264">
        <f>$E$33/(1+EXP(-(LN($Z$44/($E$33-$Z$44))+$D$33*(AR40-$Z$40))))</f>
        <v/>
      </c>
      <c r="AS44" s="264">
        <f>$E$33/(1+EXP(-(LN($Z$44/($E$33-$Z$44))+$D$33*(AS40-$Z$40))))</f>
        <v/>
      </c>
      <c r="AT44" s="264">
        <f>$E$33/(1+EXP(-(LN($Z$44/($E$33-$Z$44))+$D$33*(AT40-$Z$40))))</f>
        <v/>
      </c>
    </row>
    <row r="45">
      <c r="A45" s="64" t="inlineStr">
        <is>
          <t>병원</t>
        </is>
      </c>
      <c r="B45" s="263">
        <f>원자료_분기실측!B48</f>
        <v/>
      </c>
      <c r="C45" s="263">
        <f>원자료_분기실측!C48</f>
        <v/>
      </c>
      <c r="D45" s="263">
        <f>원자료_분기실측!D48</f>
        <v/>
      </c>
      <c r="E45" s="263">
        <f>원자료_분기실측!E48</f>
        <v/>
      </c>
      <c r="F45" s="263">
        <f>원자료_분기실측!F48</f>
        <v/>
      </c>
      <c r="G45" s="263">
        <f>원자료_분기실측!G48</f>
        <v/>
      </c>
      <c r="H45" s="263">
        <f>원자료_분기실측!H48</f>
        <v/>
      </c>
      <c r="I45" s="263">
        <f>원자료_분기실측!I48</f>
        <v/>
      </c>
      <c r="J45" s="263">
        <f>원자료_분기실측!J48</f>
        <v/>
      </c>
      <c r="K45" s="263">
        <f>원자료_분기실측!K48</f>
        <v/>
      </c>
      <c r="L45" s="263">
        <f>원자료_분기실측!L48</f>
        <v/>
      </c>
      <c r="M45" s="263">
        <f>원자료_분기실측!M48</f>
        <v/>
      </c>
      <c r="N45" s="263">
        <f>원자료_분기실측!N48</f>
        <v/>
      </c>
      <c r="O45" s="263">
        <f>원자료_분기실측!O48</f>
        <v/>
      </c>
      <c r="P45" s="263">
        <f>원자료_분기실측!P48</f>
        <v/>
      </c>
      <c r="Q45" s="263">
        <f>원자료_분기실측!Q48</f>
        <v/>
      </c>
      <c r="R45" s="263">
        <f>원자료_분기실측!R48</f>
        <v/>
      </c>
      <c r="S45" s="263">
        <f>원자료_분기실측!S48</f>
        <v/>
      </c>
      <c r="T45" s="263">
        <f>원자료_분기실측!T48</f>
        <v/>
      </c>
      <c r="U45" s="263">
        <f>원자료_분기실측!U48</f>
        <v/>
      </c>
      <c r="V45" s="263">
        <f>원자료_분기실측!V48</f>
        <v/>
      </c>
      <c r="W45" s="263">
        <f>원자료_분기실측!W48</f>
        <v/>
      </c>
      <c r="X45" s="263">
        <f>원자료_분기실측!X48</f>
        <v/>
      </c>
      <c r="Y45" s="263">
        <f>원자료_분기실측!Y48</f>
        <v/>
      </c>
      <c r="Z45" s="263">
        <f>원자료_분기실측!Z48</f>
        <v/>
      </c>
      <c r="AA45" s="264">
        <f>AVERAGE(W45,X45,Y45,Z45)</f>
        <v/>
      </c>
      <c r="AB45" s="264">
        <f>AVERAGE(X45,Y45,Z45,AA45)</f>
        <v/>
      </c>
      <c r="AC45" s="264">
        <f>AVERAGE(Y45,Z45,AA45,AB45)</f>
        <v/>
      </c>
      <c r="AD45" s="264">
        <f>AVERAGE(Z45,AA45,AB45,AC45)</f>
        <v/>
      </c>
      <c r="AE45" s="264">
        <f>AVERAGE(AA45,AB45,AC45,AD45)</f>
        <v/>
      </c>
      <c r="AF45" s="264">
        <f>AVERAGE(AB45,AC45,AD45,AE45)</f>
        <v/>
      </c>
      <c r="AG45" s="264">
        <f>AVERAGE(AC45,AD45,AE45,AF45)</f>
        <v/>
      </c>
      <c r="AH45" s="264">
        <f>AVERAGE(AD45,AE45,AF45,AG45)</f>
        <v/>
      </c>
      <c r="AI45" s="264">
        <f>AVERAGE(AE45,AF45,AG45,AH45)</f>
        <v/>
      </c>
      <c r="AJ45" s="264">
        <f>AVERAGE(AF45,AG45,AH45,AI45)</f>
        <v/>
      </c>
      <c r="AK45" s="264">
        <f>AVERAGE(AG45,AH45,AI45,AJ45)</f>
        <v/>
      </c>
      <c r="AL45" s="264">
        <f>AVERAGE(AH45,AI45,AJ45,AK45)</f>
        <v/>
      </c>
      <c r="AM45" s="264">
        <f>AVERAGE(AI45,AJ45,AK45,AL45)</f>
        <v/>
      </c>
      <c r="AN45" s="264">
        <f>AVERAGE(AJ45,AK45,AL45,AM45)</f>
        <v/>
      </c>
      <c r="AO45" s="264">
        <f>AVERAGE(AK45,AL45,AM45,AN45)</f>
        <v/>
      </c>
      <c r="AP45" s="264">
        <f>AVERAGE(AL45,AM45,AN45,AO45)</f>
        <v/>
      </c>
      <c r="AQ45" s="264">
        <f>AVERAGE(AM45,AN45,AO45,AP45)</f>
        <v/>
      </c>
      <c r="AR45" s="264">
        <f>AVERAGE(AN45,AO45,AP45,AQ45)</f>
        <v/>
      </c>
      <c r="AS45" s="264">
        <f>AVERAGE(AO45,AP45,AQ45,AR45)</f>
        <v/>
      </c>
      <c r="AT45" s="264">
        <f>AVERAGE(AP45,AQ45,AR45,AS45)</f>
        <v/>
      </c>
    </row>
    <row r="46">
      <c r="A46" s="64" t="inlineStr">
        <is>
          <t>의원</t>
        </is>
      </c>
      <c r="B46" s="263">
        <f>원자료_분기실측!B49</f>
        <v/>
      </c>
      <c r="C46" s="263">
        <f>원자료_분기실측!C49</f>
        <v/>
      </c>
      <c r="D46" s="263">
        <f>원자료_분기실측!D49</f>
        <v/>
      </c>
      <c r="E46" s="263">
        <f>원자료_분기실측!E49</f>
        <v/>
      </c>
      <c r="F46" s="263">
        <f>원자료_분기실측!F49</f>
        <v/>
      </c>
      <c r="G46" s="263">
        <f>원자료_분기실측!G49</f>
        <v/>
      </c>
      <c r="H46" s="263">
        <f>원자료_분기실측!H49</f>
        <v/>
      </c>
      <c r="I46" s="263">
        <f>원자료_분기실측!I49</f>
        <v/>
      </c>
      <c r="J46" s="263">
        <f>원자료_분기실측!J49</f>
        <v/>
      </c>
      <c r="K46" s="263">
        <f>원자료_분기실측!K49</f>
        <v/>
      </c>
      <c r="L46" s="263">
        <f>원자료_분기실측!L49</f>
        <v/>
      </c>
      <c r="M46" s="263">
        <f>원자료_분기실측!M49</f>
        <v/>
      </c>
      <c r="N46" s="263">
        <f>원자료_분기실측!N49</f>
        <v/>
      </c>
      <c r="O46" s="263">
        <f>원자료_분기실측!O49</f>
        <v/>
      </c>
      <c r="P46" s="263">
        <f>원자료_분기실측!P49</f>
        <v/>
      </c>
      <c r="Q46" s="263">
        <f>원자료_분기실측!Q49</f>
        <v/>
      </c>
      <c r="R46" s="263">
        <f>원자료_분기실측!R49</f>
        <v/>
      </c>
      <c r="S46" s="263">
        <f>원자료_분기실측!S49</f>
        <v/>
      </c>
      <c r="T46" s="263">
        <f>원자료_분기실측!T49</f>
        <v/>
      </c>
      <c r="U46" s="263">
        <f>원자료_분기실측!U49</f>
        <v/>
      </c>
      <c r="V46" s="263">
        <f>원자료_분기실측!V49</f>
        <v/>
      </c>
      <c r="W46" s="263">
        <f>원자료_분기실측!W49</f>
        <v/>
      </c>
      <c r="X46" s="263">
        <f>원자료_분기실측!X49</f>
        <v/>
      </c>
      <c r="Y46" s="263">
        <f>원자료_분기실측!Y49</f>
        <v/>
      </c>
      <c r="Z46" s="263">
        <f>원자료_분기실측!Z49</f>
        <v/>
      </c>
      <c r="AA46" s="264">
        <f>$Z$47</f>
        <v/>
      </c>
      <c r="AB46" s="264">
        <f>$Z$47</f>
        <v/>
      </c>
      <c r="AC46" s="264">
        <f>$Z$47</f>
        <v/>
      </c>
      <c r="AD46" s="264">
        <f>$Z$47</f>
        <v/>
      </c>
      <c r="AE46" s="264">
        <f>$Z$47</f>
        <v/>
      </c>
      <c r="AF46" s="264">
        <f>$Z$47</f>
        <v/>
      </c>
      <c r="AG46" s="264">
        <f>$Z$47</f>
        <v/>
      </c>
      <c r="AH46" s="264">
        <f>$Z$47</f>
        <v/>
      </c>
      <c r="AI46" s="264">
        <f>$Z$47</f>
        <v/>
      </c>
      <c r="AJ46" s="264">
        <f>$Z$47</f>
        <v/>
      </c>
      <c r="AK46" s="264">
        <f>$Z$47</f>
        <v/>
      </c>
      <c r="AL46" s="264">
        <f>$Z$47</f>
        <v/>
      </c>
      <c r="AM46" s="264">
        <f>$Z$47</f>
        <v/>
      </c>
      <c r="AN46" s="264">
        <f>$Z$47</f>
        <v/>
      </c>
      <c r="AO46" s="264">
        <f>$Z$47</f>
        <v/>
      </c>
      <c r="AP46" s="264">
        <f>$Z$47</f>
        <v/>
      </c>
      <c r="AQ46" s="264">
        <f>$Z$47</f>
        <v/>
      </c>
      <c r="AR46" s="264">
        <f>$Z$47</f>
        <v/>
      </c>
      <c r="AS46" s="264">
        <f>$Z$47</f>
        <v/>
      </c>
      <c r="AT46" s="264">
        <f>$Z$47</f>
        <v/>
      </c>
    </row>
    <row r="47">
      <c r="A47" s="64" t="inlineStr">
        <is>
          <t xml:space="preserve">  [의원 EWMA 계산용, alpha=0.3]</t>
        </is>
      </c>
      <c r="B47" s="219" t="n"/>
      <c r="C47" s="219" t="n"/>
      <c r="D47" s="219" t="n"/>
      <c r="E47" s="219" t="n"/>
      <c r="F47" s="255">
        <f>F46</f>
        <v/>
      </c>
      <c r="G47" s="219">
        <f>0.3*G46+0.7*F47</f>
        <v/>
      </c>
      <c r="H47" s="219">
        <f>0.3*H46+0.7*G47</f>
        <v/>
      </c>
      <c r="I47" s="219">
        <f>0.3*I46+0.7*H47</f>
        <v/>
      </c>
      <c r="J47" s="219">
        <f>0.3*J46+0.7*I47</f>
        <v/>
      </c>
      <c r="K47" s="219">
        <f>0.3*K46+0.7*J47</f>
        <v/>
      </c>
      <c r="L47" s="219">
        <f>0.3*L46+0.7*K47</f>
        <v/>
      </c>
      <c r="M47" s="219">
        <f>0.3*M46+0.7*L47</f>
        <v/>
      </c>
      <c r="N47" s="219">
        <f>0.3*N46+0.7*M47</f>
        <v/>
      </c>
      <c r="O47" s="219">
        <f>0.3*O46+0.7*N47</f>
        <v/>
      </c>
      <c r="P47" s="219">
        <f>0.3*P46+0.7*O47</f>
        <v/>
      </c>
      <c r="Q47" s="219">
        <f>0.3*Q46+0.7*P47</f>
        <v/>
      </c>
      <c r="R47" s="219">
        <f>0.3*R46+0.7*Q47</f>
        <v/>
      </c>
      <c r="S47" s="219">
        <f>0.3*S46+0.7*R47</f>
        <v/>
      </c>
      <c r="T47" s="219">
        <f>0.3*T46+0.7*S47</f>
        <v/>
      </c>
      <c r="U47" s="219">
        <f>0.3*U46+0.7*T47</f>
        <v/>
      </c>
      <c r="V47" s="219">
        <f>0.3*V46+0.7*U47</f>
        <v/>
      </c>
      <c r="W47" s="219">
        <f>0.3*W46+0.7*V47</f>
        <v/>
      </c>
      <c r="X47" s="219">
        <f>0.3*X46+0.7*W47</f>
        <v/>
      </c>
      <c r="Y47" s="219">
        <f>0.3*Y46+0.7*X47</f>
        <v/>
      </c>
      <c r="Z47" s="219">
        <f>0.3*Z46+0.7*Y47</f>
        <v/>
      </c>
    </row>
    <row r="48">
      <c r="A48" s="41" t="inlineStr">
        <is>
          <t>■ F. 종별 NSA 수량  :    [ 종별 Ramosetron 수량 (B) x 종별 NSA MS (E) ]</t>
        </is>
      </c>
    </row>
    <row r="49">
      <c r="A49" s="64" t="inlineStr">
        <is>
          <t>상급종합병원</t>
        </is>
      </c>
      <c r="B49" s="265">
        <f>'근거_Ramosetron 시장 수량'!B86*B43</f>
        <v/>
      </c>
      <c r="C49" s="265">
        <f>'근거_Ramosetron 시장 수량'!C86*C43</f>
        <v/>
      </c>
      <c r="D49" s="265">
        <f>'근거_Ramosetron 시장 수량'!D86*D43</f>
        <v/>
      </c>
      <c r="E49" s="265">
        <f>'근거_Ramosetron 시장 수량'!E86*E43</f>
        <v/>
      </c>
      <c r="F49" s="265">
        <f>'근거_Ramosetron 시장 수량'!F86*F43</f>
        <v/>
      </c>
      <c r="G49" s="265">
        <f>'근거_Ramosetron 시장 수량'!G86*G43</f>
        <v/>
      </c>
      <c r="H49" s="265">
        <f>'근거_Ramosetron 시장 수량'!H86*H43</f>
        <v/>
      </c>
      <c r="I49" s="265">
        <f>'근거_Ramosetron 시장 수량'!I86*I43</f>
        <v/>
      </c>
      <c r="J49" s="265">
        <f>'근거_Ramosetron 시장 수량'!J86*J43</f>
        <v/>
      </c>
      <c r="K49" s="265">
        <f>'근거_Ramosetron 시장 수량'!K86*K43</f>
        <v/>
      </c>
      <c r="L49" s="265">
        <f>'근거_Ramosetron 시장 수량'!L86*L43</f>
        <v/>
      </c>
      <c r="M49" s="265">
        <f>'근거_Ramosetron 시장 수량'!M86*M43</f>
        <v/>
      </c>
      <c r="N49" s="265">
        <f>'근거_Ramosetron 시장 수량'!N86*N43</f>
        <v/>
      </c>
      <c r="O49" s="265">
        <f>'근거_Ramosetron 시장 수량'!O86*O43</f>
        <v/>
      </c>
      <c r="P49" s="265">
        <f>'근거_Ramosetron 시장 수량'!P86*P43</f>
        <v/>
      </c>
      <c r="Q49" s="265">
        <f>'근거_Ramosetron 시장 수량'!Q86*Q43</f>
        <v/>
      </c>
      <c r="R49" s="265">
        <f>'근거_Ramosetron 시장 수량'!R86*R43</f>
        <v/>
      </c>
      <c r="S49" s="265">
        <f>'근거_Ramosetron 시장 수량'!S86*S43</f>
        <v/>
      </c>
      <c r="T49" s="265">
        <f>'근거_Ramosetron 시장 수량'!T86*T43</f>
        <v/>
      </c>
      <c r="U49" s="265">
        <f>'근거_Ramosetron 시장 수량'!U86*U43</f>
        <v/>
      </c>
      <c r="V49" s="265">
        <f>'근거_Ramosetron 시장 수량'!V86*V43</f>
        <v/>
      </c>
      <c r="W49" s="265">
        <f>'근거_Ramosetron 시장 수량'!W86*W43</f>
        <v/>
      </c>
      <c r="X49" s="265">
        <f>'근거_Ramosetron 시장 수량'!X86*X43</f>
        <v/>
      </c>
      <c r="Y49" s="265">
        <f>'근거_Ramosetron 시장 수량'!Y86*Y43</f>
        <v/>
      </c>
      <c r="Z49" s="265">
        <f>'근거_Ramosetron 시장 수량'!Z86*Z43</f>
        <v/>
      </c>
      <c r="AA49" s="266">
        <f>'근거_Ramosetron 시장 수량'!AA86*'근거_NSA수량(IQVIA기준)'!AA43</f>
        <v/>
      </c>
      <c r="AB49" s="266">
        <f>'근거_Ramosetron 시장 수량'!AB86*'근거_NSA수량(IQVIA기준)'!AB43</f>
        <v/>
      </c>
      <c r="AC49" s="266">
        <f>'근거_Ramosetron 시장 수량'!AC86*'근거_NSA수량(IQVIA기준)'!AC43</f>
        <v/>
      </c>
      <c r="AD49" s="266">
        <f>'근거_Ramosetron 시장 수량'!AD86*'근거_NSA수량(IQVIA기준)'!AD43</f>
        <v/>
      </c>
      <c r="AE49" s="266">
        <f>'근거_Ramosetron 시장 수량'!AE86*'근거_NSA수량(IQVIA기준)'!AE43</f>
        <v/>
      </c>
      <c r="AF49" s="266">
        <f>'근거_Ramosetron 시장 수량'!AF86*'근거_NSA수량(IQVIA기준)'!AF43</f>
        <v/>
      </c>
      <c r="AG49" s="266">
        <f>'근거_Ramosetron 시장 수량'!AG86*'근거_NSA수량(IQVIA기준)'!AG43</f>
        <v/>
      </c>
      <c r="AH49" s="266">
        <f>'근거_Ramosetron 시장 수량'!AH86*'근거_NSA수량(IQVIA기준)'!AH43</f>
        <v/>
      </c>
      <c r="AI49" s="266">
        <f>'근거_Ramosetron 시장 수량'!AI86*'근거_NSA수량(IQVIA기준)'!AI43</f>
        <v/>
      </c>
      <c r="AJ49" s="266">
        <f>'근거_Ramosetron 시장 수량'!AJ86*'근거_NSA수량(IQVIA기준)'!AJ43</f>
        <v/>
      </c>
      <c r="AK49" s="266">
        <f>'근거_Ramosetron 시장 수량'!AK86*'근거_NSA수량(IQVIA기준)'!AK43</f>
        <v/>
      </c>
      <c r="AL49" s="266">
        <f>'근거_Ramosetron 시장 수량'!AL86*'근거_NSA수량(IQVIA기준)'!AL43</f>
        <v/>
      </c>
      <c r="AM49" s="266">
        <f>'근거_Ramosetron 시장 수량'!AM86*'근거_NSA수량(IQVIA기준)'!AM43</f>
        <v/>
      </c>
      <c r="AN49" s="266">
        <f>'근거_Ramosetron 시장 수량'!AN86*'근거_NSA수량(IQVIA기준)'!AN43</f>
        <v/>
      </c>
      <c r="AO49" s="266">
        <f>'근거_Ramosetron 시장 수량'!AO86*'근거_NSA수량(IQVIA기준)'!AO43</f>
        <v/>
      </c>
      <c r="AP49" s="266">
        <f>'근거_Ramosetron 시장 수량'!AP86*'근거_NSA수량(IQVIA기준)'!AP43</f>
        <v/>
      </c>
      <c r="AQ49" s="266">
        <f>'근거_Ramosetron 시장 수량'!AQ86*'근거_NSA수량(IQVIA기준)'!AQ43</f>
        <v/>
      </c>
      <c r="AR49" s="266">
        <f>'근거_Ramosetron 시장 수량'!AR86*'근거_NSA수량(IQVIA기준)'!AR43</f>
        <v/>
      </c>
      <c r="AS49" s="266">
        <f>'근거_Ramosetron 시장 수량'!AS86*'근거_NSA수량(IQVIA기준)'!AS43</f>
        <v/>
      </c>
      <c r="AT49" s="266">
        <f>'근거_Ramosetron 시장 수량'!AT86*'근거_NSA수량(IQVIA기준)'!AT43</f>
        <v/>
      </c>
    </row>
    <row r="50">
      <c r="A50" s="64" t="inlineStr">
        <is>
          <t>종합병원</t>
        </is>
      </c>
      <c r="B50" s="265">
        <f>'근거_Ramosetron 시장 수량'!B87*B44</f>
        <v/>
      </c>
      <c r="C50" s="265">
        <f>'근거_Ramosetron 시장 수량'!C87*C44</f>
        <v/>
      </c>
      <c r="D50" s="265">
        <f>'근거_Ramosetron 시장 수량'!D87*D44</f>
        <v/>
      </c>
      <c r="E50" s="265">
        <f>'근거_Ramosetron 시장 수량'!E87*E44</f>
        <v/>
      </c>
      <c r="F50" s="265">
        <f>'근거_Ramosetron 시장 수량'!F87*F44</f>
        <v/>
      </c>
      <c r="G50" s="265">
        <f>'근거_Ramosetron 시장 수량'!G87*G44</f>
        <v/>
      </c>
      <c r="H50" s="265">
        <f>'근거_Ramosetron 시장 수량'!H87*H44</f>
        <v/>
      </c>
      <c r="I50" s="265">
        <f>'근거_Ramosetron 시장 수량'!I87*I44</f>
        <v/>
      </c>
      <c r="J50" s="265">
        <f>'근거_Ramosetron 시장 수량'!J87*J44</f>
        <v/>
      </c>
      <c r="K50" s="265">
        <f>'근거_Ramosetron 시장 수량'!K87*K44</f>
        <v/>
      </c>
      <c r="L50" s="265">
        <f>'근거_Ramosetron 시장 수량'!L87*L44</f>
        <v/>
      </c>
      <c r="M50" s="265">
        <f>'근거_Ramosetron 시장 수량'!M87*M44</f>
        <v/>
      </c>
      <c r="N50" s="265">
        <f>'근거_Ramosetron 시장 수량'!N87*N44</f>
        <v/>
      </c>
      <c r="O50" s="265">
        <f>'근거_Ramosetron 시장 수량'!O87*O44</f>
        <v/>
      </c>
      <c r="P50" s="265">
        <f>'근거_Ramosetron 시장 수량'!P87*P44</f>
        <v/>
      </c>
      <c r="Q50" s="265">
        <f>'근거_Ramosetron 시장 수량'!Q87*Q44</f>
        <v/>
      </c>
      <c r="R50" s="265">
        <f>'근거_Ramosetron 시장 수량'!R87*R44</f>
        <v/>
      </c>
      <c r="S50" s="265">
        <f>'근거_Ramosetron 시장 수량'!S87*S44</f>
        <v/>
      </c>
      <c r="T50" s="265">
        <f>'근거_Ramosetron 시장 수량'!T87*T44</f>
        <v/>
      </c>
      <c r="U50" s="265">
        <f>'근거_Ramosetron 시장 수량'!U87*U44</f>
        <v/>
      </c>
      <c r="V50" s="265">
        <f>'근거_Ramosetron 시장 수량'!V87*V44</f>
        <v/>
      </c>
      <c r="W50" s="265">
        <f>'근거_Ramosetron 시장 수량'!W87*W44</f>
        <v/>
      </c>
      <c r="X50" s="265">
        <f>'근거_Ramosetron 시장 수량'!X87*X44</f>
        <v/>
      </c>
      <c r="Y50" s="265">
        <f>'근거_Ramosetron 시장 수량'!Y87*Y44</f>
        <v/>
      </c>
      <c r="Z50" s="265">
        <f>'근거_Ramosetron 시장 수량'!Z87*Z44</f>
        <v/>
      </c>
      <c r="AA50" s="266">
        <f>'근거_Ramosetron 시장 수량'!AA87*'근거_NSA수량(IQVIA기준)'!AA44</f>
        <v/>
      </c>
      <c r="AB50" s="266">
        <f>'근거_Ramosetron 시장 수량'!AB87*'근거_NSA수량(IQVIA기준)'!AB44</f>
        <v/>
      </c>
      <c r="AC50" s="266">
        <f>'근거_Ramosetron 시장 수량'!AC87*'근거_NSA수량(IQVIA기준)'!AC44</f>
        <v/>
      </c>
      <c r="AD50" s="266">
        <f>'근거_Ramosetron 시장 수량'!AD87*'근거_NSA수량(IQVIA기준)'!AD44</f>
        <v/>
      </c>
      <c r="AE50" s="266">
        <f>'근거_Ramosetron 시장 수량'!AE87*'근거_NSA수량(IQVIA기준)'!AE44</f>
        <v/>
      </c>
      <c r="AF50" s="266">
        <f>'근거_Ramosetron 시장 수량'!AF87*'근거_NSA수량(IQVIA기준)'!AF44</f>
        <v/>
      </c>
      <c r="AG50" s="266">
        <f>'근거_Ramosetron 시장 수량'!AG87*'근거_NSA수량(IQVIA기준)'!AG44</f>
        <v/>
      </c>
      <c r="AH50" s="266">
        <f>'근거_Ramosetron 시장 수량'!AH87*'근거_NSA수량(IQVIA기준)'!AH44</f>
        <v/>
      </c>
      <c r="AI50" s="266">
        <f>'근거_Ramosetron 시장 수량'!AI87*'근거_NSA수량(IQVIA기준)'!AI44</f>
        <v/>
      </c>
      <c r="AJ50" s="266">
        <f>'근거_Ramosetron 시장 수량'!AJ87*'근거_NSA수량(IQVIA기준)'!AJ44</f>
        <v/>
      </c>
      <c r="AK50" s="266">
        <f>'근거_Ramosetron 시장 수량'!AK87*'근거_NSA수량(IQVIA기준)'!AK44</f>
        <v/>
      </c>
      <c r="AL50" s="266">
        <f>'근거_Ramosetron 시장 수량'!AL87*'근거_NSA수량(IQVIA기준)'!AL44</f>
        <v/>
      </c>
      <c r="AM50" s="266">
        <f>'근거_Ramosetron 시장 수량'!AM87*'근거_NSA수량(IQVIA기준)'!AM44</f>
        <v/>
      </c>
      <c r="AN50" s="266">
        <f>'근거_Ramosetron 시장 수량'!AN87*'근거_NSA수량(IQVIA기준)'!AN44</f>
        <v/>
      </c>
      <c r="AO50" s="266">
        <f>'근거_Ramosetron 시장 수량'!AO87*'근거_NSA수량(IQVIA기준)'!AO44</f>
        <v/>
      </c>
      <c r="AP50" s="266">
        <f>'근거_Ramosetron 시장 수량'!AP87*'근거_NSA수량(IQVIA기준)'!AP44</f>
        <v/>
      </c>
      <c r="AQ50" s="266">
        <f>'근거_Ramosetron 시장 수량'!AQ87*'근거_NSA수량(IQVIA기준)'!AQ44</f>
        <v/>
      </c>
      <c r="AR50" s="266">
        <f>'근거_Ramosetron 시장 수량'!AR87*'근거_NSA수량(IQVIA기준)'!AR44</f>
        <v/>
      </c>
      <c r="AS50" s="266">
        <f>'근거_Ramosetron 시장 수량'!AS87*'근거_NSA수량(IQVIA기준)'!AS44</f>
        <v/>
      </c>
      <c r="AT50" s="266">
        <f>'근거_Ramosetron 시장 수량'!AT87*'근거_NSA수량(IQVIA기준)'!AT44</f>
        <v/>
      </c>
    </row>
    <row r="51">
      <c r="A51" s="64" t="inlineStr">
        <is>
          <t>병원</t>
        </is>
      </c>
      <c r="B51" s="265">
        <f>'근거_Ramosetron 시장 수량'!B88*B45</f>
        <v/>
      </c>
      <c r="C51" s="265">
        <f>'근거_Ramosetron 시장 수량'!C88*C45</f>
        <v/>
      </c>
      <c r="D51" s="265">
        <f>'근거_Ramosetron 시장 수량'!D88*D45</f>
        <v/>
      </c>
      <c r="E51" s="265">
        <f>'근거_Ramosetron 시장 수량'!E88*E45</f>
        <v/>
      </c>
      <c r="F51" s="265">
        <f>'근거_Ramosetron 시장 수량'!F88*F45</f>
        <v/>
      </c>
      <c r="G51" s="265">
        <f>'근거_Ramosetron 시장 수량'!G88*G45</f>
        <v/>
      </c>
      <c r="H51" s="265">
        <f>'근거_Ramosetron 시장 수량'!H88*H45</f>
        <v/>
      </c>
      <c r="I51" s="265">
        <f>'근거_Ramosetron 시장 수량'!I88*I45</f>
        <v/>
      </c>
      <c r="J51" s="265">
        <f>'근거_Ramosetron 시장 수량'!J88*J45</f>
        <v/>
      </c>
      <c r="K51" s="265">
        <f>'근거_Ramosetron 시장 수량'!K88*K45</f>
        <v/>
      </c>
      <c r="L51" s="265">
        <f>'근거_Ramosetron 시장 수량'!L88*L45</f>
        <v/>
      </c>
      <c r="M51" s="265">
        <f>'근거_Ramosetron 시장 수량'!M88*M45</f>
        <v/>
      </c>
      <c r="N51" s="265">
        <f>'근거_Ramosetron 시장 수량'!N88*N45</f>
        <v/>
      </c>
      <c r="O51" s="265">
        <f>'근거_Ramosetron 시장 수량'!O88*O45</f>
        <v/>
      </c>
      <c r="P51" s="265">
        <f>'근거_Ramosetron 시장 수량'!P88*P45</f>
        <v/>
      </c>
      <c r="Q51" s="265">
        <f>'근거_Ramosetron 시장 수량'!Q88*Q45</f>
        <v/>
      </c>
      <c r="R51" s="265">
        <f>'근거_Ramosetron 시장 수량'!R88*R45</f>
        <v/>
      </c>
      <c r="S51" s="265">
        <f>'근거_Ramosetron 시장 수량'!S88*S45</f>
        <v/>
      </c>
      <c r="T51" s="265">
        <f>'근거_Ramosetron 시장 수량'!T88*T45</f>
        <v/>
      </c>
      <c r="U51" s="265">
        <f>'근거_Ramosetron 시장 수량'!U88*U45</f>
        <v/>
      </c>
      <c r="V51" s="265">
        <f>'근거_Ramosetron 시장 수량'!V88*V45</f>
        <v/>
      </c>
      <c r="W51" s="265">
        <f>'근거_Ramosetron 시장 수량'!W88*W45</f>
        <v/>
      </c>
      <c r="X51" s="265">
        <f>'근거_Ramosetron 시장 수량'!X88*X45</f>
        <v/>
      </c>
      <c r="Y51" s="265">
        <f>'근거_Ramosetron 시장 수량'!Y88*Y45</f>
        <v/>
      </c>
      <c r="Z51" s="265">
        <f>'근거_Ramosetron 시장 수량'!Z88*Z45</f>
        <v/>
      </c>
      <c r="AA51" s="266">
        <f>'근거_Ramosetron 시장 수량'!AA88*'근거_NSA수량(IQVIA기준)'!AA45</f>
        <v/>
      </c>
      <c r="AB51" s="266">
        <f>'근거_Ramosetron 시장 수량'!AB88*'근거_NSA수량(IQVIA기준)'!AB45</f>
        <v/>
      </c>
      <c r="AC51" s="266">
        <f>'근거_Ramosetron 시장 수량'!AC88*'근거_NSA수량(IQVIA기준)'!AC45</f>
        <v/>
      </c>
      <c r="AD51" s="266">
        <f>'근거_Ramosetron 시장 수량'!AD88*'근거_NSA수량(IQVIA기준)'!AD45</f>
        <v/>
      </c>
      <c r="AE51" s="266">
        <f>'근거_Ramosetron 시장 수량'!AE88*'근거_NSA수량(IQVIA기준)'!AE45</f>
        <v/>
      </c>
      <c r="AF51" s="266">
        <f>'근거_Ramosetron 시장 수량'!AF88*'근거_NSA수량(IQVIA기준)'!AF45</f>
        <v/>
      </c>
      <c r="AG51" s="266">
        <f>'근거_Ramosetron 시장 수량'!AG88*'근거_NSA수량(IQVIA기준)'!AG45</f>
        <v/>
      </c>
      <c r="AH51" s="266">
        <f>'근거_Ramosetron 시장 수량'!AH88*'근거_NSA수량(IQVIA기준)'!AH45</f>
        <v/>
      </c>
      <c r="AI51" s="266">
        <f>'근거_Ramosetron 시장 수량'!AI88*'근거_NSA수량(IQVIA기준)'!AI45</f>
        <v/>
      </c>
      <c r="AJ51" s="266">
        <f>'근거_Ramosetron 시장 수량'!AJ88*'근거_NSA수량(IQVIA기준)'!AJ45</f>
        <v/>
      </c>
      <c r="AK51" s="266">
        <f>'근거_Ramosetron 시장 수량'!AK88*'근거_NSA수량(IQVIA기준)'!AK45</f>
        <v/>
      </c>
      <c r="AL51" s="266">
        <f>'근거_Ramosetron 시장 수량'!AL88*'근거_NSA수량(IQVIA기준)'!AL45</f>
        <v/>
      </c>
      <c r="AM51" s="266">
        <f>'근거_Ramosetron 시장 수량'!AM88*'근거_NSA수량(IQVIA기준)'!AM45</f>
        <v/>
      </c>
      <c r="AN51" s="266">
        <f>'근거_Ramosetron 시장 수량'!AN88*'근거_NSA수량(IQVIA기준)'!AN45</f>
        <v/>
      </c>
      <c r="AO51" s="266">
        <f>'근거_Ramosetron 시장 수량'!AO88*'근거_NSA수량(IQVIA기준)'!AO45</f>
        <v/>
      </c>
      <c r="AP51" s="266">
        <f>'근거_Ramosetron 시장 수량'!AP88*'근거_NSA수량(IQVIA기준)'!AP45</f>
        <v/>
      </c>
      <c r="AQ51" s="266">
        <f>'근거_Ramosetron 시장 수량'!AQ88*'근거_NSA수량(IQVIA기준)'!AQ45</f>
        <v/>
      </c>
      <c r="AR51" s="266">
        <f>'근거_Ramosetron 시장 수량'!AR88*'근거_NSA수량(IQVIA기준)'!AR45</f>
        <v/>
      </c>
      <c r="AS51" s="266">
        <f>'근거_Ramosetron 시장 수량'!AS88*'근거_NSA수량(IQVIA기준)'!AS45</f>
        <v/>
      </c>
      <c r="AT51" s="266">
        <f>'근거_Ramosetron 시장 수량'!AT88*'근거_NSA수량(IQVIA기준)'!AT45</f>
        <v/>
      </c>
    </row>
    <row r="52">
      <c r="A52" s="64" t="inlineStr">
        <is>
          <t>의원</t>
        </is>
      </c>
      <c r="B52" s="265">
        <f>'근거_Ramosetron 시장 수량'!B89*B46</f>
        <v/>
      </c>
      <c r="C52" s="265">
        <f>'근거_Ramosetron 시장 수량'!C89*C46</f>
        <v/>
      </c>
      <c r="D52" s="265">
        <f>'근거_Ramosetron 시장 수량'!D89*D46</f>
        <v/>
      </c>
      <c r="E52" s="265">
        <f>'근거_Ramosetron 시장 수량'!E89*E46</f>
        <v/>
      </c>
      <c r="F52" s="265">
        <f>'근거_Ramosetron 시장 수량'!F89*F46</f>
        <v/>
      </c>
      <c r="G52" s="265">
        <f>'근거_Ramosetron 시장 수량'!G89*G46</f>
        <v/>
      </c>
      <c r="H52" s="265">
        <f>'근거_Ramosetron 시장 수량'!H89*H46</f>
        <v/>
      </c>
      <c r="I52" s="265">
        <f>'근거_Ramosetron 시장 수량'!I89*I46</f>
        <v/>
      </c>
      <c r="J52" s="265">
        <f>'근거_Ramosetron 시장 수량'!J89*J46</f>
        <v/>
      </c>
      <c r="K52" s="265">
        <f>'근거_Ramosetron 시장 수량'!K89*K46</f>
        <v/>
      </c>
      <c r="L52" s="265">
        <f>'근거_Ramosetron 시장 수량'!L89*L46</f>
        <v/>
      </c>
      <c r="M52" s="265">
        <f>'근거_Ramosetron 시장 수량'!M89*M46</f>
        <v/>
      </c>
      <c r="N52" s="265">
        <f>'근거_Ramosetron 시장 수량'!N89*N46</f>
        <v/>
      </c>
      <c r="O52" s="265">
        <f>'근거_Ramosetron 시장 수량'!O89*O46</f>
        <v/>
      </c>
      <c r="P52" s="265">
        <f>'근거_Ramosetron 시장 수량'!P89*P46</f>
        <v/>
      </c>
      <c r="Q52" s="265">
        <f>'근거_Ramosetron 시장 수량'!Q89*Q46</f>
        <v/>
      </c>
      <c r="R52" s="265">
        <f>'근거_Ramosetron 시장 수량'!R89*R46</f>
        <v/>
      </c>
      <c r="S52" s="265">
        <f>'근거_Ramosetron 시장 수량'!S89*S46</f>
        <v/>
      </c>
      <c r="T52" s="265">
        <f>'근거_Ramosetron 시장 수량'!T89*T46</f>
        <v/>
      </c>
      <c r="U52" s="265">
        <f>'근거_Ramosetron 시장 수량'!U89*U46</f>
        <v/>
      </c>
      <c r="V52" s="265">
        <f>'근거_Ramosetron 시장 수량'!V89*V46</f>
        <v/>
      </c>
      <c r="W52" s="265">
        <f>'근거_Ramosetron 시장 수량'!W89*W46</f>
        <v/>
      </c>
      <c r="X52" s="265">
        <f>'근거_Ramosetron 시장 수량'!X89*X46</f>
        <v/>
      </c>
      <c r="Y52" s="265">
        <f>'근거_Ramosetron 시장 수량'!Y89*Y46</f>
        <v/>
      </c>
      <c r="Z52" s="265">
        <f>'근거_Ramosetron 시장 수량'!Z89*Z46</f>
        <v/>
      </c>
      <c r="AA52" s="266">
        <f>'근거_Ramosetron 시장 수량'!AA89*'근거_NSA수량(IQVIA기준)'!AA46</f>
        <v/>
      </c>
      <c r="AB52" s="266">
        <f>'근거_Ramosetron 시장 수량'!AB89*'근거_NSA수량(IQVIA기준)'!AB46</f>
        <v/>
      </c>
      <c r="AC52" s="266">
        <f>'근거_Ramosetron 시장 수량'!AC89*'근거_NSA수량(IQVIA기준)'!AC46</f>
        <v/>
      </c>
      <c r="AD52" s="266">
        <f>'근거_Ramosetron 시장 수량'!AD89*'근거_NSA수량(IQVIA기준)'!AD46</f>
        <v/>
      </c>
      <c r="AE52" s="266">
        <f>'근거_Ramosetron 시장 수량'!AE89*'근거_NSA수량(IQVIA기준)'!AE46</f>
        <v/>
      </c>
      <c r="AF52" s="266">
        <f>'근거_Ramosetron 시장 수량'!AF89*'근거_NSA수량(IQVIA기준)'!AF46</f>
        <v/>
      </c>
      <c r="AG52" s="266">
        <f>'근거_Ramosetron 시장 수량'!AG89*'근거_NSA수량(IQVIA기준)'!AG46</f>
        <v/>
      </c>
      <c r="AH52" s="266">
        <f>'근거_Ramosetron 시장 수량'!AH89*'근거_NSA수량(IQVIA기준)'!AH46</f>
        <v/>
      </c>
      <c r="AI52" s="266">
        <f>'근거_Ramosetron 시장 수량'!AI89*'근거_NSA수량(IQVIA기준)'!AI46</f>
        <v/>
      </c>
      <c r="AJ52" s="266">
        <f>'근거_Ramosetron 시장 수량'!AJ89*'근거_NSA수량(IQVIA기준)'!AJ46</f>
        <v/>
      </c>
      <c r="AK52" s="266">
        <f>'근거_Ramosetron 시장 수량'!AK89*'근거_NSA수량(IQVIA기준)'!AK46</f>
        <v/>
      </c>
      <c r="AL52" s="266">
        <f>'근거_Ramosetron 시장 수량'!AL89*'근거_NSA수량(IQVIA기준)'!AL46</f>
        <v/>
      </c>
      <c r="AM52" s="266">
        <f>'근거_Ramosetron 시장 수량'!AM89*'근거_NSA수량(IQVIA기준)'!AM46</f>
        <v/>
      </c>
      <c r="AN52" s="266">
        <f>'근거_Ramosetron 시장 수량'!AN89*'근거_NSA수량(IQVIA기준)'!AN46</f>
        <v/>
      </c>
      <c r="AO52" s="266">
        <f>'근거_Ramosetron 시장 수량'!AO89*'근거_NSA수량(IQVIA기준)'!AO46</f>
        <v/>
      </c>
      <c r="AP52" s="266">
        <f>'근거_Ramosetron 시장 수량'!AP89*'근거_NSA수량(IQVIA기준)'!AP46</f>
        <v/>
      </c>
      <c r="AQ52" s="266">
        <f>'근거_Ramosetron 시장 수량'!AQ89*'근거_NSA수량(IQVIA기준)'!AQ46</f>
        <v/>
      </c>
      <c r="AR52" s="266">
        <f>'근거_Ramosetron 시장 수량'!AR89*'근거_NSA수량(IQVIA기준)'!AR46</f>
        <v/>
      </c>
      <c r="AS52" s="266">
        <f>'근거_Ramosetron 시장 수량'!AS89*'근거_NSA수량(IQVIA기준)'!AS46</f>
        <v/>
      </c>
      <c r="AT52" s="266">
        <f>'근거_Ramosetron 시장 수량'!AT89*'근거_NSA수량(IQVIA기준)'!AT46</f>
        <v/>
      </c>
    </row>
    <row r="53">
      <c r="A53" s="67" t="inlineStr">
        <is>
          <t xml:space="preserve">  ▶ NSA 수량 (IQVIA 기준) </t>
        </is>
      </c>
      <c r="B53" s="261">
        <f>SUM(B49:B52)</f>
        <v/>
      </c>
      <c r="C53" s="261">
        <f>SUM(C49:C52)</f>
        <v/>
      </c>
      <c r="D53" s="261">
        <f>SUM(D49:D52)</f>
        <v/>
      </c>
      <c r="E53" s="261">
        <f>SUM(E49:E52)</f>
        <v/>
      </c>
      <c r="F53" s="261">
        <f>SUM(F49:F52)</f>
        <v/>
      </c>
      <c r="G53" s="261">
        <f>SUM(G49:G52)</f>
        <v/>
      </c>
      <c r="H53" s="261">
        <f>SUM(H49:H52)</f>
        <v/>
      </c>
      <c r="I53" s="261">
        <f>SUM(I49:I52)</f>
        <v/>
      </c>
      <c r="J53" s="261">
        <f>SUM(J49:J52)</f>
        <v/>
      </c>
      <c r="K53" s="261">
        <f>SUM(K49:K52)</f>
        <v/>
      </c>
      <c r="L53" s="261">
        <f>SUM(L49:L52)</f>
        <v/>
      </c>
      <c r="M53" s="261">
        <f>SUM(M49:M52)</f>
        <v/>
      </c>
      <c r="N53" s="261">
        <f>SUM(N49:N52)</f>
        <v/>
      </c>
      <c r="O53" s="261">
        <f>SUM(O49:O52)</f>
        <v/>
      </c>
      <c r="P53" s="261">
        <f>SUM(P49:P52)</f>
        <v/>
      </c>
      <c r="Q53" s="261">
        <f>SUM(Q49:Q52)</f>
        <v/>
      </c>
      <c r="R53" s="261">
        <f>SUM(R49:R52)</f>
        <v/>
      </c>
      <c r="S53" s="261">
        <f>SUM(S49:S52)</f>
        <v/>
      </c>
      <c r="T53" s="261">
        <f>SUM(T49:T52)</f>
        <v/>
      </c>
      <c r="U53" s="261">
        <f>SUM(U49:U52)</f>
        <v/>
      </c>
      <c r="V53" s="261">
        <f>SUM(V49:V52)</f>
        <v/>
      </c>
      <c r="W53" s="261">
        <f>SUM(W49:W52)</f>
        <v/>
      </c>
      <c r="X53" s="261">
        <f>SUM(X49:X52)</f>
        <v/>
      </c>
      <c r="Y53" s="261">
        <f>SUM(Y49:Y52)</f>
        <v/>
      </c>
      <c r="Z53" s="261">
        <f>SUM(Z49:Z52)</f>
        <v/>
      </c>
      <c r="AA53" s="261">
        <f>SUM(AA49:AA52)</f>
        <v/>
      </c>
      <c r="AB53" s="261">
        <f>SUM(AB49:AB52)</f>
        <v/>
      </c>
      <c r="AC53" s="261">
        <f>SUM(AC49:AC52)</f>
        <v/>
      </c>
      <c r="AD53" s="261">
        <f>SUM(AD49:AD52)</f>
        <v/>
      </c>
      <c r="AE53" s="261">
        <f>SUM(AE49:AE52)</f>
        <v/>
      </c>
      <c r="AF53" s="261">
        <f>SUM(AF49:AF52)</f>
        <v/>
      </c>
      <c r="AG53" s="261">
        <f>SUM(AG49:AG52)</f>
        <v/>
      </c>
      <c r="AH53" s="261">
        <f>SUM(AH49:AH52)</f>
        <v/>
      </c>
      <c r="AI53" s="261">
        <f>SUM(AI49:AI52)</f>
        <v/>
      </c>
      <c r="AJ53" s="261">
        <f>SUM(AJ49:AJ52)</f>
        <v/>
      </c>
      <c r="AK53" s="261">
        <f>SUM(AK49:AK52)</f>
        <v/>
      </c>
      <c r="AL53" s="261">
        <f>SUM(AL49:AL52)</f>
        <v/>
      </c>
      <c r="AM53" s="261">
        <f>SUM(AM49:AM52)</f>
        <v/>
      </c>
      <c r="AN53" s="261">
        <f>SUM(AN49:AN52)</f>
        <v/>
      </c>
      <c r="AO53" s="261">
        <f>SUM(AO49:AO52)</f>
        <v/>
      </c>
      <c r="AP53" s="261">
        <f>SUM(AP49:AP52)</f>
        <v/>
      </c>
      <c r="AQ53" s="261">
        <f>SUM(AQ49:AQ52)</f>
        <v/>
      </c>
      <c r="AR53" s="261">
        <f>SUM(AR49:AR52)</f>
        <v/>
      </c>
      <c r="AS53" s="261">
        <f>SUM(AS49:AS52)</f>
        <v/>
      </c>
      <c r="AT53" s="261">
        <f>SUM(AT49:AT52)</f>
        <v/>
      </c>
    </row>
    <row r="54">
      <c r="A54" s="219" t="inlineStr">
        <is>
          <t xml:space="preserve">  [종합병원 S-curve 로짓변환, L=상한]</t>
        </is>
      </c>
      <c r="U54" s="219">
        <f>LN(U44/($E$33-U44))</f>
        <v/>
      </c>
      <c r="V54" s="219">
        <f>LN(V44/($E$33-V44))</f>
        <v/>
      </c>
      <c r="W54" s="219">
        <f>LN(W44/($E$33-W44))</f>
        <v/>
      </c>
      <c r="X54" s="219">
        <f>LN(X44/($E$33-X44))</f>
        <v/>
      </c>
      <c r="Y54" s="219">
        <f>LN(Y44/($E$33-Y44))</f>
        <v/>
      </c>
      <c r="Z54" s="219">
        <f>LN(Z44/($E$33-Z44))</f>
        <v/>
      </c>
    </row>
    <row r="56">
      <c r="A56" s="81" t="inlineStr">
        <is>
          <t xml:space="preserve">※ 출처 : IQVIA(FY2020~2025), SS-Chart (FY2021~2025), BI 자체 추정 </t>
        </is>
      </c>
    </row>
    <row r="57">
      <c r="A57" s="55" t="inlineStr">
        <is>
          <t>※ 범례</t>
        </is>
      </c>
    </row>
    <row r="58">
      <c r="A58" s="56" t="inlineStr">
        <is>
          <t>· 외부 입력 데이터: 청색(Blue) 표기</t>
        </is>
      </c>
    </row>
    <row r="59">
      <c r="A59" s="56" t="inlineStr">
        <is>
          <t>· 예측 변수(또는 예측치): 녹색(Green) 표기</t>
        </is>
      </c>
    </row>
    <row r="60">
      <c r="A60" s="56" t="inlineStr">
        <is>
          <t>· 최종 산출 결과: 황색(Yellow) 음영 행</t>
        </is>
      </c>
    </row>
  </sheetData>
  <mergeCells count="1">
    <mergeCell ref="A2:K2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tabColor rgb="009AA0A8"/>
    <outlinePr summaryBelow="1" summaryRight="1"/>
    <pageSetUpPr/>
  </sheetPr>
  <dimension ref="A2:O59"/>
  <sheetViews>
    <sheetView showGridLines="0" tabSelected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.8" customWidth="1" style="217" min="1" max="1"/>
    <col width="12.8" customWidth="1" style="217" min="2" max="2"/>
    <col width="12.8" customWidth="1" style="217" min="3" max="3"/>
    <col width="12.8" customWidth="1" style="217" min="4" max="4"/>
    <col width="12.8" customWidth="1" style="217" min="5" max="5"/>
    <col width="12.8" customWidth="1" style="217" min="6" max="6"/>
    <col width="12.8" customWidth="1" style="217" min="7" max="7"/>
    <col width="12.8" customWidth="1" style="217" min="8" max="8"/>
    <col width="12.8" customWidth="1" style="217" min="9" max="9"/>
    <col width="11.5" customWidth="1" style="217" min="10" max="10"/>
    <col width="11.5" customWidth="1" style="217" min="11" max="11"/>
    <col width="11.5" customWidth="1" style="217" min="12" max="12"/>
    <col width="11.5" customWidth="1" style="217" min="13" max="13"/>
    <col width="11.5" customWidth="1" style="217" min="14" max="14"/>
    <col width="3" customWidth="1" style="217" min="15" max="15"/>
    <col width="11.9" customWidth="1" style="217" min="16" max="16"/>
  </cols>
  <sheetData>
    <row r="2">
      <c r="A2" s="267" t="inlineStr">
        <is>
          <t>DSKR NSA (SAP)매출 산출 : IQVIA 데이터 기반 예측 (FY26 목표단가 적용)</t>
        </is>
      </c>
    </row>
    <row r="4">
      <c r="B4" s="268" t="inlineStr">
        <is>
          <t>◀ 실측 (DSKR, FY2020~2025)</t>
        </is>
      </c>
      <c r="J4" s="268" t="inlineStr">
        <is>
          <t>예측 ▶</t>
        </is>
      </c>
    </row>
    <row r="5">
      <c r="A5" s="269" t="inlineStr">
        <is>
          <t>구분 / 회계연도 ▶</t>
        </is>
      </c>
      <c r="B5" s="270" t="inlineStr">
        <is>
          <t>FY2018</t>
        </is>
      </c>
      <c r="C5" s="270" t="inlineStr">
        <is>
          <t>FY2019</t>
        </is>
      </c>
      <c r="D5" s="270" t="inlineStr">
        <is>
          <t>FY2020</t>
        </is>
      </c>
      <c r="E5" s="270" t="inlineStr">
        <is>
          <t>FY2021</t>
        </is>
      </c>
      <c r="F5" s="270" t="inlineStr">
        <is>
          <t>FY2022</t>
        </is>
      </c>
      <c r="G5" s="270" t="inlineStr">
        <is>
          <t>FY2023</t>
        </is>
      </c>
      <c r="H5" s="270" t="inlineStr">
        <is>
          <t>FY2024</t>
        </is>
      </c>
      <c r="I5" s="270" t="inlineStr">
        <is>
          <t>FY2025</t>
        </is>
      </c>
      <c r="J5" s="271" t="inlineStr">
        <is>
          <t>FY2026</t>
        </is>
      </c>
      <c r="K5" s="271" t="inlineStr">
        <is>
          <t>FY2027</t>
        </is>
      </c>
      <c r="L5" s="271" t="inlineStr">
        <is>
          <t>FY2028</t>
        </is>
      </c>
      <c r="M5" s="271" t="inlineStr">
        <is>
          <t>FY2029</t>
        </is>
      </c>
      <c r="N5" s="271" t="inlineStr">
        <is>
          <t>FY2030</t>
        </is>
      </c>
    </row>
    <row r="6">
      <c r="A6" s="272" t="inlineStr">
        <is>
          <t>■ A. NSA 수량 (A, IQVIA 기준)                 [근거_NSA수량(IQVIA기준) 참조]</t>
        </is>
      </c>
    </row>
    <row r="7">
      <c r="A7" t="inlineStr">
        <is>
          <t xml:space="preserve">  NSA 수량</t>
        </is>
      </c>
      <c r="B7" s="273">
        <f>IF('근거_NSA수량(IQVIA기준)'!B27=0,"",'근거_NSA수량(IQVIA기준)'!B27)</f>
        <v/>
      </c>
      <c r="C7" s="273">
        <f>IF('근거_NSA수량(IQVIA기준)'!C27=0,"",'근거_NSA수량(IQVIA기준)'!C27)</f>
        <v/>
      </c>
      <c r="D7" s="273">
        <f>IF('근거_NSA수량(IQVIA기준)'!D27=0,"",'근거_NSA수량(IQVIA기준)'!D27)</f>
        <v/>
      </c>
      <c r="E7" s="273">
        <f>IF('근거_NSA수량(IQVIA기준)'!E27=0,"",'근거_NSA수량(IQVIA기준)'!E27)</f>
        <v/>
      </c>
      <c r="F7" s="273">
        <f>IF('근거_NSA수량(IQVIA기준)'!F27=0,"",'근거_NSA수량(IQVIA기준)'!F27)</f>
        <v/>
      </c>
      <c r="G7" s="273">
        <f>IF('근거_NSA수량(IQVIA기준)'!G27=0,"",'근거_NSA수량(IQVIA기준)'!G27)</f>
        <v/>
      </c>
      <c r="H7" s="273">
        <f>IF('근거_NSA수량(IQVIA기준)'!H27=0,"",'근거_NSA수량(IQVIA기준)'!H27)</f>
        <v/>
      </c>
      <c r="I7" s="273">
        <f>IF('근거_NSA수량(IQVIA기준)'!I27=0,"",'근거_NSA수량(IQVIA기준)'!I27)</f>
        <v/>
      </c>
      <c r="J7" s="273">
        <f>IF('근거_NSA수량(IQVIA기준)'!J27=0,"",'근거_NSA수량(IQVIA기준)'!J27)</f>
        <v/>
      </c>
      <c r="K7" s="273">
        <f>IF('근거_NSA수량(IQVIA기준)'!K27=0,"",'근거_NSA수량(IQVIA기준)'!K27)</f>
        <v/>
      </c>
      <c r="L7" s="273">
        <f>IF('근거_NSA수량(IQVIA기준)'!L27=0,"",'근거_NSA수량(IQVIA기준)'!L27)</f>
        <v/>
      </c>
      <c r="M7" s="273">
        <f>IF('근거_NSA수량(IQVIA기준)'!M27=0,"",'근거_NSA수량(IQVIA기준)'!M27)</f>
        <v/>
      </c>
      <c r="N7" s="273">
        <f>IF('근거_NSA수량(IQVIA기준)'!N27=0,"",'근거_NSA수량(IQVIA기준)'!N27)</f>
        <v/>
      </c>
    </row>
    <row r="9">
      <c r="A9" s="272" t="inlineStr">
        <is>
          <t xml:space="preserve">■ B. DSKR 매출수량 (A)                [FY2020~2025 : SAP 실측 | FY2026~FY2030 : NSA 수량(A) ÷ 전환비율(C)]     </t>
        </is>
      </c>
    </row>
    <row r="10">
      <c r="A10" s="274" t="inlineStr">
        <is>
          <t xml:space="preserve">  ▶ 1) Model Base </t>
        </is>
      </c>
      <c r="B10" s="275" t="n"/>
      <c r="C10" s="275" t="n"/>
      <c r="D10" s="275" t="n">
        <v>1609310</v>
      </c>
      <c r="E10" s="275" t="n">
        <v>1938415</v>
      </c>
      <c r="F10" s="275" t="n">
        <v>1836815</v>
      </c>
      <c r="G10" s="275" t="n">
        <v>2035465</v>
      </c>
      <c r="H10" s="275" t="n">
        <v>1595925</v>
      </c>
      <c r="I10" s="275" t="n">
        <v>1905010</v>
      </c>
      <c r="J10" s="276">
        <f>J7/J24</f>
        <v/>
      </c>
      <c r="K10" s="276">
        <f>K7/K24</f>
        <v/>
      </c>
      <c r="L10" s="276">
        <f>L7/L24</f>
        <v/>
      </c>
      <c r="M10" s="276">
        <f>M7/M24</f>
        <v/>
      </c>
      <c r="N10" s="276">
        <f>N7/N24</f>
        <v/>
      </c>
    </row>
    <row r="11">
      <c r="A11" t="inlineStr">
        <is>
          <t xml:space="preserve">   : 모듈 산출치로 시나리오 기준선 역할</t>
        </is>
      </c>
    </row>
    <row r="12">
      <c r="A12" s="274" t="inlineStr">
        <is>
          <t xml:space="preserve">  ▶ 2) MKT Base                         [FY2026 : MKT 제공 예측치 (J12 직접 입력) | FY2027~FY2030 : 전년 × Model Base 증감률]</t>
        </is>
      </c>
      <c r="J12" s="277" t="n"/>
      <c r="K12" s="276">
        <f>IF($J$12="","",J12*K10/J10)</f>
        <v/>
      </c>
      <c r="L12" s="276">
        <f>IF($J$12="","",K12*L10/K10)</f>
        <v/>
      </c>
      <c r="M12" s="276">
        <f>IF($J$12="","",L12*M10/L10)</f>
        <v/>
      </c>
      <c r="N12" s="276">
        <f>IF($J$12="","",M12*N10/M10)</f>
        <v/>
      </c>
    </row>
    <row r="13">
      <c r="A13" t="inlineStr">
        <is>
          <t xml:space="preserve">  : '26 MKT 제출 수치를 J12(노랑)에 입력하면 MKT Base 행·차트가 자동 활성화 (미입력 시 공란)</t>
        </is>
      </c>
      <c r="J13" s="278">
        <f>IF($J$12="","",J12/J10-1)</f>
        <v/>
      </c>
      <c r="K13" s="278">
        <f>IF($J$12="","",K12/K10-1)</f>
        <v/>
      </c>
      <c r="L13" s="278">
        <f>IF($J$12="","",L12/L10-1)</f>
        <v/>
      </c>
      <c r="M13" s="278">
        <f>IF($J$12="","",M12/M10-1)</f>
        <v/>
      </c>
      <c r="N13" s="278">
        <f>IF($J$12="","",N12/N10-1)</f>
        <v/>
      </c>
    </row>
    <row r="14">
      <c r="A14" s="279" t="inlineStr">
        <is>
          <t xml:space="preserve">  ▶ 3) Best Scenario (±10%p)     [FY2027~FY2030 : (Base NSA 수량 + NSA MS +10%p 효과 (MS 100% 상한 적용)) ÷ 전환비율]</t>
        </is>
      </c>
      <c r="J14" s="280">
        <f>('근거_NSA수량(IQVIA기준)'!J27)/J24</f>
        <v/>
      </c>
      <c r="K14" s="280">
        <f>(MIN('근거_NSA수량(IQVIA기준)'!K27+0.1*'근거_NSA수량(IQVIA기준)'!K7,'근거_NSA수량(IQVIA기준)'!K7))/K24</f>
        <v/>
      </c>
      <c r="L14" s="280">
        <f>(MIN('근거_NSA수량(IQVIA기준)'!L27+0.1*'근거_NSA수량(IQVIA기준)'!L7,'근거_NSA수량(IQVIA기준)'!L7))/L24</f>
        <v/>
      </c>
      <c r="M14" s="280">
        <f>(MIN('근거_NSA수량(IQVIA기준)'!M27+0.1*'근거_NSA수량(IQVIA기준)'!M7,'근거_NSA수량(IQVIA기준)'!M7))/M24</f>
        <v/>
      </c>
      <c r="N14" s="280">
        <f>(MIN('근거_NSA수량(IQVIA기준)'!N27+0.1*'근거_NSA수량(IQVIA기준)'!N7,'근거_NSA수량(IQVIA기준)'!N7))/N24</f>
        <v/>
      </c>
    </row>
    <row r="15">
      <c r="A15" t="inlineStr">
        <is>
          <t xml:space="preserve">  : Model Base 기준, Ramosetron 시장 내 NSA MS +10%p 확대 시나리오 (전 종별 동시 적용)</t>
        </is>
      </c>
      <c r="J15" s="278">
        <f>J14/J10-1</f>
        <v/>
      </c>
      <c r="K15" s="278">
        <f>K14/K10-1</f>
        <v/>
      </c>
      <c r="L15" s="278">
        <f>L14/L10-1</f>
        <v/>
      </c>
      <c r="M15" s="278">
        <f>M14/M10-1</f>
        <v/>
      </c>
      <c r="N15" s="278">
        <f>N14/N10-1</f>
        <v/>
      </c>
    </row>
    <row r="16">
      <c r="A16" s="281" t="inlineStr">
        <is>
          <t xml:space="preserve">  ▶ 4) Worst Scenario (±10%p)     [FY2027~FY2030 : (Base NSA 수량 + NSA MS -10%p 효과) ÷ 전환비율]</t>
        </is>
      </c>
      <c r="J16" s="282">
        <f>('근거_NSA수량(IQVIA기준)'!J27)/J24</f>
        <v/>
      </c>
      <c r="K16" s="282">
        <f>('근거_NSA수량(IQVIA기준)'!K27-0.1*'근거_NSA수량(IQVIA기준)'!K7)/K24</f>
        <v/>
      </c>
      <c r="L16" s="282">
        <f>('근거_NSA수량(IQVIA기준)'!L27-0.1*'근거_NSA수량(IQVIA기준)'!L7)/L24</f>
        <v/>
      </c>
      <c r="M16" s="282">
        <f>('근거_NSA수량(IQVIA기준)'!M27-0.1*'근거_NSA수량(IQVIA기준)'!M7)/M24</f>
        <v/>
      </c>
      <c r="N16" s="282">
        <f>('근거_NSA수량(IQVIA기준)'!N27-0.1*'근거_NSA수량(IQVIA기준)'!N7)/N24</f>
        <v/>
      </c>
    </row>
    <row r="17">
      <c r="A17" t="inlineStr">
        <is>
          <t xml:space="preserve">  : Model Base 기준, Ramosetron 시장 내 NSA MS -10%p 잠식 시나리오 (전 종별 동시 적용)</t>
        </is>
      </c>
      <c r="J17" s="278">
        <f>J16/J10-1</f>
        <v/>
      </c>
      <c r="K17" s="278">
        <f>K16/K10-1</f>
        <v/>
      </c>
      <c r="L17" s="278">
        <f>L16/L10-1</f>
        <v/>
      </c>
      <c r="M17" s="278">
        <f>M16/M10-1</f>
        <v/>
      </c>
      <c r="N17" s="278">
        <f>N16/N10-1</f>
        <v/>
      </c>
    </row>
    <row r="18">
      <c r="A18" s="279" t="inlineStr">
        <is>
          <t xml:space="preserve">  ▶ 5) Best Scenario (±5%p)     [FY2027~FY2030 : (Base NSA 수량 + NSA MS +5%p 효과 (MS 100% 상한 적용)) ÷ 전환비율]</t>
        </is>
      </c>
      <c r="J18" s="280">
        <f>('근거_NSA수량(IQVIA기준)'!J27)/J24</f>
        <v/>
      </c>
      <c r="K18" s="280">
        <f>(MIN('근거_NSA수량(IQVIA기준)'!K27+0.05*'근거_NSA수량(IQVIA기준)'!K7,'근거_NSA수량(IQVIA기준)'!K7))/K24</f>
        <v/>
      </c>
      <c r="L18" s="280">
        <f>(MIN('근거_NSA수량(IQVIA기준)'!L27+0.05*'근거_NSA수량(IQVIA기준)'!L7,'근거_NSA수량(IQVIA기준)'!L7))/L24</f>
        <v/>
      </c>
      <c r="M18" s="280">
        <f>(MIN('근거_NSA수량(IQVIA기준)'!M27+0.05*'근거_NSA수량(IQVIA기준)'!M7,'근거_NSA수량(IQVIA기준)'!M7))/M24</f>
        <v/>
      </c>
      <c r="N18" s="280">
        <f>(MIN('근거_NSA수량(IQVIA기준)'!N27+0.05*'근거_NSA수량(IQVIA기준)'!N7,'근거_NSA수량(IQVIA기준)'!N7))/N24</f>
        <v/>
      </c>
    </row>
    <row r="19">
      <c r="A19" t="inlineStr">
        <is>
          <t xml:space="preserve">  : Model Base 기준, Ramosetron 시장 내 NSA MS +5%p 확대 시나리오 (전 종별 동시 적용)</t>
        </is>
      </c>
      <c r="J19" s="278">
        <f>J18/J10-1</f>
        <v/>
      </c>
      <c r="K19" s="278">
        <f>K18/K10-1</f>
        <v/>
      </c>
      <c r="L19" s="278">
        <f>L18/L10-1</f>
        <v/>
      </c>
      <c r="M19" s="278">
        <f>M18/M10-1</f>
        <v/>
      </c>
      <c r="N19" s="278">
        <f>N18/N10-1</f>
        <v/>
      </c>
    </row>
    <row r="20">
      <c r="A20" s="281" t="inlineStr">
        <is>
          <t xml:space="preserve">  ▶ 6) Worst Scenario (±5%p)     [FY2027~FY2030 : (Base NSA 수량 + NSA MS -5%p 효과) ÷ 전환비율]</t>
        </is>
      </c>
      <c r="J20" s="282">
        <f>('근거_NSA수량(IQVIA기준)'!J27)/J24</f>
        <v/>
      </c>
      <c r="K20" s="282">
        <f>('근거_NSA수량(IQVIA기준)'!K27-0.05*'근거_NSA수량(IQVIA기준)'!K7)/K24</f>
        <v/>
      </c>
      <c r="L20" s="282">
        <f>('근거_NSA수량(IQVIA기준)'!L27-0.05*'근거_NSA수량(IQVIA기준)'!L7)/L24</f>
        <v/>
      </c>
      <c r="M20" s="282">
        <f>('근거_NSA수량(IQVIA기준)'!M27-0.05*'근거_NSA수량(IQVIA기준)'!M7)/M24</f>
        <v/>
      </c>
      <c r="N20" s="282">
        <f>('근거_NSA수량(IQVIA기준)'!N27-0.05*'근거_NSA수량(IQVIA기준)'!N7)/N24</f>
        <v/>
      </c>
    </row>
    <row r="21">
      <c r="A21" t="inlineStr">
        <is>
          <t xml:space="preserve">  : Model Base 기준, Ramosetron 시장 내 NSA MS -5%p 잠식 시나리오 (전 종별 동시 적용)</t>
        </is>
      </c>
      <c r="J21" s="278">
        <f>J20/J10-1</f>
        <v/>
      </c>
      <c r="K21" s="278">
        <f>K20/K10-1</f>
        <v/>
      </c>
      <c r="L21" s="278">
        <f>L20/L10-1</f>
        <v/>
      </c>
      <c r="M21" s="278">
        <f>M20/M10-1</f>
        <v/>
      </c>
      <c r="N21" s="278">
        <f>N20/N10-1</f>
        <v/>
      </c>
    </row>
    <row r="23">
      <c r="A23" s="272" t="inlineStr">
        <is>
          <t>■ C. 전환비율 (IQVIA 수량 ÷ SAP 매출수량)  [FY2020~2025 : 산출치 | FY2026~2030 : FY24~25 평균 (원 모델 기준 유지)]</t>
        </is>
      </c>
    </row>
    <row r="24">
      <c r="A24" t="inlineStr">
        <is>
          <t xml:space="preserve">  전환비율</t>
        </is>
      </c>
      <c r="D24" s="278">
        <f>IFERROR(D7/D10,"")</f>
        <v/>
      </c>
      <c r="E24" s="278">
        <f>IFERROR(E7/E10,"")</f>
        <v/>
      </c>
      <c r="F24" s="278">
        <f>IFERROR(F7/F10,"")</f>
        <v/>
      </c>
      <c r="G24" s="278">
        <f>IFERROR(G7/G10,"")</f>
        <v/>
      </c>
      <c r="H24" s="278">
        <f>IFERROR(H7/H10,"")</f>
        <v/>
      </c>
      <c r="I24" s="278">
        <f>IFERROR(I7/I10,"")</f>
        <v/>
      </c>
      <c r="J24" s="283">
        <f>AVERAGE(H24:I24)</f>
        <v/>
      </c>
      <c r="K24" s="283">
        <f>J24</f>
        <v/>
      </c>
      <c r="L24" s="283">
        <f>K24</f>
        <v/>
      </c>
      <c r="M24" s="283">
        <f>L24</f>
        <v/>
      </c>
      <c r="N24" s="283">
        <f>M24</f>
        <v/>
      </c>
    </row>
    <row r="26">
      <c r="A26" s="272" t="inlineStr">
        <is>
          <t>■ D. 단가 (원/A)                              [연도별 단가 : FY2026 목표단가(백만원/5A) ÷ 5 × 연도별 약가 배율 (인하 고시 시 28행 수정) ]</t>
        </is>
      </c>
    </row>
    <row r="27">
      <c r="A27" t="inlineStr">
        <is>
          <t>환산 단가 (원/A)</t>
        </is>
      </c>
      <c r="B27" s="284">
        <f>$B$59/5*1000000</f>
        <v/>
      </c>
      <c r="C27" t="inlineStr">
        <is>
          <t>(NASEA Inj. 0.3mg/5A FY2026 목표단가 ÷ 5 — 하단 [참고] 목표단가 참조)</t>
        </is>
      </c>
    </row>
    <row r="28">
      <c r="A28" t="inlineStr">
        <is>
          <t xml:space="preserve">   약가 배율 (%)</t>
        </is>
      </c>
      <c r="J28" s="285" t="n">
        <v>1</v>
      </c>
      <c r="K28" s="285" t="n">
        <v>1</v>
      </c>
      <c r="L28" s="285" t="n">
        <v>1</v>
      </c>
      <c r="M28" s="285" t="n">
        <v>1</v>
      </c>
      <c r="N28" s="285" t="n">
        <v>1</v>
      </c>
      <c r="O28" s="286" t="inlineStr">
        <is>
          <t>◀ 약가 인하 고시 없음 → 100% 유지 (인하 확정 시 해당 연도 배율만 수정)</t>
        </is>
      </c>
    </row>
    <row r="29">
      <c r="A29" s="287" t="inlineStr">
        <is>
          <t xml:space="preserve">  단가 (원/A) </t>
        </is>
      </c>
      <c r="J29" s="288">
        <f>$B$27*J28</f>
        <v/>
      </c>
      <c r="K29" s="288">
        <f>$B$27*K28</f>
        <v/>
      </c>
      <c r="L29" s="288">
        <f>$B$27*L28</f>
        <v/>
      </c>
      <c r="M29" s="288">
        <f>$B$27*M28</f>
        <v/>
      </c>
      <c r="N29" s="288">
        <f>$B$27*N28</f>
        <v/>
      </c>
    </row>
    <row r="31">
      <c r="A31" s="272" t="inlineStr">
        <is>
          <t>■ E. DSKR SAP매출액 (백만원)      [FY2020~2025 : 실측 수량 × FY2026 목표단가 | FY2026~FY2030 : DSKR 매출 수량(B) × 단가(D) ]</t>
        </is>
      </c>
    </row>
    <row r="32">
      <c r="A32" s="274" t="inlineStr">
        <is>
          <t xml:space="preserve">  ▶ 1) Model Base : (B-1) × (D)</t>
        </is>
      </c>
      <c r="B32" s="275" t="n"/>
      <c r="C32" s="275" t="n"/>
      <c r="D32" s="275" t="n">
        <v>22226.502272</v>
      </c>
      <c r="E32" s="275" t="n">
        <v>26771.837248</v>
      </c>
      <c r="F32" s="275" t="n">
        <v>25368.619328</v>
      </c>
      <c r="G32" s="275" t="n">
        <v>28112.214208</v>
      </c>
      <c r="H32" s="275" t="n">
        <v>22041.63936</v>
      </c>
      <c r="I32" s="275" t="n">
        <v>26310.474112</v>
      </c>
      <c r="J32" s="276">
        <f>J10*J29/1000000</f>
        <v/>
      </c>
      <c r="K32" s="276">
        <f>K10*K29/1000000</f>
        <v/>
      </c>
      <c r="L32" s="276">
        <f>L10*L29/1000000</f>
        <v/>
      </c>
      <c r="M32" s="276">
        <f>M10*M29/1000000</f>
        <v/>
      </c>
      <c r="N32" s="276">
        <f>N10*N29/1000000</f>
        <v/>
      </c>
    </row>
    <row r="33">
      <c r="A33" t="inlineStr">
        <is>
          <t xml:space="preserve">  YoY 증감률 </t>
        </is>
      </c>
      <c r="C33" s="289">
        <f>IFERROR(C32/B32-1,"")</f>
        <v/>
      </c>
      <c r="D33" s="289">
        <f>IFERROR(D32/C32-1,"")</f>
        <v/>
      </c>
      <c r="E33" s="289">
        <f>IFERROR(E32/D32-1,"")</f>
        <v/>
      </c>
      <c r="F33" s="289">
        <f>IFERROR(F32/E32-1,"")</f>
        <v/>
      </c>
      <c r="G33" s="289">
        <f>IFERROR(G32/F32-1,"")</f>
        <v/>
      </c>
      <c r="H33" s="289">
        <f>IFERROR(H32/G32-1,"")</f>
        <v/>
      </c>
      <c r="I33" s="289">
        <f>IFERROR(I32/H32-1,"")</f>
        <v/>
      </c>
      <c r="J33" s="289">
        <f>IFERROR(J32/I32-1,"")</f>
        <v/>
      </c>
      <c r="K33" s="289">
        <f>IFERROR(K32/J32-1,"")</f>
        <v/>
      </c>
      <c r="L33" s="289">
        <f>IFERROR(L32/K32-1,"")</f>
        <v/>
      </c>
      <c r="M33" s="289">
        <f>IFERROR(M32/L32-1,"")</f>
        <v/>
      </c>
      <c r="N33" s="289">
        <f>IFERROR(N32/M32-1,"")</f>
        <v/>
      </c>
    </row>
    <row r="34">
      <c r="A34" s="274" t="inlineStr">
        <is>
          <t xml:space="preserve">  ▶ 2) MKT Base : MKT Base(B-2) × 단가(D)</t>
        </is>
      </c>
      <c r="J34" s="276">
        <f>IF($J$12="","",J12*J29/1000000)</f>
        <v/>
      </c>
      <c r="K34" s="276">
        <f>IF($J$12="","",K12*K29/1000000)</f>
        <v/>
      </c>
      <c r="L34" s="276">
        <f>IF($J$12="","",L12*L29/1000000)</f>
        <v/>
      </c>
      <c r="M34" s="276">
        <f>IF($J$12="","",M12*M29/1000000)</f>
        <v/>
      </c>
      <c r="N34" s="276">
        <f>IF($J$12="","",N12*N29/1000000)</f>
        <v/>
      </c>
    </row>
    <row r="35">
      <c r="A35" s="279" t="inlineStr">
        <is>
          <t xml:space="preserve">  ▶ 3) Best (±10%p) : Best 수량(B-3) × 단가(D)</t>
        </is>
      </c>
      <c r="J35" s="280">
        <f>J14*J29/1000000</f>
        <v/>
      </c>
      <c r="K35" s="280">
        <f>K14*K29/1000000</f>
        <v/>
      </c>
      <c r="L35" s="280">
        <f>L14*L29/1000000</f>
        <v/>
      </c>
      <c r="M35" s="280">
        <f>M14*M29/1000000</f>
        <v/>
      </c>
      <c r="N35" s="280">
        <f>N14*N29/1000000</f>
        <v/>
      </c>
    </row>
    <row r="36">
      <c r="A36" s="281" t="inlineStr">
        <is>
          <t xml:space="preserve">  ▶ 4) Worst (±10%p) : Worst 수량(B-4) × 단가(D)</t>
        </is>
      </c>
      <c r="J36" s="282">
        <f>J16*J29/1000000</f>
        <v/>
      </c>
      <c r="K36" s="282">
        <f>K16*K29/1000000</f>
        <v/>
      </c>
      <c r="L36" s="282">
        <f>L16*L29/1000000</f>
        <v/>
      </c>
      <c r="M36" s="282">
        <f>M16*M29/1000000</f>
        <v/>
      </c>
      <c r="N36" s="282">
        <f>N16*N29/1000000</f>
        <v/>
      </c>
    </row>
    <row r="37">
      <c r="A37" s="279" t="inlineStr">
        <is>
          <t xml:space="preserve">  ▶ 5) Best (±5%p) : Best 수량(B-5) × 단가(D)</t>
        </is>
      </c>
      <c r="J37" s="280">
        <f>J18*J29/1000000</f>
        <v/>
      </c>
      <c r="K37" s="280">
        <f>K18*K29/1000000</f>
        <v/>
      </c>
      <c r="L37" s="280">
        <f>L18*L29/1000000</f>
        <v/>
      </c>
      <c r="M37" s="280">
        <f>M18*M29/1000000</f>
        <v/>
      </c>
      <c r="N37" s="280">
        <f>N18*N29/1000000</f>
        <v/>
      </c>
    </row>
    <row r="38">
      <c r="A38" s="281" t="inlineStr">
        <is>
          <t xml:space="preserve">  ▶ 6) Worst (±5%p) : Worst 수량(B-6) × 단가(D)</t>
        </is>
      </c>
      <c r="J38" s="282">
        <f>J20*J29/1000000</f>
        <v/>
      </c>
      <c r="K38" s="282">
        <f>K20*K29/1000000</f>
        <v/>
      </c>
      <c r="L38" s="282">
        <f>L20*L29/1000000</f>
        <v/>
      </c>
      <c r="M38" s="282">
        <f>M20*M29/1000000</f>
        <v/>
      </c>
      <c r="N38" s="282">
        <f>N20*N29/1000000</f>
        <v/>
      </c>
    </row>
    <row r="40">
      <c r="B40" s="287" t="inlineStr">
        <is>
          <t xml:space="preserve">[참고] </t>
        </is>
      </c>
    </row>
    <row r="41">
      <c r="B41" s="287" t="inlineStr">
        <is>
          <t>*시나리오 밴드 설정 및 산출 기준</t>
        </is>
      </c>
    </row>
    <row r="42">
      <c r="B42" s="287" t="inlineStr">
        <is>
          <t>· 시나리오 기준 (민감도 1위 지표: Ramosetron 시장 내 NSA MS) — ±10%p(주 밴드)·±5%p(보조 밴드) 2단계</t>
        </is>
      </c>
    </row>
    <row r="43">
      <c r="B43" s="287" t="inlineStr">
        <is>
          <t>- Best (MS 확대): 상급종합·종합병원 코드인 유지 및 병원급 확대로 NSA MS +10%p / +5%p → 매출 상단</t>
        </is>
      </c>
    </row>
    <row r="44">
      <c r="B44" s="287" t="inlineStr">
        <is>
          <t>- Worst (MS 잠식): 제네릭 저가 입찰·처방 전환으로 NSA MS -10%p / -5%p → 매출 하단</t>
        </is>
      </c>
    </row>
    <row r="45">
      <c r="B45" s="287" t="inlineStr">
        <is>
          <t>· 핵심 산출 근거: 종별 NSA MS 분기 실측(2020Q1~2026Q1, 근거_NSA수량 [참고]) 기준 가감. 시장 수량(Ramosetron)은 Base 고정</t>
        </is>
      </c>
    </row>
    <row r="46">
      <c r="B46" s="287" t="inlineStr">
        <is>
          <t xml:space="preserve">· 전략적 시사점 </t>
        </is>
      </c>
    </row>
    <row r="47">
      <c r="B47" s="290" t="inlineStr">
        <is>
          <t>- Best와 Worst 시나리오 간의 최종 매출 격차(Band 폭)는 예측 오차가 아니라, 영업·마케팅의 종별 MS 방어·확대 활동이 창출해야 할 '전략적 목표 가치(Value)'를 의미</t>
        </is>
      </c>
    </row>
    <row r="48">
      <c r="B48" s="287" t="inlineStr">
        <is>
          <t>· 모델링 전제 조건</t>
        </is>
      </c>
    </row>
    <row r="49">
      <c r="B49" s="290" t="inlineStr">
        <is>
          <t>- 핵심 변수 집중: 환자수·종별 비율 등 후순위 변수와 '약가 경로'는 기본값(Base)으로 고정하여, 가장 민감도가 높은 'NSA MS 증감'의 단일 영향력을 명확히 함.</t>
        </is>
      </c>
    </row>
    <row r="50">
      <c r="B50" s="290" t="inlineStr">
        <is>
          <t xml:space="preserve">- 예외 적용: FY2026은 시나리오 밴드 미적용 (세일즈 포캐스트 대상은 FY2027~) </t>
        </is>
      </c>
    </row>
    <row r="52">
      <c r="B52" s="268" t="inlineStr">
        <is>
          <t xml:space="preserve">※ 출처 : IQVIA(FY2020~2025), SAP </t>
        </is>
      </c>
    </row>
    <row r="53">
      <c r="B53" s="290" t="inlineStr">
        <is>
          <t>※ 범례</t>
        </is>
      </c>
    </row>
    <row r="54">
      <c r="B54" s="290" t="inlineStr">
        <is>
          <t>· 외부 입력 데이터: 청색(Blue) 표기</t>
        </is>
      </c>
    </row>
    <row r="55">
      <c r="B55" s="290" t="inlineStr">
        <is>
          <t>· 예측 변수(또는 예측치): 녹색(Green) 표기</t>
        </is>
      </c>
    </row>
    <row r="56">
      <c r="B56" s="290" t="inlineStr">
        <is>
          <t>· 최종 산출 결과: 황색(Yellow) 음영 행</t>
        </is>
      </c>
    </row>
    <row r="58">
      <c r="B58" s="272" t="inlineStr">
        <is>
          <t>[참고] FY2026 목표단가 — 환산 단가(B27)의 산출 원천</t>
        </is>
      </c>
    </row>
    <row r="59">
      <c r="A59" t="inlineStr">
        <is>
          <t xml:space="preserve">  NASEA Inj. 0.3mg/5A (백만원/5A)</t>
        </is>
      </c>
      <c r="B59" s="291" t="n">
        <v>0.06905599999999999</v>
      </c>
      <c r="C59" s="286" t="inlineStr">
        <is>
          <t>(FY26BGT 목표단가; 1 Box = 5 Ampoule)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9AA0A8"/>
    <outlinePr summaryBelow="1" summaryRight="1"/>
    <pageSetUpPr/>
  </sheetPr>
  <dimension ref="A2:J45"/>
  <sheetViews>
    <sheetView showGridLines="0" tabSelected="0" workbookViewId="0">
      <selection activeCell="A1" sqref="A1"/>
    </sheetView>
  </sheetViews>
  <sheetFormatPr baseColWidth="8" defaultRowHeight="15"/>
  <cols>
    <col width="30.8" customWidth="1" style="217" min="1" max="1"/>
    <col width="34.8" customWidth="1" style="217" min="2" max="2"/>
    <col width="15.8" customWidth="1" style="217" min="3" max="3"/>
    <col width="14" customWidth="1" style="217" min="4" max="4"/>
    <col width="14" customWidth="1" style="217" min="5" max="5"/>
    <col width="42.8" customWidth="1" style="217" min="6" max="6"/>
    <col width="14" customWidth="1" style="217" min="7" max="7"/>
    <col width="8.800000000000001" customWidth="1" style="217" min="8" max="8"/>
  </cols>
  <sheetData>
    <row r="2">
      <c r="A2" s="267" t="inlineStr">
        <is>
          <t>NSA FCST 민감도  :  변동요인별 ± 이동이 Model Base 매출에 주는 영향</t>
        </is>
      </c>
    </row>
    <row r="4">
      <c r="A4" s="287" t="inlineStr">
        <is>
          <t>■ A. 방법</t>
        </is>
      </c>
    </row>
    <row r="5">
      <c r="A5" t="inlineStr">
        <is>
          <t xml:space="preserve">  · 방법: 한 번에 한 레버씩 하방/상방 조건으로 이동시켜 Model Base 매출(근거_매출 ■E-1)을 재계산. 레버 간 상관 미반영(일원 민감도). 사본 재계산(LibreOffice 전체 재계산) 결과의 정적 기록</t>
        </is>
      </c>
    </row>
    <row r="8">
      <c r="A8" s="287" t="inlineStr">
        <is>
          <t>■ B. 레버 정의</t>
        </is>
      </c>
    </row>
    <row r="9">
      <c r="B9" s="292" t="inlineStr">
        <is>
          <t>모델 내 위치</t>
        </is>
      </c>
      <c r="C9" s="292" t="inlineStr">
        <is>
          <t>기준값</t>
        </is>
      </c>
      <c r="D9" s="292" t="inlineStr">
        <is>
          <t>하방조건</t>
        </is>
      </c>
      <c r="E9" s="292" t="inlineStr">
        <is>
          <t>상방조건</t>
        </is>
      </c>
      <c r="F9" s="292" t="inlineStr">
        <is>
          <t>범위설정 근거</t>
        </is>
      </c>
    </row>
    <row r="10">
      <c r="A10" t="inlineStr">
        <is>
          <t>L1 전신마취환자수</t>
        </is>
      </c>
      <c r="B10" t="inlineStr">
        <is>
          <t>근거_전신마취환자수 40행 (2026~2030 연간)</t>
        </is>
      </c>
      <c r="C10" t="inlineStr">
        <is>
          <t>연령별 회귀/평균</t>
        </is>
      </c>
      <c r="D10" t="inlineStr">
        <is>
          <t>-2%</t>
        </is>
      </c>
      <c r="E10" t="inlineStr">
        <is>
          <t>+2%</t>
        </is>
      </c>
      <c r="F10" t="inlineStr">
        <is>
          <t>동등 산포의 레벨 쇼크(±2%) 근사</t>
        </is>
      </c>
    </row>
    <row r="11">
      <c r="A11" t="inlineStr">
        <is>
          <t>L2 상급종합 환자비율 상한</t>
        </is>
      </c>
      <c r="B11" t="inlineStr">
        <is>
          <t>근거_Ramosetron 시장 수량 C48</t>
        </is>
      </c>
      <c r="C11" s="278" t="n">
        <v>0.41</v>
      </c>
      <c r="D11" s="278" t="n">
        <v>0.38</v>
      </c>
      <c r="E11" s="278" t="n">
        <v>0.44</v>
      </c>
      <c r="F11" t="inlineStr">
        <is>
          <t>회복모형 상한 ±3%p</t>
        </is>
      </c>
    </row>
    <row r="12">
      <c r="A12" t="inlineStr">
        <is>
          <t>L3 종합병원 환자비율 하한</t>
        </is>
      </c>
      <c r="B12" t="inlineStr">
        <is>
          <t>근거_Ramosetron 시장 수량 C49</t>
        </is>
      </c>
      <c r="C12" s="278" t="n">
        <v>0.4</v>
      </c>
      <c r="D12" s="278" t="n">
        <v>0.37</v>
      </c>
      <c r="E12" s="278" t="n">
        <v>0.43</v>
      </c>
      <c r="F12" t="inlineStr">
        <is>
          <t>회복모형 하한 ±3%p</t>
        </is>
      </c>
    </row>
    <row r="13">
      <c r="A13" t="inlineStr">
        <is>
          <t>L4 환자당 Ramo 사용량</t>
        </is>
      </c>
      <c r="B13" t="inlineStr">
        <is>
          <t>근거_Ramosetron 시장 수량 33~36행 (2026~2030)</t>
        </is>
      </c>
      <c r="C13" t="inlineStr">
        <is>
          <t>선형회귀(상한) / flat</t>
        </is>
      </c>
      <c r="D13" t="inlineStr">
        <is>
          <t>-5%</t>
        </is>
      </c>
      <c r="E13" t="inlineStr">
        <is>
          <t>+5%</t>
        </is>
      </c>
      <c r="F13" t="inlineStr">
        <is>
          <t>연간모델 표본 부족에 따른 레벨 쇼크 ±5%</t>
        </is>
      </c>
    </row>
    <row r="14">
      <c r="A14" t="inlineStr">
        <is>
          <t>L5 NSA MS 상급종합 하한</t>
        </is>
      </c>
      <c r="B14" t="inlineStr">
        <is>
          <t>근거_NSA수량 E32 (레벨보정 하한)</t>
        </is>
      </c>
      <c r="C14" s="278" t="n">
        <v>0.55</v>
      </c>
      <c r="D14" s="278" t="n">
        <v>0.52</v>
      </c>
      <c r="E14" s="278" t="n">
        <v>0.58</v>
      </c>
      <c r="F14" t="inlineStr">
        <is>
          <t>백테스트 MAPE 2.9% 기준 ±3%p</t>
        </is>
      </c>
    </row>
    <row r="15">
      <c r="A15" t="inlineStr">
        <is>
          <t>L6 NSA MS 종합병원 상한</t>
        </is>
      </c>
      <c r="B15" t="inlineStr">
        <is>
          <t>근거_NSA수량 E33 (S-curve 상한)</t>
        </is>
      </c>
      <c r="C15" s="278" t="n">
        <v>0.5600000000000001</v>
      </c>
      <c r="D15" s="278" t="n">
        <v>0.53</v>
      </c>
      <c r="E15" s="278" t="n">
        <v>0.59</v>
      </c>
      <c r="F15" t="inlineStr">
        <is>
          <t>백테스트 MAPE 3.8% 기준 ±3%p</t>
        </is>
      </c>
    </row>
    <row r="16">
      <c r="A16" t="inlineStr">
        <is>
          <t>L7 NSA MS 병원·의원</t>
        </is>
      </c>
      <c r="B16" t="inlineStr">
        <is>
          <t>근거_NSA수량 51~52행 (2026Q2~2030Q4 수량)</t>
        </is>
      </c>
      <c r="C16" t="inlineStr">
        <is>
          <t>롤링4Q / EWMA</t>
        </is>
      </c>
      <c r="D16" t="inlineStr">
        <is>
          <t>-10%</t>
        </is>
      </c>
      <c r="E16" t="inlineStr">
        <is>
          <t>+10%</t>
        </is>
      </c>
      <c r="F16" t="inlineStr">
        <is>
          <t>백테스트 MAPE 8.9~10.3% 기준 ±10%</t>
        </is>
      </c>
    </row>
    <row r="17">
      <c r="A17" t="inlineStr">
        <is>
          <t>L8 NSA MS 전체 (시나리오)</t>
        </is>
      </c>
      <c r="B17" t="inlineStr">
        <is>
          <t>근거_매출 14·16행 (NSA 수량 ± MS×시장)</t>
        </is>
      </c>
      <c r="C17" t="inlineStr">
        <is>
          <t>종별 회귀 합산</t>
        </is>
      </c>
      <c r="D17" t="inlineStr">
        <is>
          <t>MS -10%p</t>
        </is>
      </c>
      <c r="E17" t="inlineStr">
        <is>
          <t>MS +10%p</t>
        </is>
      </c>
      <c r="F17" t="inlineStr">
        <is>
          <t>MTS 밴드와 동일 정의 (라이브 수식)</t>
        </is>
      </c>
    </row>
    <row r="18">
      <c r="A18" t="inlineStr">
        <is>
          <t>L9 전환비율</t>
        </is>
      </c>
      <c r="B18" t="inlineStr">
        <is>
          <t>근거_매출 24행 (FY24~25 평균)</t>
        </is>
      </c>
      <c r="C18" s="293" t="n">
        <v>1.044</v>
      </c>
      <c r="D18" s="293" t="n">
        <v>1.047</v>
      </c>
      <c r="E18" s="293" t="n">
        <v>1.01</v>
      </c>
      <c r="F18" t="inlineStr">
        <is>
          <t>FY2023~25 실측 최소·최대</t>
        </is>
      </c>
    </row>
    <row r="21">
      <c r="A21" s="287" t="inlineStr">
        <is>
          <t>■ C. 결과 — 기준 대비 매출 변화율</t>
        </is>
      </c>
    </row>
    <row r="22">
      <c r="B22" s="272" t="inlineStr">
        <is>
          <t>FY2027하방</t>
        </is>
      </c>
      <c r="C22" s="272" t="inlineStr">
        <is>
          <t>FY2027상방</t>
        </is>
      </c>
      <c r="D22" s="272" t="inlineStr">
        <is>
          <t>FY2030하방</t>
        </is>
      </c>
      <c r="E22" s="272" t="inlineStr">
        <is>
          <t>FY2030상방</t>
        </is>
      </c>
      <c r="F22" s="272" t="inlineStr">
        <is>
          <t>FY2030 최대영향(±)</t>
        </is>
      </c>
    </row>
    <row r="23">
      <c r="A23" s="287" t="inlineStr">
        <is>
          <t>L8 NSA MS 전체 (시나리오)</t>
        </is>
      </c>
      <c r="B23" s="294">
        <f>근거_매출!K36/근거_매출!K32-1</f>
        <v/>
      </c>
      <c r="C23" s="294">
        <f>근거_매출!K35/근거_매출!K32-1</f>
        <v/>
      </c>
      <c r="D23" s="294">
        <f>근거_매출!N36/근거_매출!N32-1</f>
        <v/>
      </c>
      <c r="E23" s="294">
        <f>근거_매출!N35/근거_매출!N32-1</f>
        <v/>
      </c>
      <c r="F23" s="294">
        <f>MAX(ABS(D23),ABS(E23))</f>
        <v/>
      </c>
    </row>
    <row r="24">
      <c r="A24" s="290" t="inlineStr">
        <is>
          <t>L4 환자당 Ramo 사용량</t>
        </is>
      </c>
      <c r="B24" s="295">
        <f>-0.05237</f>
        <v/>
      </c>
      <c r="C24" s="295">
        <f>0.052672</f>
        <v/>
      </c>
      <c r="D24" s="295">
        <f>-0.054968</f>
        <v/>
      </c>
      <c r="E24" s="295">
        <f>0.056379</f>
        <v/>
      </c>
      <c r="F24" s="295">
        <f>MAX(ABS(D24),ABS(E24))</f>
        <v/>
      </c>
    </row>
    <row r="25">
      <c r="A25" s="290" t="inlineStr">
        <is>
          <t>L9 전환비율</t>
        </is>
      </c>
      <c r="B25" s="295">
        <f>-0.002857</f>
        <v/>
      </c>
      <c r="C25" s="295">
        <f>0.033672</f>
        <v/>
      </c>
      <c r="D25" s="295">
        <f>-0.002857</f>
        <v/>
      </c>
      <c r="E25" s="295">
        <f>0.033672</f>
        <v/>
      </c>
      <c r="F25" s="295">
        <f>MAX(ABS(D25),ABS(E25))</f>
        <v/>
      </c>
    </row>
    <row r="26">
      <c r="A26" s="290" t="inlineStr">
        <is>
          <t>L5 NSA MS 상급종합 하한</t>
        </is>
      </c>
      <c r="B26" s="295">
        <f>-0.000419</f>
        <v/>
      </c>
      <c r="C26" s="295">
        <f>0.020518</f>
        <v/>
      </c>
      <c r="D26" s="295">
        <f>-0.029562</f>
        <v/>
      </c>
      <c r="E26" s="295">
        <f>0.029562</f>
        <v/>
      </c>
      <c r="F26" s="295">
        <f>MAX(ABS(D26),ABS(E26))</f>
        <v/>
      </c>
    </row>
    <row r="27">
      <c r="A27" s="290" t="inlineStr">
        <is>
          <t>L6 NSA MS 종합병원 상한</t>
        </is>
      </c>
      <c r="B27" s="295">
        <f>-0.014146</f>
        <v/>
      </c>
      <c r="C27" s="295">
        <f>0.011442</f>
        <v/>
      </c>
      <c r="D27" s="295">
        <f>-0.022372</f>
        <v/>
      </c>
      <c r="E27" s="295">
        <f>0.021518</f>
        <v/>
      </c>
      <c r="F27" s="295">
        <f>MAX(ABS(D27),ABS(E27))</f>
        <v/>
      </c>
    </row>
    <row r="28">
      <c r="A28" s="290" t="inlineStr">
        <is>
          <t>L1 전신마취환자수</t>
        </is>
      </c>
      <c r="B28" s="295">
        <f>-0.02</f>
        <v/>
      </c>
      <c r="C28" s="295">
        <f>0.02</f>
        <v/>
      </c>
      <c r="D28" s="295">
        <f>-0.02</f>
        <v/>
      </c>
      <c r="E28" s="295">
        <f>0.02</f>
        <v/>
      </c>
      <c r="F28" s="295">
        <f>MAX(ABS(D28),ABS(E28))</f>
        <v/>
      </c>
    </row>
    <row r="29">
      <c r="A29" s="290" t="inlineStr">
        <is>
          <t>L2 상급종합 환자비율 상한</t>
        </is>
      </c>
      <c r="B29" s="295">
        <f>-0.009362</f>
        <v/>
      </c>
      <c r="C29" s="295">
        <f>0.000539</f>
        <v/>
      </c>
      <c r="D29" s="295">
        <f>-0.010356</f>
        <v/>
      </c>
      <c r="E29" s="295">
        <f>0.009761</f>
        <v/>
      </c>
      <c r="F29" s="295">
        <f>MAX(ABS(D29),ABS(E29))</f>
        <v/>
      </c>
    </row>
    <row r="30">
      <c r="A30" s="290" t="inlineStr">
        <is>
          <t>L7 NSA MS 병원·의원</t>
        </is>
      </c>
      <c r="B30" s="295">
        <f>-0.004034</f>
        <v/>
      </c>
      <c r="C30" s="295">
        <f>0.004034</f>
        <v/>
      </c>
      <c r="D30" s="295">
        <f>-0.002819</f>
        <v/>
      </c>
      <c r="E30" s="295">
        <f>0.002819</f>
        <v/>
      </c>
      <c r="F30" s="295">
        <f>MAX(ABS(D30),ABS(E30))</f>
        <v/>
      </c>
    </row>
    <row r="31">
      <c r="A31" s="290" t="inlineStr">
        <is>
          <t>L3 종합병원 환자비율 하한</t>
        </is>
      </c>
      <c r="B31" s="295">
        <f>-0.0025</f>
        <v/>
      </c>
      <c r="C31" s="295">
        <f>0.002361</f>
        <v/>
      </c>
      <c r="D31" s="295">
        <f>-0.00271</f>
        <v/>
      </c>
      <c r="E31" s="295">
        <f>0.002554</f>
        <v/>
      </c>
      <c r="F31" s="295">
        <f>MAX(ABS(D31),ABS(E31))</f>
        <v/>
      </c>
    </row>
    <row r="33">
      <c r="A33" s="296" t="inlineStr">
        <is>
          <t>· L8 NSA MS 전체는 MTS 밴드(근거_매출 35·36행, ±10%p)와 동일 정의라 수식 참조(라이브). 나머지는 사본 재계산의 정적 기록</t>
        </is>
      </c>
    </row>
    <row r="34">
      <c r="A34" s="296" t="inlineStr">
        <is>
          <t>· NSA 모델은 CY 분기 모델(2026Q1 실측 → 2026Q2~ 예측)이며 FY2026(2026Q2~2027Q1)은 전량 예측 구간 — 환자수·비율 레버도 FY2026부터 영향</t>
        </is>
      </c>
    </row>
    <row r="35">
      <c r="A35" s="296" t="inlineStr">
        <is>
          <t>· L4 환자당 사용량은 종별 4행을 동시에 이동. L7은 병원·의원 NSA 수량(=시장×MS)에 직접 적용해 롤링평균 누적효과를 배제</t>
        </is>
      </c>
    </row>
    <row r="36">
      <c r="A36" s="296" t="inlineStr">
        <is>
          <t>· 결과 수치는 산출 시점(2026-09-15)의 모델 상태 기준이며, 원자료_분기실측 갱신 시 L8 외 정적 값은 재산출 필요</t>
        </is>
      </c>
    </row>
    <row r="39">
      <c r="A39" s="296" t="inlineStr">
        <is>
          <t>■ D. 차트 소스 데이터</t>
        </is>
      </c>
    </row>
    <row r="40">
      <c r="A40" s="296" t="inlineStr">
        <is>
          <t>요인(±%)</t>
        </is>
      </c>
      <c r="B40" s="296" t="inlineStr">
        <is>
          <t>L3 종합병원 환자비율 하한</t>
        </is>
      </c>
      <c r="C40" s="296" t="inlineStr">
        <is>
          <t>L7 NSA MS 병원·의원</t>
        </is>
      </c>
      <c r="D40" s="296" t="inlineStr">
        <is>
          <t>L2 상급종합 환자비율 상한</t>
        </is>
      </c>
      <c r="E40" s="296" t="inlineStr">
        <is>
          <t>L1 전신마취환자수</t>
        </is>
      </c>
      <c r="F40" s="296" t="inlineStr">
        <is>
          <t>L6 NSA MS 종합병원 상한</t>
        </is>
      </c>
      <c r="G40" s="296" t="inlineStr">
        <is>
          <t>L5 NSA MS 상급종합 하한</t>
        </is>
      </c>
      <c r="H40" s="296" t="inlineStr">
        <is>
          <t>L9 전환비율</t>
        </is>
      </c>
      <c r="I40" s="296" t="inlineStr">
        <is>
          <t>L4 환자당 Ramo 사용량</t>
        </is>
      </c>
      <c r="J40" s="296" t="inlineStr">
        <is>
          <t>L8 NSA MS 전체 (시나리오)</t>
        </is>
      </c>
    </row>
    <row r="41">
      <c r="A41" s="296" t="inlineStr">
        <is>
          <t>영향(%)</t>
        </is>
      </c>
      <c r="B41" s="296">
        <f>ROUND(F31*100,1)</f>
        <v/>
      </c>
      <c r="C41" s="296">
        <f>ROUND(F30*100,1)</f>
        <v/>
      </c>
      <c r="D41" s="296">
        <f>ROUND(F29*100,1)</f>
        <v/>
      </c>
      <c r="E41" s="296">
        <f>ROUND(F28*100,1)</f>
        <v/>
      </c>
      <c r="F41" s="296">
        <f>ROUND(F27*100,1)</f>
        <v/>
      </c>
      <c r="G41" s="296">
        <f>ROUND(F26*100,1)</f>
        <v/>
      </c>
      <c r="H41" s="296">
        <f>ROUND(F25*100,1)</f>
        <v/>
      </c>
      <c r="I41" s="296">
        <f>ROUND(F24*100,1)</f>
        <v/>
      </c>
      <c r="J41" s="296">
        <f>ROUND(F23*100,1)</f>
        <v/>
      </c>
    </row>
    <row r="43">
      <c r="A43" s="296" t="inlineStr">
        <is>
          <t>FY2030(억)</t>
        </is>
      </c>
      <c r="B43" s="296" t="inlineStr">
        <is>
          <t>MS 잠식(-10%p)</t>
        </is>
      </c>
      <c r="C43" s="296" t="inlineStr">
        <is>
          <t>Base</t>
        </is>
      </c>
      <c r="D43" s="296" t="inlineStr">
        <is>
          <t>MS 확대(+10%p)</t>
        </is>
      </c>
    </row>
    <row r="44">
      <c r="A44" s="296" t="inlineStr">
        <is>
          <t>매출</t>
        </is>
      </c>
      <c r="B44" s="296">
        <f>ROUND(근거_매출!N36/100,0)</f>
        <v/>
      </c>
      <c r="C44" s="296">
        <f>ROUND(근거_매출!N32/100,0)</f>
        <v/>
      </c>
      <c r="D44" s="296">
        <f>ROUND(근거_매출!N35/100,0)</f>
        <v/>
      </c>
    </row>
    <row r="45">
      <c r="A45" s="296" t="inlineStr">
        <is>
          <t>매출 (±5%p 밴드)</t>
        </is>
      </c>
      <c r="B45" s="296">
        <f>ROUND(근거_매출!N38/100,0)</f>
        <v/>
      </c>
      <c r="C45" s="296">
        <f>ROUND(근거_매출!N32/100,0)</f>
        <v/>
      </c>
      <c r="D45" s="296">
        <f>ROUND(근거_매출!N37/100,0)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9AA0A8"/>
    <outlinePr summaryBelow="1" summaryRight="1"/>
    <pageSetUpPr/>
  </sheetPr>
  <dimension ref="A2:AC44"/>
  <sheetViews>
    <sheetView showGridLines="0" tabSelected="0" zoomScale="112" zoomScaleNormal="112" workbookViewId="0">
      <pane xSplit="2" topLeftCell="C1" activePane="topRight" state="frozen"/>
      <selection activeCell="A18" sqref="A18"/>
      <selection pane="topRight" activeCell="A5" sqref="A5"/>
    </sheetView>
  </sheetViews>
  <sheetFormatPr baseColWidth="8" defaultColWidth="8.5" defaultRowHeight="17.6"/>
  <cols>
    <col width="10.42578125" customWidth="1" style="217" min="1" max="1"/>
    <col width="13.0703125" customWidth="1" style="217" min="2" max="2"/>
    <col width="15.5" customWidth="1" style="217" min="3" max="3"/>
    <col width="12.7109375" customWidth="1" style="217" min="4" max="4"/>
    <col width="17.42578125" customWidth="1" style="217" min="5" max="5"/>
    <col width="13.5" customWidth="1" style="217" min="6" max="6"/>
    <col width="18.0703125" customWidth="1" style="217" min="7" max="7"/>
    <col width="13.5" customWidth="1" style="217" min="8" max="8"/>
    <col width="17.42578125" customWidth="1" style="217" min="9" max="9"/>
    <col width="21.42578125" customWidth="1" style="217" min="10" max="10"/>
    <col width="18.2109375" customWidth="1" style="217" min="11" max="11"/>
    <col width="19.92578125" customWidth="1" style="217" min="12" max="12"/>
    <col width="19.5703125" customWidth="1" style="217" min="13" max="13"/>
    <col width="18.5" customWidth="1" style="217" min="14" max="14"/>
    <col width="17.0703125" customWidth="1" style="217" min="15" max="15"/>
    <col width="18.5" customWidth="1" style="217" min="16" max="16"/>
    <col width="17.0703125" customWidth="1" style="217" min="17" max="17"/>
    <col width="18.5" customWidth="1" style="217" min="18" max="18"/>
    <col width="17.0703125" customWidth="1" style="217" min="19" max="19"/>
    <col width="18.5" customWidth="1" style="217" min="20" max="20"/>
    <col width="15" customWidth="1" style="217" min="21" max="21"/>
    <col width="11.92578125" customWidth="1" style="217" min="22" max="22"/>
    <col width="13.42578125" customWidth="1" style="217" min="23" max="23"/>
    <col width="11.92578125" customWidth="1" style="217" min="24" max="24"/>
    <col width="11.92578125" customWidth="1" style="217" min="27" max="27"/>
  </cols>
  <sheetData>
    <row r="2" ht="17.25" customHeight="1" s="217">
      <c r="A2" s="82" t="n"/>
      <c r="B2" s="82" t="inlineStr">
        <is>
          <t>Part 1) 전신마취환자수&amp;시장 예측  [CY 기준 · 역년 1~12월] / IQVIA 처방량 예측  [FY 기준 · 회계연도 4~3월]</t>
        </is>
      </c>
      <c r="C2" s="82" t="n"/>
      <c r="D2" s="82" t="n"/>
      <c r="E2" s="82" t="n"/>
      <c r="F2" s="82" t="n"/>
      <c r="G2" s="82" t="n"/>
      <c r="H2" s="82" t="n"/>
      <c r="I2" s="82" t="n"/>
      <c r="J2" s="82" t="n"/>
      <c r="K2" s="82" t="n"/>
      <c r="L2" s="82" t="n"/>
      <c r="M2" s="82" t="n"/>
      <c r="N2" s="82" t="n"/>
      <c r="O2" s="82" t="n"/>
      <c r="P2" s="82" t="n"/>
      <c r="Q2" s="82" t="n"/>
      <c r="R2" s="82" t="n"/>
      <c r="S2" s="82" t="n"/>
      <c r="T2" s="82" t="n"/>
      <c r="U2" s="82" t="n"/>
      <c r="V2" s="82" t="n"/>
      <c r="W2" s="82" t="n"/>
      <c r="X2" s="82" t="n"/>
      <c r="Y2" s="82" t="n"/>
      <c r="Z2" s="82" t="n"/>
      <c r="AA2" s="82" t="n"/>
      <c r="AB2" s="82" t="n"/>
      <c r="AC2" s="82" t="n"/>
    </row>
    <row r="3" ht="16.5" customHeight="1" s="217">
      <c r="A3" s="83" t="n"/>
      <c r="B3" s="84" t="inlineStr">
        <is>
          <t>연도</t>
        </is>
      </c>
      <c r="C3" s="84" t="inlineStr">
        <is>
          <t>전신마취환자수</t>
        </is>
      </c>
      <c r="D3" s="83" t="n"/>
      <c r="E3" s="84" t="inlineStr">
        <is>
          <t>Ramosetron 시장 수량 (IQVIA 기준)</t>
        </is>
      </c>
      <c r="F3" s="83" t="n"/>
      <c r="G3" s="83" t="n"/>
      <c r="H3" s="83" t="inlineStr">
        <is>
          <t>NSA 수량 (IQVIA기준)</t>
        </is>
      </c>
      <c r="I3" s="83" t="n"/>
      <c r="J3" s="83" t="n"/>
      <c r="K3" s="83" t="n"/>
      <c r="L3" s="83" t="n"/>
      <c r="M3" s="83" t="n"/>
      <c r="N3" s="83" t="n"/>
      <c r="O3" s="83" t="n"/>
      <c r="P3" s="83" t="n"/>
      <c r="Q3" s="83" t="n"/>
      <c r="R3" s="83" t="n"/>
      <c r="S3" s="83" t="n"/>
      <c r="T3" s="83" t="n"/>
      <c r="U3" s="83" t="n"/>
      <c r="V3" s="83" t="n"/>
      <c r="W3" s="83" t="n"/>
      <c r="X3" s="83" t="n"/>
      <c r="Y3" s="83" t="n"/>
      <c r="Z3" s="83" t="n"/>
      <c r="AA3" s="83" t="n"/>
      <c r="AB3" s="83" t="n"/>
      <c r="AC3" s="83" t="n"/>
    </row>
    <row r="4" ht="16.5" customHeight="1" s="217">
      <c r="A4" s="84" t="inlineStr">
        <is>
          <t>전체인구수</t>
        </is>
      </c>
      <c r="B4" s="83" t="inlineStr">
        <is>
          <t>CY연도기준</t>
        </is>
      </c>
      <c r="C4" s="84" t="inlineStr">
        <is>
          <t>환자수</t>
        </is>
      </c>
      <c r="D4" s="84" t="inlineStr">
        <is>
          <t>비율</t>
        </is>
      </c>
      <c r="E4" s="84" t="inlineStr">
        <is>
          <t>Ramosetron 시장 수량</t>
        </is>
      </c>
      <c r="F4" s="83" t="inlineStr">
        <is>
          <t>환자당 연간 처방량</t>
        </is>
      </c>
      <c r="G4" s="83" t="inlineStr">
        <is>
          <t>YoY</t>
        </is>
      </c>
      <c r="H4" s="83" t="inlineStr">
        <is>
          <t>NSA 수량</t>
        </is>
      </c>
      <c r="I4" s="83" t="inlineStr">
        <is>
          <t>MS</t>
        </is>
      </c>
      <c r="J4" s="83" t="inlineStr">
        <is>
          <t>YoY</t>
        </is>
      </c>
      <c r="K4" s="83" t="n"/>
      <c r="L4" s="83" t="n"/>
      <c r="M4" s="83" t="n"/>
      <c r="N4" s="83" t="n"/>
      <c r="O4" s="83" t="n"/>
      <c r="P4" s="83" t="n"/>
      <c r="Q4" s="83" t="n"/>
      <c r="R4" s="83" t="n"/>
      <c r="S4" s="83" t="n"/>
      <c r="T4" s="83" t="n"/>
      <c r="U4" s="83" t="n"/>
      <c r="V4" s="83" t="n"/>
      <c r="W4" s="83" t="n"/>
      <c r="X4" s="83" t="n"/>
      <c r="Y4" s="83" t="n"/>
      <c r="Z4" s="83" t="n"/>
      <c r="AA4" s="83" t="n"/>
      <c r="AB4" s="83" t="n"/>
      <c r="AC4" s="83" t="n"/>
    </row>
    <row r="5" ht="16.5" customHeight="1" s="217">
      <c r="A5" s="45">
        <f>근거_전신마취환자수!B16</f>
        <v/>
      </c>
      <c r="B5" s="219" t="n">
        <v>2010</v>
      </c>
      <c r="C5" s="45">
        <f>근거_전신마취환자수!B40</f>
        <v/>
      </c>
      <c r="D5" s="297">
        <f>IFERROR(C5/A5,"")</f>
        <v/>
      </c>
      <c r="E5" s="229">
        <f>'근거_Ramosetron 시장 수량'!B43</f>
        <v/>
      </c>
      <c r="F5" s="297">
        <f>IFERROR(E5/C5,"")</f>
        <v/>
      </c>
      <c r="G5" s="229" t="n"/>
      <c r="H5" s="297" t="n"/>
      <c r="I5" s="229" t="n"/>
      <c r="J5" s="297" t="n"/>
      <c r="K5" s="297" t="n"/>
      <c r="L5" s="298" t="n"/>
      <c r="M5" s="298" t="n"/>
      <c r="N5" s="297" t="n"/>
      <c r="O5" s="298" t="n"/>
      <c r="P5" s="298" t="n"/>
      <c r="Q5" s="298" t="n"/>
      <c r="R5" s="298" t="n"/>
      <c r="S5" s="298" t="n"/>
      <c r="T5" s="298" t="n"/>
      <c r="U5" s="297" t="n"/>
      <c r="W5" s="87" t="n"/>
      <c r="X5" s="297" t="n"/>
      <c r="Z5" s="87" t="n"/>
      <c r="AA5" s="297" t="n"/>
      <c r="AC5" s="87" t="n"/>
    </row>
    <row r="6" ht="16.5" customHeight="1" s="217">
      <c r="A6" s="45">
        <f>근거_전신마취환자수!C16</f>
        <v/>
      </c>
      <c r="B6" s="219" t="n">
        <v>2011</v>
      </c>
      <c r="C6" s="45">
        <f>근거_전신마취환자수!C40</f>
        <v/>
      </c>
      <c r="D6" s="297">
        <f>IFERROR(C6/A6,"")</f>
        <v/>
      </c>
      <c r="E6" s="229">
        <f>'근거_Ramosetron 시장 수량'!C43</f>
        <v/>
      </c>
      <c r="F6" s="297">
        <f>IFERROR(E6/C6,"")</f>
        <v/>
      </c>
      <c r="G6" s="299">
        <f>IFERROR(E6/E5-1,"")</f>
        <v/>
      </c>
      <c r="H6" s="297" t="n"/>
      <c r="I6" s="229" t="n"/>
      <c r="J6" s="297" t="n"/>
      <c r="K6" s="297" t="n"/>
      <c r="L6" s="298" t="n"/>
      <c r="M6" s="298" t="n"/>
      <c r="N6" s="297" t="n"/>
      <c r="O6" s="298" t="n"/>
      <c r="P6" s="298" t="n"/>
      <c r="Q6" s="298" t="n"/>
      <c r="R6" s="298" t="n"/>
      <c r="S6" s="298" t="n"/>
      <c r="T6" s="298" t="n"/>
      <c r="U6" s="297" t="n"/>
      <c r="W6" s="87" t="n"/>
      <c r="X6" s="297" t="n"/>
      <c r="Z6" s="87" t="n"/>
      <c r="AA6" s="297" t="n"/>
      <c r="AC6" s="87" t="n"/>
    </row>
    <row r="7" ht="16.5" customHeight="1" s="217">
      <c r="A7" s="45">
        <f>근거_전신마취환자수!D16</f>
        <v/>
      </c>
      <c r="B7" s="219" t="n">
        <v>2012</v>
      </c>
      <c r="C7" s="45">
        <f>근거_전신마취환자수!D40</f>
        <v/>
      </c>
      <c r="D7" s="297">
        <f>IFERROR(C7/A7,"")</f>
        <v/>
      </c>
      <c r="E7" s="229">
        <f>'근거_Ramosetron 시장 수량'!D43</f>
        <v/>
      </c>
      <c r="F7" s="297">
        <f>IFERROR(E7/C7,"")</f>
        <v/>
      </c>
      <c r="G7" s="299">
        <f>IFERROR(E7/E6-1,"")</f>
        <v/>
      </c>
      <c r="H7" s="297" t="n"/>
      <c r="I7" s="229" t="n"/>
      <c r="J7" s="297" t="n"/>
      <c r="K7" s="297" t="n"/>
      <c r="L7" s="298" t="n"/>
      <c r="M7" s="298" t="n"/>
      <c r="N7" s="297" t="n"/>
      <c r="O7" s="298" t="n"/>
      <c r="P7" s="298" t="n"/>
      <c r="Q7" s="298" t="n"/>
      <c r="R7" s="298" t="n"/>
      <c r="S7" s="298" t="n"/>
      <c r="T7" s="298" t="n"/>
      <c r="U7" s="297" t="n"/>
      <c r="W7" s="87" t="n"/>
      <c r="X7" s="297" t="n"/>
      <c r="Z7" s="87" t="n"/>
      <c r="AA7" s="297" t="n"/>
      <c r="AC7" s="87" t="n"/>
    </row>
    <row r="8" ht="16.5" customHeight="1" s="217">
      <c r="A8" s="45">
        <f>근거_전신마취환자수!E16</f>
        <v/>
      </c>
      <c r="B8" s="219" t="n">
        <v>2013</v>
      </c>
      <c r="C8" s="45">
        <f>근거_전신마취환자수!E40</f>
        <v/>
      </c>
      <c r="D8" s="297">
        <f>IFERROR(C8/A8,"")</f>
        <v/>
      </c>
      <c r="E8" s="229">
        <f>'근거_Ramosetron 시장 수량'!E43</f>
        <v/>
      </c>
      <c r="F8" s="297">
        <f>IFERROR(E8/C8,"")</f>
        <v/>
      </c>
      <c r="G8" s="299">
        <f>IFERROR(E8/E7-1,"")</f>
        <v/>
      </c>
      <c r="H8" s="297" t="n"/>
      <c r="I8" s="229" t="n"/>
      <c r="J8" s="297" t="n"/>
      <c r="K8" s="297" t="n"/>
      <c r="L8" s="298" t="n"/>
      <c r="M8" s="298" t="n"/>
      <c r="N8" s="297" t="n"/>
      <c r="O8" s="298" t="n"/>
      <c r="P8" s="298" t="n"/>
      <c r="Q8" s="298" t="n"/>
      <c r="R8" s="298" t="n"/>
      <c r="S8" s="298" t="n"/>
      <c r="T8" s="298" t="n"/>
      <c r="U8" s="297" t="n"/>
      <c r="W8" s="87" t="n"/>
      <c r="X8" s="297" t="n"/>
      <c r="Z8" s="87" t="n"/>
      <c r="AA8" s="297" t="n"/>
      <c r="AC8" s="87" t="n"/>
    </row>
    <row r="9" ht="16.5" customHeight="1" s="217">
      <c r="A9" s="45">
        <f>근거_전신마취환자수!F16</f>
        <v/>
      </c>
      <c r="B9" s="219" t="n">
        <v>2014</v>
      </c>
      <c r="C9" s="45">
        <f>근거_전신마취환자수!F40</f>
        <v/>
      </c>
      <c r="D9" s="297">
        <f>IFERROR(C9/A9,"")</f>
        <v/>
      </c>
      <c r="E9" s="229">
        <f>'근거_Ramosetron 시장 수량'!F43</f>
        <v/>
      </c>
      <c r="F9" s="297">
        <f>IFERROR(E9/C9,"")</f>
        <v/>
      </c>
      <c r="G9" s="299">
        <f>IFERROR(E9/E8-1,"")</f>
        <v/>
      </c>
      <c r="H9" s="297" t="n"/>
      <c r="I9" s="229" t="n"/>
      <c r="J9" s="297" t="n"/>
      <c r="K9" s="297" t="n"/>
      <c r="L9" s="298" t="n"/>
      <c r="M9" s="298" t="n"/>
      <c r="N9" s="297" t="n"/>
      <c r="O9" s="298" t="n"/>
      <c r="P9" s="298" t="n"/>
      <c r="Q9" s="298" t="n"/>
      <c r="R9" s="298" t="n"/>
      <c r="S9" s="298" t="n"/>
      <c r="T9" s="298" t="n"/>
      <c r="U9" s="297" t="n"/>
      <c r="W9" s="87" t="n"/>
      <c r="X9" s="297" t="n"/>
      <c r="Z9" s="87" t="n"/>
      <c r="AA9" s="297" t="n"/>
      <c r="AC9" s="87" t="n"/>
    </row>
    <row r="10" ht="16.5" customHeight="1" s="217">
      <c r="A10" s="45">
        <f>근거_전신마취환자수!G16</f>
        <v/>
      </c>
      <c r="B10" s="219" t="n">
        <v>2015</v>
      </c>
      <c r="C10" s="45">
        <f>근거_전신마취환자수!G40</f>
        <v/>
      </c>
      <c r="D10" s="297">
        <f>IFERROR(C10/A10,"")</f>
        <v/>
      </c>
      <c r="E10" s="229">
        <f>'근거_Ramosetron 시장 수량'!G43</f>
        <v/>
      </c>
      <c r="F10" s="297">
        <f>IFERROR(E10/C10,"")</f>
        <v/>
      </c>
      <c r="G10" s="299">
        <f>IFERROR(E10/E9-1,"")</f>
        <v/>
      </c>
      <c r="H10" s="297" t="n"/>
      <c r="I10" s="229" t="n"/>
      <c r="J10" s="297" t="n"/>
      <c r="K10" s="297" t="n"/>
      <c r="L10" s="298" t="n"/>
      <c r="M10" s="229" t="n"/>
      <c r="N10" s="297" t="n"/>
      <c r="O10" s="298" t="n"/>
      <c r="P10" s="298" t="n"/>
      <c r="Q10" s="298" t="n"/>
      <c r="R10" s="298" t="n"/>
      <c r="S10" s="298" t="n"/>
      <c r="T10" s="298" t="n"/>
      <c r="U10" s="297" t="n"/>
      <c r="W10" s="87" t="n"/>
      <c r="X10" s="297" t="n"/>
      <c r="Z10" s="87" t="n"/>
      <c r="AA10" s="297" t="n"/>
      <c r="AC10" s="87" t="n"/>
    </row>
    <row r="11" ht="16.5" customHeight="1" s="217">
      <c r="A11" s="45">
        <f>근거_전신마취환자수!H16</f>
        <v/>
      </c>
      <c r="B11" s="219" t="n">
        <v>2016</v>
      </c>
      <c r="C11" s="45">
        <f>근거_전신마취환자수!H40</f>
        <v/>
      </c>
      <c r="D11" s="297">
        <f>IFERROR(C11/A11,"")</f>
        <v/>
      </c>
      <c r="E11" s="229">
        <f>'근거_Ramosetron 시장 수량'!H43</f>
        <v/>
      </c>
      <c r="F11" s="297">
        <f>IFERROR(E11/C11,"")</f>
        <v/>
      </c>
      <c r="G11" s="299">
        <f>IFERROR(E11/E10-1,"")</f>
        <v/>
      </c>
      <c r="H11" s="297" t="n"/>
      <c r="I11" s="229" t="n"/>
      <c r="J11" s="297" t="n"/>
      <c r="K11" s="297" t="n"/>
      <c r="L11" s="298" t="n"/>
      <c r="M11" s="229" t="n"/>
      <c r="N11" s="297" t="n"/>
      <c r="O11" s="298" t="n"/>
      <c r="P11" s="298" t="n"/>
      <c r="Q11" s="298" t="n"/>
      <c r="R11" s="298" t="n"/>
      <c r="S11" s="298" t="n"/>
      <c r="T11" s="298" t="n"/>
      <c r="U11" s="297" t="n"/>
      <c r="W11" s="87" t="n"/>
      <c r="X11" s="297" t="n"/>
      <c r="Z11" s="87" t="n"/>
      <c r="AA11" s="297" t="n"/>
      <c r="AC11" s="87" t="n"/>
    </row>
    <row r="12" ht="16.5" customHeight="1" s="217">
      <c r="A12" s="45">
        <f>근거_전신마취환자수!I16</f>
        <v/>
      </c>
      <c r="B12" s="219" t="n">
        <v>2017</v>
      </c>
      <c r="C12" s="45">
        <f>근거_전신마취환자수!I40</f>
        <v/>
      </c>
      <c r="D12" s="297">
        <f>IFERROR(C12/A12,"")</f>
        <v/>
      </c>
      <c r="E12" s="229">
        <f>'근거_Ramosetron 시장 수량'!I43</f>
        <v/>
      </c>
      <c r="F12" s="297">
        <f>IFERROR(E12/C12,"")</f>
        <v/>
      </c>
      <c r="G12" s="299">
        <f>IFERROR(E12/E11-1,"")</f>
        <v/>
      </c>
      <c r="H12" s="297" t="n"/>
      <c r="I12" s="229" t="n"/>
      <c r="J12" s="297" t="n"/>
      <c r="K12" s="297" t="n"/>
      <c r="L12" s="298" t="n"/>
      <c r="M12" s="229" t="n"/>
      <c r="N12" s="297" t="n"/>
      <c r="O12" s="298" t="n"/>
      <c r="P12" s="298" t="n"/>
      <c r="Q12" s="298" t="n"/>
      <c r="R12" s="298" t="n"/>
      <c r="S12" s="298" t="n"/>
      <c r="T12" s="298" t="n"/>
      <c r="U12" s="297" t="n"/>
      <c r="W12" s="87" t="n"/>
      <c r="X12" s="297" t="n"/>
      <c r="Z12" s="87" t="n"/>
      <c r="AA12" s="297" t="n"/>
      <c r="AC12" s="87" t="n"/>
    </row>
    <row r="13" ht="16.5" customHeight="1" s="217">
      <c r="A13" s="45">
        <f>근거_전신마취환자수!J16</f>
        <v/>
      </c>
      <c r="B13" s="219" t="n">
        <v>2018</v>
      </c>
      <c r="C13" s="45">
        <f>근거_전신마취환자수!J40</f>
        <v/>
      </c>
      <c r="D13" s="297">
        <f>IFERROR(C13/A13,"")</f>
        <v/>
      </c>
      <c r="E13" s="229">
        <f>'근거_Ramosetron 시장 수량'!J43</f>
        <v/>
      </c>
      <c r="F13" s="297">
        <f>IFERROR(E13/C13,"")</f>
        <v/>
      </c>
      <c r="G13" s="299">
        <f>IFERROR(E13/E12-1,"")</f>
        <v/>
      </c>
      <c r="H13" s="300" t="n">
        <v>0</v>
      </c>
      <c r="I13" s="229" t="n"/>
      <c r="J13" s="297" t="n"/>
      <c r="K13" s="297" t="n"/>
      <c r="L13" s="298" t="n"/>
      <c r="M13" s="229" t="n"/>
      <c r="N13" s="297" t="n"/>
      <c r="O13" s="229" t="n"/>
      <c r="P13" s="297" t="n"/>
      <c r="Q13" s="229" t="n"/>
      <c r="R13" s="297" t="n"/>
      <c r="S13" s="229" t="n"/>
      <c r="T13" s="297" t="n"/>
      <c r="U13" s="301" t="n"/>
      <c r="V13" s="297" t="n"/>
      <c r="W13" s="87" t="n"/>
      <c r="X13" s="301" t="n"/>
      <c r="Y13" s="297" t="n"/>
      <c r="Z13" s="87" t="n"/>
      <c r="AA13" s="301" t="n"/>
      <c r="AB13" s="297" t="n"/>
      <c r="AC13" s="87" t="n"/>
    </row>
    <row r="14" ht="16.5" customHeight="1" s="217">
      <c r="A14" s="45">
        <f>근거_전신마취환자수!K16</f>
        <v/>
      </c>
      <c r="B14" s="219" t="n">
        <v>2019</v>
      </c>
      <c r="C14" s="45">
        <f>근거_전신마취환자수!K40</f>
        <v/>
      </c>
      <c r="D14" s="297">
        <f>IFERROR(C14/A14,"")</f>
        <v/>
      </c>
      <c r="E14" s="229">
        <f>'근거_Ramosetron 시장 수량'!K43</f>
        <v/>
      </c>
      <c r="F14" s="297">
        <f>IFERROR(E14/C14,"")</f>
        <v/>
      </c>
      <c r="G14" s="299">
        <f>IFERROR(E14/E13-1,"")</f>
        <v/>
      </c>
      <c r="H14" s="300" t="n">
        <v>0</v>
      </c>
      <c r="I14" s="229" t="n"/>
      <c r="J14" s="297" t="n"/>
      <c r="K14" s="297" t="n"/>
      <c r="L14" s="298" t="n"/>
      <c r="M14" s="229" t="n"/>
      <c r="N14" s="297" t="n"/>
      <c r="O14" s="229" t="n"/>
      <c r="P14" s="297" t="n"/>
      <c r="Q14" s="229" t="n"/>
      <c r="R14" s="297" t="n"/>
      <c r="S14" s="229" t="n"/>
      <c r="T14" s="297" t="n"/>
      <c r="U14" s="301" t="n"/>
      <c r="V14" s="297" t="n"/>
      <c r="W14" s="299" t="n"/>
      <c r="X14" s="301" t="n"/>
      <c r="Y14" s="297" t="n"/>
      <c r="Z14" s="299" t="n"/>
      <c r="AA14" s="301" t="n"/>
      <c r="AB14" s="297" t="n"/>
      <c r="AC14" s="299" t="n"/>
    </row>
    <row r="15" ht="16.5" customHeight="1" s="217">
      <c r="A15" s="45">
        <f>근거_전신마취환자수!L16</f>
        <v/>
      </c>
      <c r="B15" s="219" t="n">
        <v>2020</v>
      </c>
      <c r="C15" s="45">
        <f>근거_전신마취환자수!L40</f>
        <v/>
      </c>
      <c r="D15" s="297">
        <f>IFERROR(C15/A15,"")</f>
        <v/>
      </c>
      <c r="E15" s="229">
        <f>'근거_Ramosetron 시장 수량'!L43</f>
        <v/>
      </c>
      <c r="F15" s="297">
        <f>IFERROR(E15/C15,"")</f>
        <v/>
      </c>
      <c r="G15" s="299">
        <f>IFERROR(E15/E14-1,"")</f>
        <v/>
      </c>
      <c r="H15" s="300">
        <f>'근거_NSA수량(IQVIA기준)'!D27</f>
        <v/>
      </c>
      <c r="I15" s="299">
        <f>IFERROR(H15/E15,"")</f>
        <v/>
      </c>
      <c r="J15" s="297" t="n"/>
      <c r="K15" s="297" t="n"/>
      <c r="L15" s="298" t="n"/>
      <c r="M15" s="229" t="n"/>
      <c r="N15" s="297" t="n"/>
      <c r="O15" s="229" t="n"/>
      <c r="P15" s="297" t="n"/>
      <c r="Q15" s="229" t="n"/>
      <c r="R15" s="297" t="n"/>
      <c r="S15" s="229" t="n"/>
      <c r="T15" s="297" t="n"/>
      <c r="U15" s="301" t="n"/>
      <c r="V15" s="297" t="n"/>
      <c r="W15" s="299" t="n"/>
      <c r="X15" s="301" t="n"/>
      <c r="Y15" s="297" t="n"/>
      <c r="Z15" s="299" t="n"/>
      <c r="AA15" s="301" t="n"/>
      <c r="AB15" s="297" t="n"/>
      <c r="AC15" s="299" t="n"/>
    </row>
    <row r="16" ht="16.5" customHeight="1" s="217">
      <c r="A16" s="45">
        <f>근거_전신마취환자수!M16</f>
        <v/>
      </c>
      <c r="B16" s="219" t="n">
        <v>2021</v>
      </c>
      <c r="C16" s="45">
        <f>근거_전신마취환자수!M40</f>
        <v/>
      </c>
      <c r="D16" s="297">
        <f>IFERROR(C16/A16,"")</f>
        <v/>
      </c>
      <c r="E16" s="229">
        <f>'근거_Ramosetron 시장 수량'!M43</f>
        <v/>
      </c>
      <c r="F16" s="297">
        <f>IFERROR(E16/C16,"")</f>
        <v/>
      </c>
      <c r="G16" s="299">
        <f>IFERROR(E16/E15-1,"")</f>
        <v/>
      </c>
      <c r="H16" s="300">
        <f>'근거_NSA수량(IQVIA기준)'!E27</f>
        <v/>
      </c>
      <c r="I16" s="299">
        <f>IFERROR(H16/E16,"")</f>
        <v/>
      </c>
      <c r="J16" s="299">
        <f>IFERROR(H16/H15-1,"")</f>
        <v/>
      </c>
      <c r="K16" s="297" t="n"/>
      <c r="L16" s="298" t="n"/>
      <c r="M16" s="229" t="n"/>
      <c r="N16" s="297" t="n"/>
      <c r="O16" s="229" t="n"/>
      <c r="P16" s="297" t="n"/>
      <c r="Q16" s="229" t="n"/>
      <c r="R16" s="297" t="n"/>
      <c r="S16" s="229" t="n"/>
      <c r="T16" s="297" t="n"/>
      <c r="U16" s="301" t="n"/>
      <c r="V16" s="297" t="n"/>
      <c r="W16" s="299" t="n"/>
      <c r="X16" s="301" t="n"/>
      <c r="Y16" s="297" t="n"/>
      <c r="Z16" s="299" t="n"/>
      <c r="AA16" s="301" t="n"/>
      <c r="AB16" s="297" t="n"/>
      <c r="AC16" s="299" t="n"/>
    </row>
    <row r="17" ht="16.5" customHeight="1" s="217">
      <c r="A17" s="45">
        <f>근거_전신마취환자수!N16</f>
        <v/>
      </c>
      <c r="B17" s="219" t="n">
        <v>2022</v>
      </c>
      <c r="C17" s="45">
        <f>근거_전신마취환자수!N40</f>
        <v/>
      </c>
      <c r="D17" s="297">
        <f>IFERROR(C17/A17,"")</f>
        <v/>
      </c>
      <c r="E17" s="229">
        <f>'근거_Ramosetron 시장 수량'!N43</f>
        <v/>
      </c>
      <c r="F17" s="297">
        <f>IFERROR(E17/C17,"")</f>
        <v/>
      </c>
      <c r="G17" s="299">
        <f>IFERROR(E17/E16-1,"")</f>
        <v/>
      </c>
      <c r="H17" s="300">
        <f>'근거_NSA수량(IQVIA기준)'!F27</f>
        <v/>
      </c>
      <c r="I17" s="299">
        <f>IFERROR(H17/E17,"")</f>
        <v/>
      </c>
      <c r="J17" s="299">
        <f>IFERROR(H17/H16-1,"")</f>
        <v/>
      </c>
      <c r="K17" s="297" t="n"/>
      <c r="L17" s="298" t="n"/>
      <c r="M17" s="229" t="n"/>
      <c r="N17" s="297" t="n"/>
      <c r="O17" s="229" t="n"/>
      <c r="P17" s="297" t="n"/>
      <c r="Q17" s="229" t="n"/>
      <c r="R17" s="297" t="n"/>
      <c r="S17" s="229" t="n"/>
      <c r="T17" s="297" t="n"/>
      <c r="U17" s="301" t="n"/>
      <c r="V17" s="297" t="n"/>
      <c r="W17" s="299" t="n"/>
      <c r="X17" s="301" t="n"/>
      <c r="Y17" s="297" t="n"/>
      <c r="Z17" s="299" t="n"/>
      <c r="AA17" s="301" t="n"/>
      <c r="AB17" s="297" t="n"/>
      <c r="AC17" s="299" t="n"/>
    </row>
    <row r="18" ht="16.5" customHeight="1" s="217">
      <c r="A18" s="45">
        <f>근거_전신마취환자수!O16</f>
        <v/>
      </c>
      <c r="B18" s="219" t="n">
        <v>2023</v>
      </c>
      <c r="C18" s="45">
        <f>근거_전신마취환자수!O40</f>
        <v/>
      </c>
      <c r="D18" s="297">
        <f>IFERROR(C18/A18,"")</f>
        <v/>
      </c>
      <c r="E18" s="229">
        <f>'근거_Ramosetron 시장 수량'!O43</f>
        <v/>
      </c>
      <c r="F18" s="297">
        <f>IFERROR(E18/C18,"")</f>
        <v/>
      </c>
      <c r="G18" s="299">
        <f>IFERROR(E18/E17-1,"")</f>
        <v/>
      </c>
      <c r="H18" s="300">
        <f>'근거_NSA수량(IQVIA기준)'!G27</f>
        <v/>
      </c>
      <c r="I18" s="299">
        <f>IFERROR(H18/E18,"")</f>
        <v/>
      </c>
      <c r="J18" s="299">
        <f>IFERROR(H18/H17-1,"")</f>
        <v/>
      </c>
      <c r="K18" s="297" t="n"/>
      <c r="L18" s="298" t="n"/>
      <c r="M18" s="229" t="n"/>
      <c r="N18" s="297" t="n"/>
      <c r="O18" s="229" t="n"/>
      <c r="P18" s="297" t="n"/>
      <c r="Q18" s="229" t="n"/>
      <c r="R18" s="297" t="n"/>
      <c r="S18" s="229" t="n"/>
      <c r="T18" s="297" t="n"/>
      <c r="U18" s="301" t="n"/>
      <c r="V18" s="297" t="n"/>
      <c r="W18" s="299" t="n"/>
      <c r="X18" s="301" t="n"/>
      <c r="Y18" s="297" t="n"/>
      <c r="Z18" s="299" t="n"/>
      <c r="AA18" s="301" t="n"/>
      <c r="AB18" s="297" t="n"/>
      <c r="AC18" s="299" t="n"/>
    </row>
    <row r="19" ht="16.5" customHeight="1" s="217">
      <c r="A19" s="45">
        <f>근거_전신마취환자수!P16</f>
        <v/>
      </c>
      <c r="B19" s="219" t="n">
        <v>2024</v>
      </c>
      <c r="C19" s="45">
        <f>근거_전신마취환자수!P40</f>
        <v/>
      </c>
      <c r="D19" s="297">
        <f>IFERROR(C19/A19,"")</f>
        <v/>
      </c>
      <c r="E19" s="229">
        <f>'근거_Ramosetron 시장 수량'!P43</f>
        <v/>
      </c>
      <c r="F19" s="297">
        <f>IFERROR(E19/C19,"")</f>
        <v/>
      </c>
      <c r="G19" s="299">
        <f>IFERROR(E19/E18-1,"")</f>
        <v/>
      </c>
      <c r="H19" s="300">
        <f>'근거_NSA수량(IQVIA기준)'!H27</f>
        <v/>
      </c>
      <c r="I19" s="299">
        <f>IFERROR(H19/E19,"")</f>
        <v/>
      </c>
      <c r="J19" s="299">
        <f>IFERROR(H19/H18-1,"")</f>
        <v/>
      </c>
      <c r="K19" s="297" t="n"/>
      <c r="L19" s="298" t="n"/>
      <c r="M19" s="229" t="n"/>
      <c r="N19" s="297" t="n"/>
      <c r="O19" s="302" t="n"/>
      <c r="P19" s="297" t="n"/>
      <c r="Q19" s="229" t="n"/>
      <c r="R19" s="297" t="n"/>
      <c r="S19" s="229" t="n"/>
      <c r="T19" s="297" t="n"/>
      <c r="U19" s="301" t="n"/>
      <c r="V19" s="297" t="n"/>
      <c r="W19" s="299" t="n"/>
      <c r="X19" s="301" t="n"/>
      <c r="Y19" s="297" t="n"/>
      <c r="Z19" s="299" t="n"/>
      <c r="AA19" s="301" t="n"/>
      <c r="AB19" s="297" t="n"/>
      <c r="AC19" s="299" t="n"/>
    </row>
    <row r="20" ht="16.5" customHeight="1" s="217">
      <c r="A20" s="45">
        <f>근거_전신마취환자수!Q16</f>
        <v/>
      </c>
      <c r="B20" s="219" t="n">
        <v>2025</v>
      </c>
      <c r="C20" s="45">
        <f>근거_전신마취환자수!Q40</f>
        <v/>
      </c>
      <c r="D20" s="297">
        <f>IFERROR(C20/A20,"")</f>
        <v/>
      </c>
      <c r="E20" s="229">
        <f>'근거_Ramosetron 시장 수량'!Q43</f>
        <v/>
      </c>
      <c r="F20" s="297">
        <f>IFERROR(E20/C20,"")</f>
        <v/>
      </c>
      <c r="G20" s="299">
        <f>IFERROR(E20/E19-1,"")</f>
        <v/>
      </c>
      <c r="H20" s="300">
        <f>'근거_NSA수량(IQVIA기준)'!I27</f>
        <v/>
      </c>
      <c r="I20" s="299">
        <f>IFERROR(H20/E20,"")</f>
        <v/>
      </c>
      <c r="J20" s="299">
        <f>IFERROR(H20/H19-1,"")</f>
        <v/>
      </c>
      <c r="K20" s="297" t="n"/>
      <c r="L20" s="298" t="n"/>
      <c r="M20" s="229" t="n"/>
      <c r="N20" s="297" t="n"/>
      <c r="O20" s="302" t="n"/>
      <c r="P20" s="297" t="n"/>
      <c r="Q20" s="229" t="n"/>
      <c r="R20" s="297" t="n"/>
      <c r="S20" s="229" t="n"/>
      <c r="T20" s="297" t="n"/>
      <c r="U20" s="301" t="n"/>
      <c r="V20" s="297" t="n"/>
      <c r="W20" s="299" t="n"/>
      <c r="X20" s="301" t="n"/>
      <c r="Y20" s="297" t="n"/>
      <c r="Z20" s="299" t="n"/>
      <c r="AA20" s="301" t="n"/>
      <c r="AB20" s="297" t="n"/>
      <c r="AC20" s="299" t="n"/>
    </row>
    <row r="21" ht="16.5" customHeight="1" s="217">
      <c r="A21" s="45">
        <f>근거_전신마취환자수!R16</f>
        <v/>
      </c>
      <c r="B21" s="219" t="n">
        <v>2026</v>
      </c>
      <c r="C21" s="45">
        <f>근거_전신마취환자수!R40</f>
        <v/>
      </c>
      <c r="D21" s="297">
        <f>IFERROR(C21/A21,"")</f>
        <v/>
      </c>
      <c r="E21" s="229">
        <f>'근거_Ramosetron 시장 수량'!R43</f>
        <v/>
      </c>
      <c r="F21" s="297">
        <f>IFERROR(E21/C21,"")</f>
        <v/>
      </c>
      <c r="G21" s="299">
        <f>IFERROR(E21/E20-1,"")</f>
        <v/>
      </c>
      <c r="H21" s="300">
        <f>'근거_NSA수량(IQVIA기준)'!J27</f>
        <v/>
      </c>
      <c r="I21" s="299">
        <f>IFERROR(H21/E21,"")</f>
        <v/>
      </c>
      <c r="J21" s="299">
        <f>IFERROR(H21/H20-1,"")</f>
        <v/>
      </c>
      <c r="K21" s="297" t="n"/>
      <c r="L21" s="298" t="n"/>
      <c r="M21" s="229" t="n"/>
      <c r="N21" s="297" t="n"/>
      <c r="O21" s="302" t="n"/>
      <c r="P21" s="297" t="n"/>
      <c r="Q21" s="229" t="n"/>
      <c r="R21" s="297" t="n"/>
      <c r="S21" s="229" t="n"/>
      <c r="T21" s="297" t="n"/>
      <c r="U21" s="301" t="n"/>
      <c r="V21" s="297" t="n"/>
      <c r="W21" s="299" t="n"/>
      <c r="X21" s="301" t="n"/>
      <c r="Y21" s="297" t="n"/>
      <c r="Z21" s="299" t="n"/>
      <c r="AA21" s="301" t="n"/>
      <c r="AB21" s="297" t="n"/>
      <c r="AC21" s="299" t="n"/>
    </row>
    <row r="22" ht="16.5" customHeight="1" s="217">
      <c r="A22" s="45">
        <f>근거_전신마취환자수!S16</f>
        <v/>
      </c>
      <c r="B22" s="219" t="n">
        <v>2027</v>
      </c>
      <c r="C22" s="45">
        <f>근거_전신마취환자수!S40</f>
        <v/>
      </c>
      <c r="D22" s="297">
        <f>IFERROR(C22/A22,"")</f>
        <v/>
      </c>
      <c r="E22" s="229">
        <f>'근거_Ramosetron 시장 수량'!S43</f>
        <v/>
      </c>
      <c r="F22" s="297">
        <f>IFERROR(E22/C22,"")</f>
        <v/>
      </c>
      <c r="G22" s="299">
        <f>IFERROR(E22/E21-1,"")</f>
        <v/>
      </c>
      <c r="H22" s="300">
        <f>'근거_NSA수량(IQVIA기준)'!K27</f>
        <v/>
      </c>
      <c r="I22" s="299">
        <f>IFERROR(H22/E22,"")</f>
        <v/>
      </c>
      <c r="J22" s="299">
        <f>IFERROR(H22/H21-1,"")</f>
        <v/>
      </c>
      <c r="K22" s="297" t="n"/>
      <c r="L22" s="298" t="n"/>
      <c r="M22" s="229" t="n"/>
      <c r="N22" s="297" t="n"/>
      <c r="O22" s="302" t="n"/>
      <c r="P22" s="297" t="n"/>
      <c r="Q22" s="229" t="n"/>
      <c r="R22" s="297" t="n"/>
      <c r="S22" s="229" t="n"/>
      <c r="T22" s="297" t="n"/>
      <c r="U22" s="301" t="n"/>
      <c r="V22" s="297" t="n"/>
      <c r="W22" s="299" t="n"/>
      <c r="X22" s="301" t="n"/>
      <c r="Y22" s="297" t="n"/>
      <c r="Z22" s="299" t="n"/>
      <c r="AA22" s="301" t="n"/>
      <c r="AB22" s="297" t="n"/>
      <c r="AC22" s="299" t="n"/>
    </row>
    <row r="23" ht="16.5" customHeight="1" s="217">
      <c r="A23" s="45">
        <f>근거_전신마취환자수!T16</f>
        <v/>
      </c>
      <c r="B23" s="219" t="n">
        <v>2028</v>
      </c>
      <c r="C23" s="45">
        <f>근거_전신마취환자수!T40</f>
        <v/>
      </c>
      <c r="D23" s="297">
        <f>IFERROR(C23/A23,"")</f>
        <v/>
      </c>
      <c r="E23" s="229">
        <f>'근거_Ramosetron 시장 수량'!T43</f>
        <v/>
      </c>
      <c r="F23" s="297">
        <f>IFERROR(E23/C23,"")</f>
        <v/>
      </c>
      <c r="G23" s="299">
        <f>IFERROR(E23/E22-1,"")</f>
        <v/>
      </c>
      <c r="H23" s="300">
        <f>'근거_NSA수량(IQVIA기준)'!L27</f>
        <v/>
      </c>
      <c r="I23" s="299">
        <f>IFERROR(H23/E23,"")</f>
        <v/>
      </c>
      <c r="J23" s="299">
        <f>IFERROR(H23/H22-1,"")</f>
        <v/>
      </c>
      <c r="K23" s="297" t="n"/>
      <c r="L23" s="298" t="n"/>
      <c r="M23" s="229" t="n"/>
      <c r="N23" s="297" t="n"/>
      <c r="O23" s="302" t="n"/>
      <c r="P23" s="297" t="n"/>
      <c r="Q23" s="229" t="n"/>
      <c r="R23" s="297" t="n"/>
      <c r="S23" s="229" t="n"/>
      <c r="T23" s="297" t="n"/>
      <c r="U23" s="301" t="n"/>
      <c r="V23" s="297" t="n"/>
      <c r="W23" s="299" t="n"/>
      <c r="X23" s="301" t="n"/>
      <c r="Y23" s="297" t="n"/>
      <c r="Z23" s="299" t="n"/>
      <c r="AA23" s="301" t="n"/>
      <c r="AB23" s="297" t="n"/>
      <c r="AC23" s="299" t="n"/>
    </row>
    <row r="24" ht="16.5" customHeight="1" s="217">
      <c r="A24" s="45">
        <f>근거_전신마취환자수!U16</f>
        <v/>
      </c>
      <c r="B24" s="219" t="n">
        <v>2029</v>
      </c>
      <c r="C24" s="45">
        <f>근거_전신마취환자수!U40</f>
        <v/>
      </c>
      <c r="D24" s="297">
        <f>IFERROR(C24/A24,"")</f>
        <v/>
      </c>
      <c r="E24" s="229">
        <f>'근거_Ramosetron 시장 수량'!U43</f>
        <v/>
      </c>
      <c r="F24" s="297">
        <f>IFERROR(E24/C24,"")</f>
        <v/>
      </c>
      <c r="G24" s="299">
        <f>IFERROR(E24/E23-1,"")</f>
        <v/>
      </c>
      <c r="H24" s="300">
        <f>'근거_NSA수량(IQVIA기준)'!M27</f>
        <v/>
      </c>
      <c r="I24" s="299">
        <f>IFERROR(H24/E24,"")</f>
        <v/>
      </c>
      <c r="J24" s="299">
        <f>IFERROR(H24/H23-1,"")</f>
        <v/>
      </c>
      <c r="K24" s="297" t="n"/>
      <c r="L24" s="298" t="n"/>
      <c r="M24" s="229" t="n"/>
      <c r="N24" s="297" t="n"/>
      <c r="O24" s="302" t="n"/>
      <c r="P24" s="297" t="n"/>
      <c r="Q24" s="229" t="n"/>
      <c r="R24" s="297" t="n"/>
      <c r="S24" s="229" t="n"/>
      <c r="T24" s="297" t="n"/>
      <c r="U24" s="301" t="n"/>
      <c r="V24" s="297" t="n"/>
      <c r="W24" s="299" t="n"/>
      <c r="X24" s="301" t="n"/>
      <c r="Y24" s="297" t="n"/>
      <c r="Z24" s="299" t="n"/>
      <c r="AA24" s="301" t="n"/>
      <c r="AB24" s="297" t="n"/>
      <c r="AC24" s="299" t="n"/>
    </row>
    <row r="25" ht="16.5" customHeight="1" s="217">
      <c r="A25" s="45">
        <f>근거_전신마취환자수!V16</f>
        <v/>
      </c>
      <c r="B25" s="219" t="n">
        <v>2030</v>
      </c>
      <c r="C25" s="45">
        <f>근거_전신마취환자수!V40</f>
        <v/>
      </c>
      <c r="D25" s="297">
        <f>IFERROR(C25/A25,"")</f>
        <v/>
      </c>
      <c r="E25" s="229">
        <f>'근거_Ramosetron 시장 수량'!V43</f>
        <v/>
      </c>
      <c r="F25" s="297">
        <f>IFERROR(E25/C25,"")</f>
        <v/>
      </c>
      <c r="G25" s="299">
        <f>IFERROR(E25/E24-1,"")</f>
        <v/>
      </c>
      <c r="H25" s="300">
        <f>'근거_NSA수량(IQVIA기준)'!N27</f>
        <v/>
      </c>
      <c r="I25" s="299">
        <f>IFERROR(H25/E25,"")</f>
        <v/>
      </c>
      <c r="J25" s="299">
        <f>IFERROR(H25/H24-1,"")</f>
        <v/>
      </c>
      <c r="K25" s="297" t="n"/>
      <c r="L25" s="298" t="n"/>
      <c r="M25" s="229" t="n"/>
      <c r="N25" s="297" t="n"/>
      <c r="O25" s="302" t="n"/>
      <c r="P25" s="297" t="n"/>
      <c r="Q25" s="229" t="n"/>
      <c r="R25" s="297" t="n"/>
      <c r="S25" s="229" t="n"/>
      <c r="T25" s="297" t="n"/>
      <c r="U25" s="301" t="n"/>
      <c r="V25" s="297" t="n"/>
      <c r="W25" s="299" t="n"/>
      <c r="X25" s="301" t="n"/>
      <c r="Y25" s="297" t="n"/>
      <c r="Z25" s="299" t="n"/>
      <c r="AA25" s="301" t="n"/>
      <c r="AB25" s="297" t="n"/>
      <c r="AC25" s="299" t="n"/>
    </row>
    <row r="27" ht="17.25" customHeight="1" s="217">
      <c r="A27" s="91" t="n"/>
      <c r="B27" s="91" t="inlineStr">
        <is>
          <t>Part 2) NSA SAP매출 예측  [FY 기준 · 회계연도 4~3월]</t>
        </is>
      </c>
      <c r="C27" s="91" t="n"/>
      <c r="D27" s="91" t="n"/>
      <c r="E27" s="91" t="n"/>
      <c r="F27" s="91" t="n"/>
      <c r="G27" s="91" t="n"/>
      <c r="H27" s="91" t="n"/>
      <c r="I27" s="91" t="n"/>
      <c r="J27" s="91" t="n"/>
      <c r="K27" s="92" t="inlineStr">
        <is>
          <t>확정FY(ACT) ▶</t>
        </is>
      </c>
      <c r="L27" s="91" t="n"/>
      <c r="M27" s="91" t="n"/>
      <c r="N27" s="91" t="n"/>
      <c r="O27" s="91" t="n"/>
      <c r="P27" s="91" t="n"/>
      <c r="Q27" s="91" t="n"/>
      <c r="R27" s="91" t="n"/>
      <c r="S27" s="91" t="n"/>
      <c r="T27" s="91" t="n"/>
      <c r="U27" s="91" t="n"/>
      <c r="V27" s="91" t="n"/>
      <c r="W27" s="91" t="n"/>
      <c r="X27" s="91" t="n"/>
      <c r="Y27" s="91" t="n"/>
      <c r="Z27" s="91" t="n"/>
      <c r="AA27" s="91" t="n"/>
      <c r="AB27" s="91" t="n"/>
      <c r="AC27" s="91" t="n"/>
    </row>
    <row r="28" ht="16.5" customHeight="1" s="217">
      <c r="A28" s="83" t="n"/>
      <c r="B28" s="84" t="inlineStr">
        <is>
          <t>연도</t>
        </is>
      </c>
      <c r="C28" s="83" t="inlineStr">
        <is>
          <t>NSA 수량 (IQVIA 기준)</t>
        </is>
      </c>
      <c r="D28" s="83" t="n"/>
      <c r="E28" s="83" t="inlineStr">
        <is>
          <t>DSKR NSA SAP 매출</t>
        </is>
      </c>
      <c r="F28" s="83" t="n"/>
      <c r="G28" s="83" t="inlineStr">
        <is>
          <t>IQVIA vs.시장매출</t>
        </is>
      </c>
      <c r="H28" s="83" t="inlineStr">
        <is>
          <t>DSKR NSA SAP매출금액 (FY2026 목표단가 반영)</t>
        </is>
      </c>
      <c r="I28" s="83" t="n"/>
      <c r="J28" s="83" t="n"/>
      <c r="K28" s="93" t="n">
        <v>2025</v>
      </c>
      <c r="L28" s="83" t="n"/>
      <c r="M28" s="83" t="n"/>
      <c r="N28" s="303" t="inlineStr">
        <is>
          <t>탑다운 검증 (참고, 억원)</t>
        </is>
      </c>
      <c r="O28" s="83" t="n"/>
      <c r="P28" s="83" t="n"/>
      <c r="Q28" s="83" t="n"/>
      <c r="R28" s="83" t="n"/>
      <c r="S28" s="83" t="n"/>
      <c r="T28" s="83" t="n"/>
      <c r="U28" s="93" t="n"/>
      <c r="V28" s="83" t="n"/>
      <c r="W28" s="83" t="n"/>
      <c r="X28" s="83" t="n"/>
      <c r="Y28" s="83" t="n"/>
      <c r="Z28" s="83" t="n"/>
      <c r="AA28" s="83" t="n"/>
      <c r="AB28" s="83" t="n"/>
      <c r="AC28" s="83" t="n"/>
    </row>
    <row r="29" ht="16.5" customHeight="1" s="217">
      <c r="A29" s="83" t="n"/>
      <c r="B29" s="84" t="inlineStr">
        <is>
          <t>회계연도기준</t>
        </is>
      </c>
      <c r="C29" s="101" t="inlineStr">
        <is>
          <t>수량(A)</t>
        </is>
      </c>
      <c r="D29" s="83" t="inlineStr">
        <is>
          <t>YoY</t>
        </is>
      </c>
      <c r="E29" s="101" t="inlineStr">
        <is>
          <t>수량(A)</t>
        </is>
      </c>
      <c r="F29" s="83" t="inlineStr">
        <is>
          <t>YoY</t>
        </is>
      </c>
      <c r="G29" s="84" t="inlineStr">
        <is>
          <t>처방량÷시장매출</t>
        </is>
      </c>
      <c r="H29" s="84" t="inlineStr">
        <is>
          <t>백만원</t>
        </is>
      </c>
      <c r="I29" s="83" t="n"/>
      <c r="J29" s="83" t="n"/>
      <c r="K29" s="84" t="inlineStr">
        <is>
          <t>◀ 매년 실적확정 시 이 값을 +1 (예: FY2026 확정되면 2026). 표지 태그·EST/ACT 플래그가 자동 갱신.</t>
        </is>
      </c>
      <c r="L29" s="84" t="inlineStr">
        <is>
          <t>상태</t>
        </is>
      </c>
      <c r="M29" s="83" t="n"/>
      <c r="N29" s="303" t="inlineStr">
        <is>
          <t>억원(탑다운)</t>
        </is>
      </c>
      <c r="O29" s="304" t="inlineStr">
        <is>
          <t>◀ 원본_NSA_연간예측(고정비율 k) 탑다운 트랙 — FY2026만 독립 대조</t>
        </is>
      </c>
      <c r="P29" s="83" t="n"/>
      <c r="Q29" s="83" t="n"/>
      <c r="R29" s="83" t="n"/>
      <c r="S29" s="83" t="n"/>
      <c r="T29" s="83" t="n"/>
      <c r="U29" s="83" t="n"/>
      <c r="V29" s="83" t="n"/>
      <c r="W29" s="83" t="n"/>
      <c r="X29" s="83" t="n"/>
      <c r="Y29" s="83" t="n"/>
      <c r="Z29" s="83" t="n"/>
      <c r="AA29" s="83" t="n"/>
      <c r="AB29" s="83" t="n"/>
      <c r="AC29" s="83" t="n"/>
    </row>
    <row r="30" ht="16.5" customHeight="1" s="217">
      <c r="B30" s="219" t="inlineStr">
        <is>
          <t>FY2018</t>
        </is>
      </c>
      <c r="C30" s="229" t="n"/>
      <c r="D30" s="87" t="n"/>
      <c r="E30" s="229">
        <f>IF(근거_매출!B10="","",근거_매출!B10)</f>
        <v/>
      </c>
      <c r="F30" s="87" t="n"/>
      <c r="G30" s="305">
        <f>IFERROR(C30/E30,"")</f>
        <v/>
      </c>
      <c r="H30" s="229">
        <f>IF(근거_매출!B32="","",근거_매출!B32)</f>
        <v/>
      </c>
      <c r="I30" s="306">
        <f>IFERROR(H30/E30,"")</f>
        <v/>
      </c>
      <c r="L30" s="96">
        <f>IF(VALUE(MID(B30,3,4))&lt;=$K$28,"ACT","EST")</f>
        <v/>
      </c>
      <c r="V30" s="96" t="n"/>
    </row>
    <row r="31" ht="16.5" customHeight="1" s="217">
      <c r="B31" s="219" t="inlineStr">
        <is>
          <t>FY2019</t>
        </is>
      </c>
      <c r="C31" s="229" t="n"/>
      <c r="D31" s="299">
        <f>IFERROR(C31/C30-1,"")</f>
        <v/>
      </c>
      <c r="E31" s="229">
        <f>IF(근거_매출!C10="","",근거_매출!C10)</f>
        <v/>
      </c>
      <c r="F31" s="299">
        <f>IFERROR(E31/E30-1,"")</f>
        <v/>
      </c>
      <c r="G31" s="305">
        <f>IFERROR(C31/E31,"")</f>
        <v/>
      </c>
      <c r="H31" s="229">
        <f>IF(근거_매출!C32="","",근거_매출!C32)</f>
        <v/>
      </c>
      <c r="I31" s="306">
        <f>IFERROR(H31/E31,"")</f>
        <v/>
      </c>
      <c r="L31" s="96">
        <f>IF(VALUE(MID(B31,3,4))&lt;=$K$28,"ACT","EST")</f>
        <v/>
      </c>
      <c r="V31" s="96" t="n"/>
    </row>
    <row r="32" ht="16.5" customHeight="1" s="217">
      <c r="B32" s="219" t="inlineStr">
        <is>
          <t>FY2020</t>
        </is>
      </c>
      <c r="C32" s="229">
        <f>'근거_NSA수량(IQVIA기준)'!D27</f>
        <v/>
      </c>
      <c r="D32" s="299">
        <f>IFERROR(C32/C31-1,"")</f>
        <v/>
      </c>
      <c r="E32" s="229">
        <f>IF(근거_매출!D10="","",근거_매출!D10)</f>
        <v/>
      </c>
      <c r="F32" s="299">
        <f>IFERROR(E32/E31-1,"")</f>
        <v/>
      </c>
      <c r="G32" s="305">
        <f>IFERROR(C32/E32,"")</f>
        <v/>
      </c>
      <c r="H32" s="229">
        <f>IF(근거_매출!D32="","",근거_매출!D32)</f>
        <v/>
      </c>
      <c r="I32" s="306">
        <f>IFERROR(H32/E32,"")</f>
        <v/>
      </c>
      <c r="L32" s="96">
        <f>IF(VALUE(MID(B32,3,4))&lt;=$K$28,"ACT","EST")</f>
        <v/>
      </c>
      <c r="V32" s="96" t="n"/>
    </row>
    <row r="33" ht="16.5" customHeight="1" s="217">
      <c r="B33" s="219" t="inlineStr">
        <is>
          <t>FY2021</t>
        </is>
      </c>
      <c r="C33" s="229">
        <f>'근거_NSA수량(IQVIA기준)'!E27</f>
        <v/>
      </c>
      <c r="D33" s="299">
        <f>IFERROR(C33/C32-1,"")</f>
        <v/>
      </c>
      <c r="E33" s="229">
        <f>IF(근거_매출!E10="","",근거_매출!E10)</f>
        <v/>
      </c>
      <c r="F33" s="299">
        <f>IFERROR(E33/E32-1,"")</f>
        <v/>
      </c>
      <c r="G33" s="305">
        <f>IFERROR(C33/E33,"")</f>
        <v/>
      </c>
      <c r="H33" s="229">
        <f>IF(근거_매출!E32="","",근거_매출!E32)</f>
        <v/>
      </c>
      <c r="I33" s="306">
        <f>IFERROR(H33/E33,"")</f>
        <v/>
      </c>
      <c r="L33" s="96">
        <f>IF(VALUE(MID(B33,3,4))&lt;=$K$28,"ACT","EST")</f>
        <v/>
      </c>
      <c r="V33" s="96" t="n"/>
    </row>
    <row r="34" ht="16.5" customHeight="1" s="217">
      <c r="B34" s="219" t="inlineStr">
        <is>
          <t>FY2022</t>
        </is>
      </c>
      <c r="C34" s="229">
        <f>'근거_NSA수량(IQVIA기준)'!F27</f>
        <v/>
      </c>
      <c r="D34" s="299">
        <f>IFERROR(C34/C33-1,"")</f>
        <v/>
      </c>
      <c r="E34" s="229">
        <f>IF(근거_매출!F10="","",근거_매출!F10)</f>
        <v/>
      </c>
      <c r="F34" s="299">
        <f>IFERROR(E34/E33-1,"")</f>
        <v/>
      </c>
      <c r="G34" s="305">
        <f>IFERROR(C34/E34,"")</f>
        <v/>
      </c>
      <c r="H34" s="229">
        <f>IF(근거_매출!F32="","",근거_매출!F32)</f>
        <v/>
      </c>
      <c r="I34" s="306">
        <f>IFERROR(H34/E34,"")</f>
        <v/>
      </c>
      <c r="L34" s="96">
        <f>IF(VALUE(MID(B34,3,4))&lt;=$K$28,"ACT","EST")</f>
        <v/>
      </c>
      <c r="V34" s="96" t="n"/>
    </row>
    <row r="35" ht="16.5" customHeight="1" s="217">
      <c r="B35" s="219" t="inlineStr">
        <is>
          <t>FY2023</t>
        </is>
      </c>
      <c r="C35" s="229">
        <f>'근거_NSA수량(IQVIA기준)'!G27</f>
        <v/>
      </c>
      <c r="D35" s="299">
        <f>IFERROR(C35/C34-1,"")</f>
        <v/>
      </c>
      <c r="E35" s="229">
        <f>IF(근거_매출!G10="","",근거_매출!G10)</f>
        <v/>
      </c>
      <c r="F35" s="299">
        <f>IFERROR(E35/E34-1,"")</f>
        <v/>
      </c>
      <c r="G35" s="305">
        <f>IFERROR(C35/E35,"")</f>
        <v/>
      </c>
      <c r="H35" s="229">
        <f>IF(근거_매출!G32="","",근거_매출!G32)</f>
        <v/>
      </c>
      <c r="I35" s="306">
        <f>IFERROR(H35/E35,"")</f>
        <v/>
      </c>
      <c r="L35" s="96">
        <f>IF(VALUE(MID(B35,3,4))&lt;=$K$28,"ACT","EST")</f>
        <v/>
      </c>
      <c r="V35" s="96" t="n"/>
    </row>
    <row r="36" ht="16.5" customHeight="1" s="217">
      <c r="B36" s="219" t="inlineStr">
        <is>
          <t>FY2024</t>
        </is>
      </c>
      <c r="C36" s="229">
        <f>'근거_NSA수량(IQVIA기준)'!H27</f>
        <v/>
      </c>
      <c r="D36" s="299">
        <f>IFERROR(C36/C35-1,"")</f>
        <v/>
      </c>
      <c r="E36" s="229">
        <f>IF(근거_매출!H10="","",근거_매출!H10)</f>
        <v/>
      </c>
      <c r="F36" s="299">
        <f>IFERROR(E36/E35-1,"")</f>
        <v/>
      </c>
      <c r="G36" s="305">
        <f>IFERROR(C36/E36,"")</f>
        <v/>
      </c>
      <c r="H36" s="229">
        <f>IF(근거_매출!H32="","",근거_매출!H32)</f>
        <v/>
      </c>
      <c r="I36" s="306">
        <f>IFERROR(H36/E36,"")</f>
        <v/>
      </c>
      <c r="L36" s="96">
        <f>IF(VALUE(MID(B36,3,4))&lt;=$K$28,"ACT","EST")</f>
        <v/>
      </c>
      <c r="V36" s="96" t="n"/>
    </row>
    <row r="37" ht="16.5" customHeight="1" s="217">
      <c r="B37" s="219" t="inlineStr">
        <is>
          <t>FY2025</t>
        </is>
      </c>
      <c r="C37" s="229">
        <f>'근거_NSA수량(IQVIA기준)'!I27</f>
        <v/>
      </c>
      <c r="D37" s="299">
        <f>IFERROR(C37/C36-1,"")</f>
        <v/>
      </c>
      <c r="E37" s="229">
        <f>IF(근거_매출!I10="","",근거_매출!I10)</f>
        <v/>
      </c>
      <c r="F37" s="299">
        <f>IFERROR(E37/E36-1,"")</f>
        <v/>
      </c>
      <c r="G37" s="305">
        <f>IFERROR(C37/E37,"")</f>
        <v/>
      </c>
      <c r="H37" s="229">
        <f>IF(근거_매출!I32="","",근거_매출!I32)</f>
        <v/>
      </c>
      <c r="I37" s="306">
        <f>IFERROR(H37/E37,"")</f>
        <v/>
      </c>
      <c r="L37" s="96">
        <f>IF(VALUE(MID(B37,3,4))&lt;=$K$28,"ACT","EST")</f>
        <v/>
      </c>
      <c r="V37" s="96" t="n"/>
    </row>
    <row r="38" ht="16.5" customHeight="1" s="217">
      <c r="B38" s="219" t="inlineStr">
        <is>
          <t>FY2026</t>
        </is>
      </c>
      <c r="C38" s="229">
        <f>'근거_NSA수량(IQVIA기준)'!J27</f>
        <v/>
      </c>
      <c r="D38" s="299">
        <f>IFERROR(C38/C37-1,"")</f>
        <v/>
      </c>
      <c r="E38" s="302">
        <f>근거_매출!J10</f>
        <v/>
      </c>
      <c r="F38" s="299">
        <f>IFERROR(E38/E37-1,"")</f>
        <v/>
      </c>
      <c r="G38" s="307">
        <f>IFERROR(C38/E38,"")</f>
        <v/>
      </c>
      <c r="H38" s="302">
        <f>E38*I38</f>
        <v/>
      </c>
      <c r="I38" s="308">
        <f>근거_매출!J29/1000000</f>
        <v/>
      </c>
      <c r="J38" s="219" t="inlineStr">
        <is>
          <t>◀ 단가(I열)는 근거_매출 연도별 단가행(29행) 참조 — 약가 배율 변경 시 자동 반영</t>
        </is>
      </c>
      <c r="L38" s="96">
        <f>IF(VALUE(MID(B38,3,4))&lt;=$K$28,"ACT","EST")</f>
        <v/>
      </c>
      <c r="N38" s="309">
        <f>원본_NSA_연간예측!B25*근거_매출!J29/1000000/100</f>
        <v/>
      </c>
      <c r="O38" s="310">
        <f>IFERROR(N38/(H38/100)-1,"")</f>
        <v/>
      </c>
      <c r="Q38" s="311" t="n"/>
      <c r="S38" s="311" t="n"/>
      <c r="V38" s="96" t="n"/>
    </row>
    <row r="39" ht="16.5" customHeight="1" s="217">
      <c r="B39" s="219" t="inlineStr">
        <is>
          <t>FY2027</t>
        </is>
      </c>
      <c r="C39" s="229">
        <f>'근거_NSA수량(IQVIA기준)'!K27</f>
        <v/>
      </c>
      <c r="D39" s="299">
        <f>IFERROR(C39/C38-1,"")</f>
        <v/>
      </c>
      <c r="E39" s="302">
        <f>근거_매출!K10</f>
        <v/>
      </c>
      <c r="F39" s="299">
        <f>IFERROR(E39/E38-1,"")</f>
        <v/>
      </c>
      <c r="G39" s="312">
        <f>IFERROR(C39/E39,"")</f>
        <v/>
      </c>
      <c r="H39" s="302">
        <f>E39*I39</f>
        <v/>
      </c>
      <c r="I39" s="313">
        <f>근거_매출!K29/1000000</f>
        <v/>
      </c>
      <c r="L39" s="96">
        <f>IF(VALUE(MID(B39,3,4))&lt;=$K$28,"ACT","EST")</f>
        <v/>
      </c>
      <c r="V39" s="96" t="n"/>
    </row>
    <row r="40" ht="16.5" customHeight="1" s="217">
      <c r="B40" s="219" t="inlineStr">
        <is>
          <t>FY2028</t>
        </is>
      </c>
      <c r="C40" s="229">
        <f>'근거_NSA수량(IQVIA기준)'!L27</f>
        <v/>
      </c>
      <c r="D40" s="299">
        <f>IFERROR(C40/C39-1,"")</f>
        <v/>
      </c>
      <c r="E40" s="302">
        <f>근거_매출!L10</f>
        <v/>
      </c>
      <c r="F40" s="299">
        <f>IFERROR(E40/E39-1,"")</f>
        <v/>
      </c>
      <c r="G40" s="312">
        <f>IFERROR(C40/E40,"")</f>
        <v/>
      </c>
      <c r="H40" s="302">
        <f>E40*I40</f>
        <v/>
      </c>
      <c r="I40" s="313">
        <f>근거_매출!L29/1000000</f>
        <v/>
      </c>
      <c r="L40" s="96">
        <f>IF(VALUE(MID(B40,3,4))&lt;=$K$28,"ACT","EST")</f>
        <v/>
      </c>
      <c r="V40" s="96" t="n"/>
    </row>
    <row r="41" ht="16.5" customHeight="1" s="217">
      <c r="B41" s="219" t="inlineStr">
        <is>
          <t>FY2029</t>
        </is>
      </c>
      <c r="C41" s="229">
        <f>'근거_NSA수량(IQVIA기준)'!M27</f>
        <v/>
      </c>
      <c r="D41" s="299">
        <f>IFERROR(C41/C40-1,"")</f>
        <v/>
      </c>
      <c r="E41" s="302">
        <f>근거_매출!M10</f>
        <v/>
      </c>
      <c r="F41" s="299">
        <f>IFERROR(E41/E40-1,"")</f>
        <v/>
      </c>
      <c r="G41" s="312">
        <f>IFERROR(C41/E41,"")</f>
        <v/>
      </c>
      <c r="H41" s="302">
        <f>E41*I41</f>
        <v/>
      </c>
      <c r="I41" s="313">
        <f>근거_매출!M29/1000000</f>
        <v/>
      </c>
      <c r="L41" s="96">
        <f>IF(VALUE(MID(B41,3,4))&lt;=$K$28,"ACT","EST")</f>
        <v/>
      </c>
      <c r="V41" s="96" t="n"/>
    </row>
    <row r="42" ht="16.5" customHeight="1" s="217">
      <c r="B42" s="219" t="inlineStr">
        <is>
          <t>FY2030</t>
        </is>
      </c>
      <c r="C42" s="229">
        <f>'근거_NSA수량(IQVIA기준)'!N27</f>
        <v/>
      </c>
      <c r="D42" s="299">
        <f>IFERROR(C42/C41-1,"")</f>
        <v/>
      </c>
      <c r="E42" s="302">
        <f>근거_매출!N10</f>
        <v/>
      </c>
      <c r="F42" s="299">
        <f>IFERROR(E42/E41-1,"")</f>
        <v/>
      </c>
      <c r="G42" s="312">
        <f>IFERROR(C42/E42,"")</f>
        <v/>
      </c>
      <c r="H42" s="302">
        <f>E42*I42</f>
        <v/>
      </c>
      <c r="I42" s="313">
        <f>근거_매출!N29/1000000</f>
        <v/>
      </c>
      <c r="L42" s="96">
        <f>IF(VALUE(MID(B42,3,4))&lt;=$K$28,"ACT","EST")</f>
        <v/>
      </c>
      <c r="V42" s="96" t="n"/>
    </row>
    <row r="43" ht="16.5" customHeight="1" s="217">
      <c r="L43" s="96" t="n"/>
    </row>
    <row r="44" ht="16.5" customHeight="1" s="217">
      <c r="B44" s="44" t="n"/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tabColor rgb="009AA0A8"/>
    <outlinePr summaryBelow="1" summaryRight="1"/>
    <pageSetUpPr/>
  </sheetPr>
  <dimension ref="A2:H44"/>
  <sheetViews>
    <sheetView showGridLines="0" tabSelected="0" workbookViewId="0">
      <selection activeCell="A1" sqref="A1"/>
    </sheetView>
  </sheetViews>
  <sheetFormatPr baseColWidth="8" defaultRowHeight="15"/>
  <cols>
    <col width="30" customWidth="1" style="217" min="1" max="1"/>
    <col width="18" customWidth="1" style="217" min="2" max="2"/>
    <col width="18" customWidth="1" style="217" min="3" max="3"/>
    <col width="18" customWidth="1" style="217" min="4" max="4"/>
    <col width="14" customWidth="1" style="217" min="5" max="5"/>
    <col width="20" customWidth="1" style="217" min="6" max="6"/>
    <col width="12" customWidth="1" style="217" min="7" max="7"/>
    <col width="30" customWidth="1" style="217" min="8" max="8"/>
  </cols>
  <sheetData>
    <row r="2">
      <c r="A2" s="267" t="inlineStr">
        <is>
          <t>NSA SAP매출 연간 예측 모델  —  고정비율 기반  (SAP 수량 = IQVIA ÷ k)</t>
        </is>
      </c>
    </row>
    <row r="4">
      <c r="A4" s="287" t="inlineStr">
        <is>
          <t>① 고정비율 파라미터  (FY2020~FY2025, 6개년 평균)</t>
        </is>
      </c>
    </row>
    <row r="5">
      <c r="A5" s="272" t="inlineStr">
        <is>
          <t>항목</t>
        </is>
      </c>
      <c r="B5" s="272" t="inlineStr">
        <is>
          <t>값</t>
        </is>
      </c>
      <c r="C5" s="272" t="inlineStr">
        <is>
          <t>설명</t>
        </is>
      </c>
    </row>
    <row r="6">
      <c r="A6" t="inlineStr">
        <is>
          <t>고정비율 k  (IQVIA/SAP)</t>
        </is>
      </c>
      <c r="B6" s="314">
        <f>AVERAGE(D14:D19)</f>
        <v/>
      </c>
      <c r="C6" t="inlineStr">
        <is>
          <t xml:space="preserve"> FY2020~FY2025 평균 IQVIA/SAP 비율  ← 산출 자동</t>
        </is>
      </c>
    </row>
    <row r="7">
      <c r="A7" t="inlineStr">
        <is>
          <t>예측 공식</t>
        </is>
      </c>
      <c r="B7" t="inlineStr">
        <is>
          <t>SAP 매출 예측 수량  =  FY2026 IQVIA 예측수량  ÷  k</t>
        </is>
      </c>
    </row>
    <row r="8">
      <c r="A8" t="inlineStr">
        <is>
          <t>검증 MAPE</t>
        </is>
      </c>
      <c r="B8">
        <f>TEXT(AVERAGE(ABS(G17),ABS(G18),ABS(G19)),"0.00%")&amp;"  (FY2023~FY2025 평균 절대오차)"</f>
        <v/>
      </c>
    </row>
    <row r="10">
      <c r="A10" s="287" t="inlineStr">
        <is>
          <t>② 과거 실적 데이터  (FY2020~FY2025)</t>
        </is>
      </c>
    </row>
    <row r="11">
      <c r="A11" s="292" t="inlineStr">
        <is>
          <t>회계연도</t>
        </is>
      </c>
      <c r="B11" s="292" t="inlineStr">
        <is>
          <t>IQVIA 수량 (A)</t>
        </is>
      </c>
      <c r="C11" s="292" t="inlineStr">
        <is>
          <t>SAP 매출수량 (A)</t>
        </is>
      </c>
      <c r="D11" s="292" t="inlineStr">
        <is>
          <t>IQVIA/SAP 비율</t>
        </is>
      </c>
      <c r="E11" s="292" t="inlineStr">
        <is>
          <t>평균 대비</t>
        </is>
      </c>
      <c r="F11" s="292" t="inlineStr">
        <is>
          <t>고정비율 예측 SAP</t>
        </is>
      </c>
      <c r="G11" s="292" t="inlineStr">
        <is>
          <t>예측 오차</t>
        </is>
      </c>
      <c r="H11" s="292" t="inlineStr">
        <is>
          <t>비고</t>
        </is>
      </c>
    </row>
    <row r="12">
      <c r="A12" t="inlineStr">
        <is>
          <t>FY2018</t>
        </is>
      </c>
      <c r="B12" s="273">
        <f>근거_매출!B7</f>
        <v/>
      </c>
      <c r="C12" s="273">
        <f>근거_매출!B10</f>
        <v/>
      </c>
      <c r="D12" s="315">
        <f>IFERROR(B12/C12,"")</f>
        <v/>
      </c>
      <c r="E12" s="316">
        <f>IFERROR(D12-$B$6,"")</f>
        <v/>
      </c>
      <c r="F12" s="273">
        <f>IFERROR(B12/$B$6,"")</f>
        <v/>
      </c>
      <c r="G12" s="289">
        <f>IFERROR(F12/C12-1,"")</f>
        <v/>
      </c>
    </row>
    <row r="13">
      <c r="A13" t="inlineStr">
        <is>
          <t>FY2019</t>
        </is>
      </c>
      <c r="B13" s="273">
        <f>근거_매출!C7</f>
        <v/>
      </c>
      <c r="C13" s="273">
        <f>근거_매출!C10</f>
        <v/>
      </c>
      <c r="D13" s="315">
        <f>IFERROR(B13/C13,"")</f>
        <v/>
      </c>
      <c r="E13" s="316">
        <f>IFERROR(D13-$B$6,"")</f>
        <v/>
      </c>
      <c r="F13" s="273">
        <f>IFERROR(B13/$B$6,"")</f>
        <v/>
      </c>
      <c r="G13" s="289">
        <f>IFERROR(F13/C13-1,"")</f>
        <v/>
      </c>
    </row>
    <row r="14">
      <c r="A14" t="inlineStr">
        <is>
          <t>FY2020</t>
        </is>
      </c>
      <c r="B14" s="273">
        <f>근거_매출!D7</f>
        <v/>
      </c>
      <c r="C14" s="273">
        <f>근거_매출!D10</f>
        <v/>
      </c>
      <c r="D14" s="315">
        <f>IFERROR(B14/C14,"")</f>
        <v/>
      </c>
      <c r="E14" s="316">
        <f>IFERROR(D14-$B$6,"")</f>
        <v/>
      </c>
      <c r="F14" s="273">
        <f>IFERROR(B14/$B$6,"")</f>
        <v/>
      </c>
      <c r="G14" s="289">
        <f>IFERROR(F14/C14-1,"")</f>
        <v/>
      </c>
    </row>
    <row r="15">
      <c r="A15" t="inlineStr">
        <is>
          <t>FY2021</t>
        </is>
      </c>
      <c r="B15" s="273">
        <f>근거_매출!E7</f>
        <v/>
      </c>
      <c r="C15" s="273">
        <f>근거_매출!E10</f>
        <v/>
      </c>
      <c r="D15" s="315">
        <f>IFERROR(B15/C15,"")</f>
        <v/>
      </c>
      <c r="E15" s="316">
        <f>IFERROR(D15-$B$6,"")</f>
        <v/>
      </c>
      <c r="F15" s="273">
        <f>IFERROR(B15/$B$6,"")</f>
        <v/>
      </c>
      <c r="G15" s="289">
        <f>IFERROR(F15/C15-1,"")</f>
        <v/>
      </c>
    </row>
    <row r="16">
      <c r="A16" t="inlineStr">
        <is>
          <t>FY2022</t>
        </is>
      </c>
      <c r="B16" s="273">
        <f>근거_매출!F7</f>
        <v/>
      </c>
      <c r="C16" s="273">
        <f>근거_매출!F10</f>
        <v/>
      </c>
      <c r="D16" s="315">
        <f>IFERROR(B16/C16,"")</f>
        <v/>
      </c>
      <c r="E16" s="316">
        <f>IFERROR(D16-$B$6,"")</f>
        <v/>
      </c>
      <c r="F16" s="273">
        <f>IFERROR(B16/$B$6,"")</f>
        <v/>
      </c>
      <c r="G16" s="289">
        <f>IFERROR(F16/C16-1,"")</f>
        <v/>
      </c>
      <c r="H16" s="286" t="inlineStr">
        <is>
          <t>FY2022 비율 1.14 (SAP 대비 IQVIA 과대) — 재고 조정 영향 추정</t>
        </is>
      </c>
    </row>
    <row r="17">
      <c r="A17" t="inlineStr">
        <is>
          <t>FY2023</t>
        </is>
      </c>
      <c r="B17" s="273">
        <f>근거_매출!G7</f>
        <v/>
      </c>
      <c r="C17" s="273">
        <f>근거_매출!G10</f>
        <v/>
      </c>
      <c r="D17" s="315">
        <f>IFERROR(B17/C17,"")</f>
        <v/>
      </c>
      <c r="E17" s="316">
        <f>IFERROR(D17-$B$6,"")</f>
        <v/>
      </c>
      <c r="F17" s="273">
        <f>IFERROR(B17/$B$6,"")</f>
        <v/>
      </c>
      <c r="G17" s="289">
        <f>IFERROR(F17/C17-1,"")</f>
        <v/>
      </c>
    </row>
    <row r="18">
      <c r="A18" t="inlineStr">
        <is>
          <t>FY2024</t>
        </is>
      </c>
      <c r="B18" s="273">
        <f>근거_매출!H7</f>
        <v/>
      </c>
      <c r="C18" s="273">
        <f>근거_매출!H10</f>
        <v/>
      </c>
      <c r="D18" s="315">
        <f>IFERROR(B18/C18,"")</f>
        <v/>
      </c>
      <c r="E18" s="316">
        <f>IFERROR(D18-$B$6,"")</f>
        <v/>
      </c>
      <c r="F18" s="273">
        <f>IFERROR(B18/$B$6,"")</f>
        <v/>
      </c>
      <c r="G18" s="289">
        <f>IFERROR(F18/C18-1,"")</f>
        <v/>
      </c>
    </row>
    <row r="19">
      <c r="A19" t="inlineStr">
        <is>
          <t>FY2025</t>
        </is>
      </c>
      <c r="B19" s="273">
        <f>근거_매출!I7</f>
        <v/>
      </c>
      <c r="C19" s="273">
        <f>근거_매출!I10</f>
        <v/>
      </c>
      <c r="D19" s="315">
        <f>IFERROR(B19/C19,"")</f>
        <v/>
      </c>
      <c r="E19" s="316">
        <f>IFERROR(D19-$B$6,"")</f>
        <v/>
      </c>
      <c r="F19" s="273">
        <f>IFERROR(B19/$B$6,"")</f>
        <v/>
      </c>
      <c r="G19" s="289">
        <f>IFERROR(F19/C19-1,"")</f>
        <v/>
      </c>
    </row>
    <row r="20">
      <c r="A20" s="287" t="inlineStr">
        <is>
          <t>평균</t>
        </is>
      </c>
      <c r="D20" s="315">
        <f>AVERAGE(D14:D19)</f>
        <v/>
      </c>
      <c r="G20" s="317">
        <f>AVERAGE(G14:G19)</f>
        <v/>
      </c>
    </row>
    <row r="22">
      <c r="A22" s="287" t="inlineStr">
        <is>
          <t>③ FY2026 연간 예측  —  유일한 수동 입력: IQVIA 예측 수량</t>
        </is>
      </c>
    </row>
    <row r="23">
      <c r="A23" t="inlineStr">
        <is>
          <t>FY2026 IQVIA 예측수량 (A)</t>
        </is>
      </c>
      <c r="B23" s="318">
        <f>'근거_NSA수량(IQVIA기준)'!J27</f>
        <v/>
      </c>
      <c r="C23" t="inlineStr">
        <is>
          <t>← 유일한 수동 입력 (현재 바텀업 모델 FY2026 수량 연동; 독립 대조 시 값으로 덮어쓰기)</t>
        </is>
      </c>
    </row>
    <row r="24">
      <c r="A24" t="inlineStr">
        <is>
          <t>고정비율 k</t>
        </is>
      </c>
      <c r="B24" s="315">
        <f>B6</f>
        <v/>
      </c>
    </row>
    <row r="25">
      <c r="A25" s="287" t="inlineStr">
        <is>
          <t>★ FY2026 연간 예측 (A)</t>
        </is>
      </c>
      <c r="B25" s="319">
        <f>B23/B24</f>
        <v/>
      </c>
    </row>
    <row r="26">
      <c r="A26" t="inlineStr">
        <is>
          <t>예측 성장률 (YoY)</t>
        </is>
      </c>
      <c r="B26" s="289">
        <f>B25/C19-1</f>
        <v/>
      </c>
    </row>
    <row r="28">
      <c r="A28" s="287" t="inlineStr">
        <is>
          <t>④ 민감도 분석  —  IQVIA 예측수량 시나리오별</t>
        </is>
      </c>
    </row>
    <row r="29">
      <c r="A29" s="292" t="inlineStr">
        <is>
          <t>IQVIA 예측 (A)</t>
        </is>
      </c>
      <c r="B29" s="292" t="inlineStr">
        <is>
          <t>IQVIA YoY</t>
        </is>
      </c>
      <c r="C29" s="292" t="inlineStr">
        <is>
          <t>예측 SAP 수량 (A)</t>
        </is>
      </c>
      <c r="D29" s="292" t="inlineStr">
        <is>
          <t>SAP YoY</t>
        </is>
      </c>
      <c r="E29" s="292" t="inlineStr">
        <is>
          <t>FY2025 대비 증감</t>
        </is>
      </c>
      <c r="F29" s="292" t="inlineStr">
        <is>
          <t>비고</t>
        </is>
      </c>
    </row>
    <row r="30">
      <c r="A30" s="320" t="n">
        <v>2000000</v>
      </c>
      <c r="B30" s="289">
        <f>A30/B19-1</f>
        <v/>
      </c>
      <c r="C30" s="273">
        <f>A30/$B$6</f>
        <v/>
      </c>
      <c r="D30" s="289">
        <f>C30/C19-1</f>
        <v/>
      </c>
      <c r="E30" s="273">
        <f>C30-C19</f>
        <v/>
      </c>
      <c r="F30">
        <f>"보수: IQVIA "&amp;TEXT(B30,"+0.0%;-0.0%")</f>
        <v/>
      </c>
    </row>
    <row r="31">
      <c r="A31" s="320" t="n">
        <v>2100000</v>
      </c>
      <c r="B31" s="289">
        <f>A31/B19-1</f>
        <v/>
      </c>
      <c r="C31" s="273">
        <f>A31/$B$6</f>
        <v/>
      </c>
      <c r="D31" s="289">
        <f>C31/C19-1</f>
        <v/>
      </c>
      <c r="E31" s="273">
        <f>C31-C19</f>
        <v/>
      </c>
      <c r="F31">
        <f>"보수: IQVIA "&amp;TEXT(B31,"+0.0%;-0.0%")</f>
        <v/>
      </c>
    </row>
    <row r="32">
      <c r="A32" s="320" t="n">
        <v>2200000</v>
      </c>
      <c r="B32" s="289">
        <f>A32/B19-1</f>
        <v/>
      </c>
      <c r="C32" s="273">
        <f>A32/$B$6</f>
        <v/>
      </c>
      <c r="D32" s="289">
        <f>C32/C19-1</f>
        <v/>
      </c>
      <c r="E32" s="273">
        <f>C32-C19</f>
        <v/>
      </c>
      <c r="F32" t="inlineStr">
        <is>
          <t>기준−</t>
        </is>
      </c>
    </row>
    <row r="33">
      <c r="A33" s="321">
        <f>B23</f>
        <v/>
      </c>
      <c r="B33" s="289">
        <f>A33/B19-1</f>
        <v/>
      </c>
      <c r="C33" s="273">
        <f>A33/$B$6</f>
        <v/>
      </c>
      <c r="D33" s="289">
        <f>C33/C19-1</f>
        <v/>
      </c>
      <c r="E33" s="273">
        <f>C33-C19</f>
        <v/>
      </c>
      <c r="F33" t="inlineStr">
        <is>
          <t>← 연초 입력값</t>
        </is>
      </c>
    </row>
    <row r="34">
      <c r="A34" s="320" t="n">
        <v>2450000</v>
      </c>
      <c r="B34" s="289">
        <f>A34/B19-1</f>
        <v/>
      </c>
      <c r="C34" s="273">
        <f>A34/$B$6</f>
        <v/>
      </c>
      <c r="D34" s="289">
        <f>C34/C19-1</f>
        <v/>
      </c>
      <c r="E34" s="273">
        <f>C34-C19</f>
        <v/>
      </c>
      <c r="F34" t="inlineStr">
        <is>
          <t>기준+</t>
        </is>
      </c>
    </row>
    <row r="35">
      <c r="A35" s="320" t="n">
        <v>2600000</v>
      </c>
      <c r="B35" s="289">
        <f>A35/B19-1</f>
        <v/>
      </c>
      <c r="C35" s="273">
        <f>A35/$B$6</f>
        <v/>
      </c>
      <c r="D35" s="289">
        <f>C35/C19-1</f>
        <v/>
      </c>
      <c r="E35" s="273">
        <f>C35-C19</f>
        <v/>
      </c>
      <c r="F35">
        <f>"낙관: IQVIA "&amp;TEXT(B35,"+0.0%;-0.0%")</f>
        <v/>
      </c>
    </row>
    <row r="36">
      <c r="A36" s="320" t="n">
        <v>2800000</v>
      </c>
      <c r="B36" s="289">
        <f>A36/B19-1</f>
        <v/>
      </c>
      <c r="C36" s="273">
        <f>A36/$B$6</f>
        <v/>
      </c>
      <c r="D36" s="289">
        <f>C36/C19-1</f>
        <v/>
      </c>
      <c r="E36" s="273">
        <f>C36-C19</f>
        <v/>
      </c>
      <c r="F36">
        <f>"낙관: IQVIA "&amp;TEXT(B36,"+0.0%;-0.0%")</f>
        <v/>
      </c>
    </row>
    <row r="38">
      <c r="A38" s="287" t="inlineStr">
        <is>
          <t>⑤ 모니터링 기준</t>
        </is>
      </c>
    </row>
    <row r="39">
      <c r="A39" t="inlineStr">
        <is>
          <t>고정비율 k 업데이트</t>
        </is>
      </c>
      <c r="B39" t="inlineStr">
        <is>
          <t>매 FY 종료 후 → 실적 추가하여 평균 재산출</t>
        </is>
      </c>
    </row>
    <row r="40">
      <c r="A40" t="inlineStr">
        <is>
          <t>비율 이상치 기준</t>
        </is>
      </c>
      <c r="B40" t="inlineStr">
        <is>
          <t>IQVIA/SAP 비율이 k ± 0.05 초과 시 → 원인 파악 필요 (재고·입찰 시점)</t>
        </is>
      </c>
    </row>
    <row r="41">
      <c r="A41" t="inlineStr">
        <is>
          <t>검증 MAPE</t>
        </is>
      </c>
      <c r="B41" t="inlineStr">
        <is>
          <t>FY2023~FY2025 기준 평균 절대오차 (B8 참조)</t>
        </is>
      </c>
    </row>
    <row r="42">
      <c r="A42" t="inlineStr">
        <is>
          <t>Rolling 갱신</t>
        </is>
      </c>
      <c r="B42" t="inlineStr">
        <is>
          <t>분기 실적 확정 시 원자료_분기실측 갱신 → 자동 재계산</t>
        </is>
      </c>
    </row>
    <row r="44">
      <c r="A44" s="322" t="inlineStr">
        <is>
          <t>[ 범례 ]  파란 글씨/노랑: 수동 입력  │  검정: 자동 계산  │  초록: 예측 결과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9AA0A8"/>
    <outlinePr summaryBelow="1" summaryRight="1"/>
    <pageSetUpPr/>
  </sheetPr>
  <dimension ref="A2:Q31"/>
  <sheetViews>
    <sheetView showGridLines="0" tabSelected="0" workbookViewId="0">
      <selection activeCell="A1" sqref="A1"/>
    </sheetView>
  </sheetViews>
  <sheetFormatPr baseColWidth="8" defaultRowHeight="15"/>
  <cols>
    <col width="30" customWidth="1" style="217" min="1" max="1"/>
    <col width="12" customWidth="1" style="217" min="2" max="2"/>
    <col width="14" customWidth="1" style="217" min="3" max="3"/>
    <col width="12" customWidth="1" style="217" min="4" max="4"/>
    <col width="12" customWidth="1" style="217" min="5" max="5"/>
    <col width="12" customWidth="1" style="217" min="6" max="6"/>
    <col width="12" customWidth="1" style="217" min="7" max="7"/>
    <col width="10" customWidth="1" style="217" min="8" max="8"/>
    <col width="12" customWidth="1" style="217" min="9" max="9"/>
    <col width="12" customWidth="1" style="217" min="10" max="10"/>
    <col width="10" customWidth="1" style="217" min="11" max="11"/>
    <col width="12" customWidth="1" style="217" min="12" max="12"/>
    <col width="12" customWidth="1" style="217" min="13" max="13"/>
    <col width="10" customWidth="1" style="217" min="14" max="14"/>
    <col width="12" customWidth="1" style="217" min="15" max="15"/>
    <col width="12" customWidth="1" style="217" min="16" max="16"/>
    <col width="10" customWidth="1" style="217" min="17" max="17"/>
  </cols>
  <sheetData>
    <row r="2">
      <c r="A2" s="267" t="inlineStr">
        <is>
          <t>모니터링_분기별 — 종별 NSA MS 이탈 감시</t>
        </is>
      </c>
    </row>
    <row r="3">
      <c r="A3" s="322" t="inlineStr">
        <is>
          <t>예측을 갱신하는 시트가 아닙니다. 분기 실측(원자료_분기실측)이 모델 예측(근거_NSA수량 43~46행)에서 벗어났는지 판정합니다. 경보가 뜰 때만 예측 가정을 손댑니다</t>
        </is>
      </c>
    </row>
    <row r="5">
      <c r="A5" s="287" t="inlineStr">
        <is>
          <t>■ 파라미터</t>
        </is>
      </c>
    </row>
    <row r="6">
      <c r="A6" t="inlineStr">
        <is>
          <t xml:space="preserve">  상급종합 임계 (MAPE, %p)</t>
        </is>
      </c>
      <c r="B6" s="323" t="n">
        <v>0.029</v>
      </c>
      <c r="C6" s="286" t="inlineStr">
        <is>
          <t>백테스트 MAPE 2.92%</t>
        </is>
      </c>
    </row>
    <row r="7">
      <c r="A7" t="inlineStr">
        <is>
          <t xml:space="preserve">  종합병원 임계</t>
        </is>
      </c>
      <c r="B7" s="323" t="n">
        <v>0.038</v>
      </c>
      <c r="C7" s="286" t="inlineStr">
        <is>
          <t>백테스트 MAPE 3.83%</t>
        </is>
      </c>
    </row>
    <row r="8">
      <c r="A8" t="inlineStr">
        <is>
          <t xml:space="preserve">  병원 임계</t>
        </is>
      </c>
      <c r="B8" s="323" t="n">
        <v>0.089</v>
      </c>
      <c r="C8" s="286" t="inlineStr">
        <is>
          <t>백테스트 MAPE 8.89%</t>
        </is>
      </c>
    </row>
    <row r="9">
      <c r="A9" t="inlineStr">
        <is>
          <t xml:space="preserve">  의원 임계</t>
        </is>
      </c>
      <c r="B9" s="323" t="n">
        <v>0.103</v>
      </c>
      <c r="C9" s="286" t="inlineStr">
        <is>
          <t>백테스트 MAPE 10.30%</t>
        </is>
      </c>
    </row>
    <row r="10">
      <c r="A10" t="inlineStr">
        <is>
          <t xml:space="preserve">  경보 임계 (배수)</t>
        </is>
      </c>
      <c r="B10" s="324" t="n">
        <v>1.5</v>
      </c>
      <c r="C10" s="286" t="inlineStr">
        <is>
          <t>이탈률이 MAPE × 배수를 넘고</t>
        </is>
      </c>
    </row>
    <row r="11">
      <c r="A11" t="inlineStr">
        <is>
          <t xml:space="preserve">  경보 연속 분기</t>
        </is>
      </c>
      <c r="B11" s="324" t="n">
        <v>2</v>
      </c>
      <c r="C11" s="286" t="inlineStr">
        <is>
          <t>연속 이 분기 이상이면 경보</t>
        </is>
      </c>
    </row>
    <row r="13">
      <c r="A13" s="287" t="inlineStr">
        <is>
          <t>■ 분기 감시표 (실측 열이 채워진 분기만 판정 · 원자료_분기실측 갱신 시 자동)</t>
        </is>
      </c>
    </row>
    <row r="14">
      <c r="A14" s="325" t="inlineStr">
        <is>
          <t>CY분기</t>
        </is>
      </c>
      <c r="B14" s="325" t="inlineStr">
        <is>
          <t>Ramo 시장 실측</t>
        </is>
      </c>
      <c r="C14" s="325" t="inlineStr">
        <is>
          <t>NSA 실측</t>
        </is>
      </c>
      <c r="D14" s="325" t="inlineStr">
        <is>
          <t>전체 MS 실측</t>
        </is>
      </c>
      <c r="E14" s="325" t="inlineStr">
        <is>
          <t>전체 MS 모델</t>
        </is>
      </c>
      <c r="F14" s="325" t="inlineStr">
        <is>
          <t>이탈</t>
        </is>
      </c>
      <c r="G14" s="325" t="inlineStr">
        <is>
          <t>상급 MS 실측</t>
        </is>
      </c>
      <c r="H14" s="325" t="inlineStr">
        <is>
          <t>상급 모델</t>
        </is>
      </c>
      <c r="I14" s="325" t="inlineStr">
        <is>
          <t>이탈률</t>
        </is>
      </c>
      <c r="J14" s="325" t="inlineStr">
        <is>
          <t>신호</t>
        </is>
      </c>
      <c r="K14" s="325" t="inlineStr">
        <is>
          <t>종합 MS 실측</t>
        </is>
      </c>
      <c r="L14" s="325" t="inlineStr">
        <is>
          <t>종합 모델</t>
        </is>
      </c>
      <c r="M14" s="325" t="inlineStr">
        <is>
          <t>이탈률</t>
        </is>
      </c>
      <c r="N14" s="325" t="inlineStr">
        <is>
          <t>신호</t>
        </is>
      </c>
      <c r="O14" s="325" t="inlineStr">
        <is>
          <t>병원 MS 실측</t>
        </is>
      </c>
      <c r="P14" s="325" t="inlineStr">
        <is>
          <t>병원 모델</t>
        </is>
      </c>
      <c r="Q14" s="325" t="inlineStr">
        <is>
          <t>이탈률</t>
        </is>
      </c>
    </row>
    <row r="15">
      <c r="A15" t="inlineStr">
        <is>
          <t>2025Q1</t>
        </is>
      </c>
      <c r="B15" s="273">
        <f>IF(원자료_분기실측!V41="","",원자료_분기실측!V41)</f>
        <v/>
      </c>
      <c r="C15" s="273">
        <f>IF(원자료_분기실측!V42="","",원자료_분기실측!V42)</f>
        <v/>
      </c>
      <c r="D15" s="278">
        <f>IFERROR(IF(OR(B15="",C15=""),"",C15/B15),"")</f>
        <v/>
      </c>
      <c r="E15" s="278">
        <f>IFERROR('근거_NSA수량(IQVIA기준)'!V53/'근거_Ramosetron 시장 수량'!V96,"")</f>
        <v/>
      </c>
      <c r="F15" s="326">
        <f>IF(OR(D15="",E15=""),"",D15-E15)</f>
        <v/>
      </c>
      <c r="G15" s="278">
        <f>IFERROR(IF(원자료_분기실측!V46=0,"",원자료_분기실측!V46),"")</f>
        <v/>
      </c>
      <c r="H15" s="278">
        <f>IFERROR('근거_NSA수량(IQVIA기준)'!V43,"")</f>
        <v/>
      </c>
      <c r="I15" s="326">
        <f>IFERROR(IF(OR(G15="",H15=""),"",G15/H15-1),"")</f>
        <v/>
      </c>
      <c r="J15">
        <f>IF(I15="","",IF(ABS(I15)&gt;$B$6*$B$10,IF(IF(ISNUMBER(I14),ABS(I14)&gt;$B$6*$B$10,FALSE),"경보","주의"),"정상"))</f>
        <v/>
      </c>
      <c r="K15" s="278">
        <f>IFERROR(IF(원자료_분기실측!V47=0,"",원자료_분기실측!V47),"")</f>
        <v/>
      </c>
      <c r="L15" s="278">
        <f>IFERROR('근거_NSA수량(IQVIA기준)'!V44,"")</f>
        <v/>
      </c>
      <c r="M15" s="326">
        <f>IFERROR(IF(OR(K15="",L15=""),"",K15/L15-1),"")</f>
        <v/>
      </c>
      <c r="N15">
        <f>IF(M15="","",IF(ABS(M15)&gt;$B$7*$B$10,IF(IF(ISNUMBER(M14),ABS(M14)&gt;$B$7*$B$10,FALSE),"경보","주의"),"정상"))</f>
        <v/>
      </c>
      <c r="O15" s="278">
        <f>IFERROR(IF(원자료_분기실측!V48=0,"",원자료_분기실측!V48),"")</f>
        <v/>
      </c>
      <c r="P15" s="278">
        <f>IFERROR('근거_NSA수량(IQVIA기준)'!V45,"")</f>
        <v/>
      </c>
      <c r="Q15" s="326">
        <f>IFERROR(IF(OR(O15="",P15=""),"",O15/P15-1),"")</f>
        <v/>
      </c>
    </row>
    <row r="16">
      <c r="A16" t="inlineStr">
        <is>
          <t>2025Q2</t>
        </is>
      </c>
      <c r="B16" s="273">
        <f>IF(원자료_분기실측!W41="","",원자료_분기실측!W41)</f>
        <v/>
      </c>
      <c r="C16" s="273">
        <f>IF(원자료_분기실측!W42="","",원자료_분기실측!W42)</f>
        <v/>
      </c>
      <c r="D16" s="278">
        <f>IFERROR(IF(OR(B16="",C16=""),"",C16/B16),"")</f>
        <v/>
      </c>
      <c r="E16" s="278">
        <f>IFERROR('근거_NSA수량(IQVIA기준)'!W53/'근거_Ramosetron 시장 수량'!W96,"")</f>
        <v/>
      </c>
      <c r="F16" s="326">
        <f>IF(OR(D16="",E16=""),"",D16-E16)</f>
        <v/>
      </c>
      <c r="G16" s="278">
        <f>IFERROR(IF(원자료_분기실측!W46=0,"",원자료_분기실측!W46),"")</f>
        <v/>
      </c>
      <c r="H16" s="278">
        <f>IFERROR('근거_NSA수량(IQVIA기준)'!W43,"")</f>
        <v/>
      </c>
      <c r="I16" s="326">
        <f>IFERROR(IF(OR(G16="",H16=""),"",G16/H16-1),"")</f>
        <v/>
      </c>
      <c r="J16">
        <f>IF(I16="","",IF(ABS(I16)&gt;$B$6*$B$10,IF(IF(ISNUMBER(I15),ABS(I15)&gt;$B$6*$B$10,FALSE),"경보","주의"),"정상"))</f>
        <v/>
      </c>
      <c r="K16" s="278">
        <f>IFERROR(IF(원자료_분기실측!W47=0,"",원자료_분기실측!W47),"")</f>
        <v/>
      </c>
      <c r="L16" s="278">
        <f>IFERROR('근거_NSA수량(IQVIA기준)'!W44,"")</f>
        <v/>
      </c>
      <c r="M16" s="326">
        <f>IFERROR(IF(OR(K16="",L16=""),"",K16/L16-1),"")</f>
        <v/>
      </c>
      <c r="N16">
        <f>IF(M16="","",IF(ABS(M16)&gt;$B$7*$B$10,IF(IF(ISNUMBER(M15),ABS(M15)&gt;$B$7*$B$10,FALSE),"경보","주의"),"정상"))</f>
        <v/>
      </c>
      <c r="O16" s="278">
        <f>IFERROR(IF(원자료_분기실측!W48=0,"",원자료_분기실측!W48),"")</f>
        <v/>
      </c>
      <c r="P16" s="278">
        <f>IFERROR('근거_NSA수량(IQVIA기준)'!W45,"")</f>
        <v/>
      </c>
      <c r="Q16" s="326">
        <f>IFERROR(IF(OR(O16="",P16=""),"",O16/P16-1),"")</f>
        <v/>
      </c>
    </row>
    <row r="17">
      <c r="A17" t="inlineStr">
        <is>
          <t>2025Q3</t>
        </is>
      </c>
      <c r="B17" s="273">
        <f>IF(원자료_분기실측!X41="","",원자료_분기실측!X41)</f>
        <v/>
      </c>
      <c r="C17" s="273">
        <f>IF(원자료_분기실측!X42="","",원자료_분기실측!X42)</f>
        <v/>
      </c>
      <c r="D17" s="278">
        <f>IFERROR(IF(OR(B17="",C17=""),"",C17/B17),"")</f>
        <v/>
      </c>
      <c r="E17" s="278">
        <f>IFERROR('근거_NSA수량(IQVIA기준)'!X53/'근거_Ramosetron 시장 수량'!X96,"")</f>
        <v/>
      </c>
      <c r="F17" s="326">
        <f>IF(OR(D17="",E17=""),"",D17-E17)</f>
        <v/>
      </c>
      <c r="G17" s="278">
        <f>IFERROR(IF(원자료_분기실측!X46=0,"",원자료_분기실측!X46),"")</f>
        <v/>
      </c>
      <c r="H17" s="278">
        <f>IFERROR('근거_NSA수량(IQVIA기준)'!X43,"")</f>
        <v/>
      </c>
      <c r="I17" s="326">
        <f>IFERROR(IF(OR(G17="",H17=""),"",G17/H17-1),"")</f>
        <v/>
      </c>
      <c r="J17">
        <f>IF(I17="","",IF(ABS(I17)&gt;$B$6*$B$10,IF(IF(ISNUMBER(I16),ABS(I16)&gt;$B$6*$B$10,FALSE),"경보","주의"),"정상"))</f>
        <v/>
      </c>
      <c r="K17" s="278">
        <f>IFERROR(IF(원자료_분기실측!X47=0,"",원자료_분기실측!X47),"")</f>
        <v/>
      </c>
      <c r="L17" s="278">
        <f>IFERROR('근거_NSA수량(IQVIA기준)'!X44,"")</f>
        <v/>
      </c>
      <c r="M17" s="326">
        <f>IFERROR(IF(OR(K17="",L17=""),"",K17/L17-1),"")</f>
        <v/>
      </c>
      <c r="N17">
        <f>IF(M17="","",IF(ABS(M17)&gt;$B$7*$B$10,IF(IF(ISNUMBER(M16),ABS(M16)&gt;$B$7*$B$10,FALSE),"경보","주의"),"정상"))</f>
        <v/>
      </c>
      <c r="O17" s="278">
        <f>IFERROR(IF(원자료_분기실측!X48=0,"",원자료_분기실측!X48),"")</f>
        <v/>
      </c>
      <c r="P17" s="278">
        <f>IFERROR('근거_NSA수량(IQVIA기준)'!X45,"")</f>
        <v/>
      </c>
      <c r="Q17" s="326">
        <f>IFERROR(IF(OR(O17="",P17=""),"",O17/P17-1),"")</f>
        <v/>
      </c>
    </row>
    <row r="18">
      <c r="A18" t="inlineStr">
        <is>
          <t>2025Q4</t>
        </is>
      </c>
      <c r="B18" s="273">
        <f>IF(원자료_분기실측!Y41="","",원자료_분기실측!Y41)</f>
        <v/>
      </c>
      <c r="C18" s="273">
        <f>IF(원자료_분기실측!Y42="","",원자료_분기실측!Y42)</f>
        <v/>
      </c>
      <c r="D18" s="278">
        <f>IFERROR(IF(OR(B18="",C18=""),"",C18/B18),"")</f>
        <v/>
      </c>
      <c r="E18" s="278">
        <f>IFERROR('근거_NSA수량(IQVIA기준)'!Y53/'근거_Ramosetron 시장 수량'!Y96,"")</f>
        <v/>
      </c>
      <c r="F18" s="326">
        <f>IF(OR(D18="",E18=""),"",D18-E18)</f>
        <v/>
      </c>
      <c r="G18" s="278">
        <f>IFERROR(IF(원자료_분기실측!Y46=0,"",원자료_분기실측!Y46),"")</f>
        <v/>
      </c>
      <c r="H18" s="278">
        <f>IFERROR('근거_NSA수량(IQVIA기준)'!Y43,"")</f>
        <v/>
      </c>
      <c r="I18" s="326">
        <f>IFERROR(IF(OR(G18="",H18=""),"",G18/H18-1),"")</f>
        <v/>
      </c>
      <c r="J18">
        <f>IF(I18="","",IF(ABS(I18)&gt;$B$6*$B$10,IF(IF(ISNUMBER(I17),ABS(I17)&gt;$B$6*$B$10,FALSE),"경보","주의"),"정상"))</f>
        <v/>
      </c>
      <c r="K18" s="278">
        <f>IFERROR(IF(원자료_분기실측!Y47=0,"",원자료_분기실측!Y47),"")</f>
        <v/>
      </c>
      <c r="L18" s="278">
        <f>IFERROR('근거_NSA수량(IQVIA기준)'!Y44,"")</f>
        <v/>
      </c>
      <c r="M18" s="326">
        <f>IFERROR(IF(OR(K18="",L18=""),"",K18/L18-1),"")</f>
        <v/>
      </c>
      <c r="N18">
        <f>IF(M18="","",IF(ABS(M18)&gt;$B$7*$B$10,IF(IF(ISNUMBER(M17),ABS(M17)&gt;$B$7*$B$10,FALSE),"경보","주의"),"정상"))</f>
        <v/>
      </c>
      <c r="O18" s="278">
        <f>IFERROR(IF(원자료_분기실측!Y48=0,"",원자료_분기실측!Y48),"")</f>
        <v/>
      </c>
      <c r="P18" s="278">
        <f>IFERROR('근거_NSA수량(IQVIA기준)'!Y45,"")</f>
        <v/>
      </c>
      <c r="Q18" s="326">
        <f>IFERROR(IF(OR(O18="",P18=""),"",O18/P18-1),"")</f>
        <v/>
      </c>
    </row>
    <row r="19">
      <c r="A19" t="inlineStr">
        <is>
          <t>2026Q1</t>
        </is>
      </c>
      <c r="B19" s="273">
        <f>IF(원자료_분기실측!Z41="","",원자료_분기실측!Z41)</f>
        <v/>
      </c>
      <c r="C19" s="273">
        <f>IF(원자료_분기실측!Z42="","",원자료_분기실측!Z42)</f>
        <v/>
      </c>
      <c r="D19" s="278">
        <f>IFERROR(IF(OR(B19="",C19=""),"",C19/B19),"")</f>
        <v/>
      </c>
      <c r="E19" s="278">
        <f>IFERROR('근거_NSA수량(IQVIA기준)'!Z53/'근거_Ramosetron 시장 수량'!Z96,"")</f>
        <v/>
      </c>
      <c r="F19" s="326">
        <f>IF(OR(D19="",E19=""),"",D19-E19)</f>
        <v/>
      </c>
      <c r="G19" s="278">
        <f>IFERROR(IF(원자료_분기실측!Z46=0,"",원자료_분기실측!Z46),"")</f>
        <v/>
      </c>
      <c r="H19" s="278">
        <f>IFERROR('근거_NSA수량(IQVIA기준)'!Z43,"")</f>
        <v/>
      </c>
      <c r="I19" s="326">
        <f>IFERROR(IF(OR(G19="",H19=""),"",G19/H19-1),"")</f>
        <v/>
      </c>
      <c r="J19">
        <f>IF(I19="","",IF(ABS(I19)&gt;$B$6*$B$10,IF(IF(ISNUMBER(I18),ABS(I18)&gt;$B$6*$B$10,FALSE),"경보","주의"),"정상"))</f>
        <v/>
      </c>
      <c r="K19" s="278">
        <f>IFERROR(IF(원자료_분기실측!Z47=0,"",원자료_분기실측!Z47),"")</f>
        <v/>
      </c>
      <c r="L19" s="278">
        <f>IFERROR('근거_NSA수량(IQVIA기준)'!Z44,"")</f>
        <v/>
      </c>
      <c r="M19" s="326">
        <f>IFERROR(IF(OR(K19="",L19=""),"",K19/L19-1),"")</f>
        <v/>
      </c>
      <c r="N19">
        <f>IF(M19="","",IF(ABS(M19)&gt;$B$7*$B$10,IF(IF(ISNUMBER(M18),ABS(M18)&gt;$B$7*$B$10,FALSE),"경보","주의"),"정상"))</f>
        <v/>
      </c>
      <c r="O19" s="278">
        <f>IFERROR(IF(원자료_분기실측!Z48=0,"",원자료_분기실측!Z48),"")</f>
        <v/>
      </c>
      <c r="P19" s="278">
        <f>IFERROR('근거_NSA수량(IQVIA기준)'!Z45,"")</f>
        <v/>
      </c>
      <c r="Q19" s="326">
        <f>IFERROR(IF(OR(O19="",P19=""),"",O19/P19-1),"")</f>
        <v/>
      </c>
    </row>
    <row r="20">
      <c r="A20" t="inlineStr">
        <is>
          <t>2026Q2</t>
        </is>
      </c>
      <c r="B20" s="273">
        <f>IF(원자료_분기실측!AA41="","",원자료_분기실측!AA41)</f>
        <v/>
      </c>
      <c r="C20" s="273">
        <f>IF(원자료_분기실측!AA42="","",원자료_분기실측!AA42)</f>
        <v/>
      </c>
      <c r="D20" s="278">
        <f>IFERROR(IF(OR(B20="",C20=""),"",C20/B20),"")</f>
        <v/>
      </c>
      <c r="E20" s="278">
        <f>IFERROR('근거_NSA수량(IQVIA기준)'!AA53/'근거_Ramosetron 시장 수량'!AA96,"")</f>
        <v/>
      </c>
      <c r="F20" s="326">
        <f>IF(OR(D20="",E20=""),"",D20-E20)</f>
        <v/>
      </c>
      <c r="G20" s="278">
        <f>IFERROR(IF(원자료_분기실측!AA46=0,"",원자료_분기실측!AA46),"")</f>
        <v/>
      </c>
      <c r="H20" s="278">
        <f>IFERROR('근거_NSA수량(IQVIA기준)'!AA43,"")</f>
        <v/>
      </c>
      <c r="I20" s="326">
        <f>IFERROR(IF(OR(G20="",H20=""),"",G20/H20-1),"")</f>
        <v/>
      </c>
      <c r="J20">
        <f>IF(I20="","",IF(ABS(I20)&gt;$B$6*$B$10,IF(IF(ISNUMBER(I19),ABS(I19)&gt;$B$6*$B$10,FALSE),"경보","주의"),"정상"))</f>
        <v/>
      </c>
      <c r="K20" s="278">
        <f>IFERROR(IF(원자료_분기실측!AA47=0,"",원자료_분기실측!AA47),"")</f>
        <v/>
      </c>
      <c r="L20" s="278">
        <f>IFERROR('근거_NSA수량(IQVIA기준)'!AA44,"")</f>
        <v/>
      </c>
      <c r="M20" s="326">
        <f>IFERROR(IF(OR(K20="",L20=""),"",K20/L20-1),"")</f>
        <v/>
      </c>
      <c r="N20">
        <f>IF(M20="","",IF(ABS(M20)&gt;$B$7*$B$10,IF(IF(ISNUMBER(M19),ABS(M19)&gt;$B$7*$B$10,FALSE),"경보","주의"),"정상"))</f>
        <v/>
      </c>
      <c r="O20" s="278">
        <f>IFERROR(IF(원자료_분기실측!AA48=0,"",원자료_분기실측!AA48),"")</f>
        <v/>
      </c>
      <c r="P20" s="278">
        <f>IFERROR('근거_NSA수량(IQVIA기준)'!AA45,"")</f>
        <v/>
      </c>
      <c r="Q20" s="326">
        <f>IFERROR(IF(OR(O20="",P20=""),"",O20/P20-1),"")</f>
        <v/>
      </c>
    </row>
    <row r="21">
      <c r="A21" t="inlineStr">
        <is>
          <t>2026Q3</t>
        </is>
      </c>
      <c r="B21" s="273">
        <f>IF(원자료_분기실측!AB41="","",원자료_분기실측!AB41)</f>
        <v/>
      </c>
      <c r="C21" s="273">
        <f>IF(원자료_분기실측!AB42="","",원자료_분기실측!AB42)</f>
        <v/>
      </c>
      <c r="D21" s="278">
        <f>IFERROR(IF(OR(B21="",C21=""),"",C21/B21),"")</f>
        <v/>
      </c>
      <c r="E21" s="278">
        <f>IFERROR('근거_NSA수량(IQVIA기준)'!AB53/'근거_Ramosetron 시장 수량'!AB96,"")</f>
        <v/>
      </c>
      <c r="F21" s="326">
        <f>IF(OR(D21="",E21=""),"",D21-E21)</f>
        <v/>
      </c>
      <c r="G21" s="278">
        <f>IFERROR(IF(원자료_분기실측!AB46=0,"",원자료_분기실측!AB46),"")</f>
        <v/>
      </c>
      <c r="H21" s="278">
        <f>IFERROR('근거_NSA수량(IQVIA기준)'!AB43,"")</f>
        <v/>
      </c>
      <c r="I21" s="326">
        <f>IFERROR(IF(OR(G21="",H21=""),"",G21/H21-1),"")</f>
        <v/>
      </c>
      <c r="J21">
        <f>IF(I21="","",IF(ABS(I21)&gt;$B$6*$B$10,IF(IF(ISNUMBER(I20),ABS(I20)&gt;$B$6*$B$10,FALSE),"경보","주의"),"정상"))</f>
        <v/>
      </c>
      <c r="K21" s="278">
        <f>IFERROR(IF(원자료_분기실측!AB47=0,"",원자료_분기실측!AB47),"")</f>
        <v/>
      </c>
      <c r="L21" s="278">
        <f>IFERROR('근거_NSA수량(IQVIA기준)'!AB44,"")</f>
        <v/>
      </c>
      <c r="M21" s="326">
        <f>IFERROR(IF(OR(K21="",L21=""),"",K21/L21-1),"")</f>
        <v/>
      </c>
      <c r="N21">
        <f>IF(M21="","",IF(ABS(M21)&gt;$B$7*$B$10,IF(IF(ISNUMBER(M20),ABS(M20)&gt;$B$7*$B$10,FALSE),"경보","주의"),"정상"))</f>
        <v/>
      </c>
      <c r="O21" s="278">
        <f>IFERROR(IF(원자료_분기실측!AB48=0,"",원자료_분기실측!AB48),"")</f>
        <v/>
      </c>
      <c r="P21" s="278">
        <f>IFERROR('근거_NSA수량(IQVIA기준)'!AB45,"")</f>
        <v/>
      </c>
      <c r="Q21" s="326">
        <f>IFERROR(IF(OR(O21="",P21=""),"",O21/P21-1),"")</f>
        <v/>
      </c>
    </row>
    <row r="22">
      <c r="A22" t="inlineStr">
        <is>
          <t>2026Q4</t>
        </is>
      </c>
      <c r="B22" s="273">
        <f>IF(원자료_분기실측!AC41="","",원자료_분기실측!AC41)</f>
        <v/>
      </c>
      <c r="C22" s="273">
        <f>IF(원자료_분기실측!AC42="","",원자료_분기실측!AC42)</f>
        <v/>
      </c>
      <c r="D22" s="278">
        <f>IFERROR(IF(OR(B22="",C22=""),"",C22/B22),"")</f>
        <v/>
      </c>
      <c r="E22" s="278">
        <f>IFERROR('근거_NSA수량(IQVIA기준)'!AC53/'근거_Ramosetron 시장 수량'!AC96,"")</f>
        <v/>
      </c>
      <c r="F22" s="326">
        <f>IF(OR(D22="",E22=""),"",D22-E22)</f>
        <v/>
      </c>
      <c r="G22" s="278">
        <f>IFERROR(IF(원자료_분기실측!AC46=0,"",원자료_분기실측!AC46),"")</f>
        <v/>
      </c>
      <c r="H22" s="278">
        <f>IFERROR('근거_NSA수량(IQVIA기준)'!AC43,"")</f>
        <v/>
      </c>
      <c r="I22" s="326">
        <f>IFERROR(IF(OR(G22="",H22=""),"",G22/H22-1),"")</f>
        <v/>
      </c>
      <c r="J22">
        <f>IF(I22="","",IF(ABS(I22)&gt;$B$6*$B$10,IF(IF(ISNUMBER(I21),ABS(I21)&gt;$B$6*$B$10,FALSE),"경보","주의"),"정상"))</f>
        <v/>
      </c>
      <c r="K22" s="278">
        <f>IFERROR(IF(원자료_분기실측!AC47=0,"",원자료_분기실측!AC47),"")</f>
        <v/>
      </c>
      <c r="L22" s="278">
        <f>IFERROR('근거_NSA수량(IQVIA기준)'!AC44,"")</f>
        <v/>
      </c>
      <c r="M22" s="326">
        <f>IFERROR(IF(OR(K22="",L22=""),"",K22/L22-1),"")</f>
        <v/>
      </c>
      <c r="N22">
        <f>IF(M22="","",IF(ABS(M22)&gt;$B$7*$B$10,IF(IF(ISNUMBER(M21),ABS(M21)&gt;$B$7*$B$10,FALSE),"경보","주의"),"정상"))</f>
        <v/>
      </c>
      <c r="O22" s="278">
        <f>IFERROR(IF(원자료_분기실측!AC48=0,"",원자료_분기실측!AC48),"")</f>
        <v/>
      </c>
      <c r="P22" s="278">
        <f>IFERROR('근거_NSA수량(IQVIA기준)'!AC45,"")</f>
        <v/>
      </c>
      <c r="Q22" s="326">
        <f>IFERROR(IF(OR(O22="",P22=""),"",O22/P22-1),"")</f>
        <v/>
      </c>
    </row>
    <row r="23">
      <c r="A23" t="inlineStr">
        <is>
          <t>2027Q1</t>
        </is>
      </c>
      <c r="B23" s="273">
        <f>IF(원자료_분기실측!AD41="","",원자료_분기실측!AD41)</f>
        <v/>
      </c>
      <c r="C23" s="273">
        <f>IF(원자료_분기실측!AD42="","",원자료_분기실측!AD42)</f>
        <v/>
      </c>
      <c r="D23" s="278">
        <f>IFERROR(IF(OR(B23="",C23=""),"",C23/B23),"")</f>
        <v/>
      </c>
      <c r="E23" s="278">
        <f>IFERROR('근거_NSA수량(IQVIA기준)'!AD53/'근거_Ramosetron 시장 수량'!AD96,"")</f>
        <v/>
      </c>
      <c r="F23" s="326">
        <f>IF(OR(D23="",E23=""),"",D23-E23)</f>
        <v/>
      </c>
      <c r="G23" s="278">
        <f>IFERROR(IF(원자료_분기실측!AD46=0,"",원자료_분기실측!AD46),"")</f>
        <v/>
      </c>
      <c r="H23" s="278">
        <f>IFERROR('근거_NSA수량(IQVIA기준)'!AD43,"")</f>
        <v/>
      </c>
      <c r="I23" s="326">
        <f>IFERROR(IF(OR(G23="",H23=""),"",G23/H23-1),"")</f>
        <v/>
      </c>
      <c r="J23">
        <f>IF(I23="","",IF(ABS(I23)&gt;$B$6*$B$10,IF(IF(ISNUMBER(I22),ABS(I22)&gt;$B$6*$B$10,FALSE),"경보","주의"),"정상"))</f>
        <v/>
      </c>
      <c r="K23" s="278">
        <f>IFERROR(IF(원자료_분기실측!AD47=0,"",원자료_분기실측!AD47),"")</f>
        <v/>
      </c>
      <c r="L23" s="278">
        <f>IFERROR('근거_NSA수량(IQVIA기준)'!AD44,"")</f>
        <v/>
      </c>
      <c r="M23" s="326">
        <f>IFERROR(IF(OR(K23="",L23=""),"",K23/L23-1),"")</f>
        <v/>
      </c>
      <c r="N23">
        <f>IF(M23="","",IF(ABS(M23)&gt;$B$7*$B$10,IF(IF(ISNUMBER(M22),ABS(M22)&gt;$B$7*$B$10,FALSE),"경보","주의"),"정상"))</f>
        <v/>
      </c>
      <c r="O23" s="278">
        <f>IFERROR(IF(원자료_분기실측!AD48=0,"",원자료_분기실측!AD48),"")</f>
        <v/>
      </c>
      <c r="P23" s="278">
        <f>IFERROR('근거_NSA수량(IQVIA기준)'!AD45,"")</f>
        <v/>
      </c>
      <c r="Q23" s="326">
        <f>IFERROR(IF(OR(O23="",P23=""),"",O23/P23-1),"")</f>
        <v/>
      </c>
    </row>
    <row r="24">
      <c r="A24" t="inlineStr">
        <is>
          <t>2027Q2</t>
        </is>
      </c>
      <c r="B24" s="273">
        <f>IF(원자료_분기실측!AE41="","",원자료_분기실측!AE41)</f>
        <v/>
      </c>
      <c r="C24" s="273">
        <f>IF(원자료_분기실측!AE42="","",원자료_분기실측!AE42)</f>
        <v/>
      </c>
      <c r="D24" s="278">
        <f>IFERROR(IF(OR(B24="",C24=""),"",C24/B24),"")</f>
        <v/>
      </c>
      <c r="E24" s="278">
        <f>IFERROR('근거_NSA수량(IQVIA기준)'!AE53/'근거_Ramosetron 시장 수량'!AE96,"")</f>
        <v/>
      </c>
      <c r="F24" s="326">
        <f>IF(OR(D24="",E24=""),"",D24-E24)</f>
        <v/>
      </c>
      <c r="G24" s="278">
        <f>IFERROR(IF(원자료_분기실측!AE46=0,"",원자료_분기실측!AE46),"")</f>
        <v/>
      </c>
      <c r="H24" s="278">
        <f>IFERROR('근거_NSA수량(IQVIA기준)'!AE43,"")</f>
        <v/>
      </c>
      <c r="I24" s="326">
        <f>IFERROR(IF(OR(G24="",H24=""),"",G24/H24-1),"")</f>
        <v/>
      </c>
      <c r="J24">
        <f>IF(I24="","",IF(ABS(I24)&gt;$B$6*$B$10,IF(IF(ISNUMBER(I23),ABS(I23)&gt;$B$6*$B$10,FALSE),"경보","주의"),"정상"))</f>
        <v/>
      </c>
      <c r="K24" s="278">
        <f>IFERROR(IF(원자료_분기실측!AE47=0,"",원자료_분기실측!AE47),"")</f>
        <v/>
      </c>
      <c r="L24" s="278">
        <f>IFERROR('근거_NSA수량(IQVIA기준)'!AE44,"")</f>
        <v/>
      </c>
      <c r="M24" s="326">
        <f>IFERROR(IF(OR(K24="",L24=""),"",K24/L24-1),"")</f>
        <v/>
      </c>
      <c r="N24">
        <f>IF(M24="","",IF(ABS(M24)&gt;$B$7*$B$10,IF(IF(ISNUMBER(M23),ABS(M23)&gt;$B$7*$B$10,FALSE),"경보","주의"),"정상"))</f>
        <v/>
      </c>
      <c r="O24" s="278">
        <f>IFERROR(IF(원자료_분기실측!AE48=0,"",원자료_분기실측!AE48),"")</f>
        <v/>
      </c>
      <c r="P24" s="278">
        <f>IFERROR('근거_NSA수량(IQVIA기준)'!AE45,"")</f>
        <v/>
      </c>
      <c r="Q24" s="326">
        <f>IFERROR(IF(OR(O24="",P24=""),"",O24/P24-1),"")</f>
        <v/>
      </c>
    </row>
    <row r="25">
      <c r="A25" t="inlineStr">
        <is>
          <t>2027Q3</t>
        </is>
      </c>
      <c r="B25" s="273">
        <f>IF(원자료_분기실측!AF41="","",원자료_분기실측!AF41)</f>
        <v/>
      </c>
      <c r="C25" s="273">
        <f>IF(원자료_분기실측!AF42="","",원자료_분기실측!AF42)</f>
        <v/>
      </c>
      <c r="D25" s="278">
        <f>IFERROR(IF(OR(B25="",C25=""),"",C25/B25),"")</f>
        <v/>
      </c>
      <c r="E25" s="278">
        <f>IFERROR('근거_NSA수량(IQVIA기준)'!AF53/'근거_Ramosetron 시장 수량'!AF96,"")</f>
        <v/>
      </c>
      <c r="F25" s="326">
        <f>IF(OR(D25="",E25=""),"",D25-E25)</f>
        <v/>
      </c>
      <c r="G25" s="278">
        <f>IFERROR(IF(원자료_분기실측!AF46=0,"",원자료_분기실측!AF46),"")</f>
        <v/>
      </c>
      <c r="H25" s="278">
        <f>IFERROR('근거_NSA수량(IQVIA기준)'!AF43,"")</f>
        <v/>
      </c>
      <c r="I25" s="326">
        <f>IFERROR(IF(OR(G25="",H25=""),"",G25/H25-1),"")</f>
        <v/>
      </c>
      <c r="J25">
        <f>IF(I25="","",IF(ABS(I25)&gt;$B$6*$B$10,IF(IF(ISNUMBER(I24),ABS(I24)&gt;$B$6*$B$10,FALSE),"경보","주의"),"정상"))</f>
        <v/>
      </c>
      <c r="K25" s="278">
        <f>IFERROR(IF(원자료_분기실측!AF47=0,"",원자료_분기실측!AF47),"")</f>
        <v/>
      </c>
      <c r="L25" s="278">
        <f>IFERROR('근거_NSA수량(IQVIA기준)'!AF44,"")</f>
        <v/>
      </c>
      <c r="M25" s="326">
        <f>IFERROR(IF(OR(K25="",L25=""),"",K25/L25-1),"")</f>
        <v/>
      </c>
      <c r="N25">
        <f>IF(M25="","",IF(ABS(M25)&gt;$B$7*$B$10,IF(IF(ISNUMBER(M24),ABS(M24)&gt;$B$7*$B$10,FALSE),"경보","주의"),"정상"))</f>
        <v/>
      </c>
      <c r="O25" s="278">
        <f>IFERROR(IF(원자료_분기실측!AF48=0,"",원자료_분기실측!AF48),"")</f>
        <v/>
      </c>
      <c r="P25" s="278">
        <f>IFERROR('근거_NSA수량(IQVIA기준)'!AF45,"")</f>
        <v/>
      </c>
      <c r="Q25" s="326">
        <f>IFERROR(IF(OR(O25="",P25=""),"",O25/P25-1),"")</f>
        <v/>
      </c>
    </row>
    <row r="26">
      <c r="A26" t="inlineStr">
        <is>
          <t>2027Q4</t>
        </is>
      </c>
      <c r="B26" s="273">
        <f>IF(원자료_분기실측!AG41="","",원자료_분기실측!AG41)</f>
        <v/>
      </c>
      <c r="C26" s="273">
        <f>IF(원자료_분기실측!AG42="","",원자료_분기실측!AG42)</f>
        <v/>
      </c>
      <c r="D26" s="278">
        <f>IFERROR(IF(OR(B26="",C26=""),"",C26/B26),"")</f>
        <v/>
      </c>
      <c r="E26" s="278">
        <f>IFERROR('근거_NSA수량(IQVIA기준)'!AG53/'근거_Ramosetron 시장 수량'!AG96,"")</f>
        <v/>
      </c>
      <c r="F26" s="326">
        <f>IF(OR(D26="",E26=""),"",D26-E26)</f>
        <v/>
      </c>
      <c r="G26" s="278">
        <f>IFERROR(IF(원자료_분기실측!AG46=0,"",원자료_분기실측!AG46),"")</f>
        <v/>
      </c>
      <c r="H26" s="278">
        <f>IFERROR('근거_NSA수량(IQVIA기준)'!AG43,"")</f>
        <v/>
      </c>
      <c r="I26" s="326">
        <f>IFERROR(IF(OR(G26="",H26=""),"",G26/H26-1),"")</f>
        <v/>
      </c>
      <c r="J26">
        <f>IF(I26="","",IF(ABS(I26)&gt;$B$6*$B$10,IF(IF(ISNUMBER(I25),ABS(I25)&gt;$B$6*$B$10,FALSE),"경보","주의"),"정상"))</f>
        <v/>
      </c>
      <c r="K26" s="278">
        <f>IFERROR(IF(원자료_분기실측!AG47=0,"",원자료_분기실측!AG47),"")</f>
        <v/>
      </c>
      <c r="L26" s="278">
        <f>IFERROR('근거_NSA수량(IQVIA기준)'!AG44,"")</f>
        <v/>
      </c>
      <c r="M26" s="326">
        <f>IFERROR(IF(OR(K26="",L26=""),"",K26/L26-1),"")</f>
        <v/>
      </c>
      <c r="N26">
        <f>IF(M26="","",IF(ABS(M26)&gt;$B$7*$B$10,IF(IF(ISNUMBER(M25),ABS(M25)&gt;$B$7*$B$10,FALSE),"경보","주의"),"정상"))</f>
        <v/>
      </c>
      <c r="O26" s="278">
        <f>IFERROR(IF(원자료_분기실측!AG48=0,"",원자료_분기실측!AG48),"")</f>
        <v/>
      </c>
      <c r="P26" s="278">
        <f>IFERROR('근거_NSA수량(IQVIA기준)'!AG45,"")</f>
        <v/>
      </c>
      <c r="Q26" s="326">
        <f>IFERROR(IF(OR(O26="",P26=""),"",O26/P26-1),"")</f>
        <v/>
      </c>
    </row>
    <row r="28">
      <c r="A28" s="287" t="inlineStr">
        <is>
          <t>※ 읽는 법</t>
        </is>
      </c>
    </row>
    <row r="29">
      <c r="A29" s="322" t="inlineStr">
        <is>
          <t xml:space="preserve">  · 모델 = 근거_NSA수량 43~46행의 종별 MS 예측(실측 분기는 실측과 동일하므로 이탈 0). 새 분기 실측이 들어오면 그 분기의 예측식과 비교하려면 근거_NSA수량의 해당 분기 열 수식을 예측 수식으로 유지한 사본과 대조</t>
        </is>
      </c>
    </row>
    <row r="30">
      <c r="A30" s="322" t="inlineStr">
        <is>
          <t xml:space="preserve">  · 신호 = |이탈률| &gt; 백테스트 MAPE × 임계배수 이면 '주의', 직전 분기도 초과하면 '경보'</t>
        </is>
      </c>
    </row>
    <row r="31">
      <c r="A31" s="322" t="inlineStr">
        <is>
          <t xml:space="preserve">  · 경보가 뜨면 해당 종별 MS 예측 방식(레벨보정 하한·S-curve 상한·롤링 구간)을 재검토합니다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9AA0A8"/>
    <outlinePr summaryBelow="1" summaryRight="1"/>
    <pageSetUpPr/>
  </sheetPr>
  <dimension ref="A1:AT60"/>
  <sheetViews>
    <sheetView showGridLines="0" tabSelected="0" zoomScale="81" workbookViewId="0">
      <selection activeCell="F20" sqref="F20"/>
    </sheetView>
  </sheetViews>
  <sheetFormatPr baseColWidth="8" defaultRowHeight="17.6"/>
  <cols>
    <col width="42" customWidth="1" style="217" min="1" max="1"/>
    <col width="9.0703125" bestFit="1" customWidth="1" style="217" min="2" max="6"/>
    <col width="9.2109375" bestFit="1" customWidth="1" style="217" min="7" max="8"/>
    <col width="10.2109375" bestFit="1" customWidth="1" style="217" min="9" max="26"/>
    <col width="9.0703125" bestFit="1" customWidth="1" style="217" min="27" max="27"/>
    <col width="9.7109375" bestFit="1" customWidth="1" style="217" min="29" max="29"/>
  </cols>
  <sheetData>
    <row r="1">
      <c r="A1" s="219" t="inlineStr">
        <is>
          <t>■ 원자료 실측 통합 시트 (IQVIA / SS-Chart / 흡입마취제 / SAP), CY역년분기 기준 — 계산된 값으로 고정</t>
        </is>
      </c>
    </row>
    <row r="2">
      <c r="A2" s="219" t="n"/>
    </row>
    <row r="3">
      <c r="A3" s="38" t="inlineStr">
        <is>
          <t>구분 / CY분기 ▶</t>
        </is>
      </c>
      <c r="B3" s="38" t="inlineStr">
        <is>
          <t>2020Q1</t>
        </is>
      </c>
      <c r="C3" s="38" t="inlineStr">
        <is>
          <t>2020Q2</t>
        </is>
      </c>
      <c r="D3" s="38" t="inlineStr">
        <is>
          <t>2020Q3</t>
        </is>
      </c>
      <c r="E3" s="38" t="inlineStr">
        <is>
          <t>2020Q4</t>
        </is>
      </c>
      <c r="F3" s="38" t="inlineStr">
        <is>
          <t>2021Q1</t>
        </is>
      </c>
      <c r="G3" s="38" t="inlineStr">
        <is>
          <t>2021Q2</t>
        </is>
      </c>
      <c r="H3" s="38" t="inlineStr">
        <is>
          <t>2021Q3</t>
        </is>
      </c>
      <c r="I3" s="38" t="inlineStr">
        <is>
          <t>2021Q4</t>
        </is>
      </c>
      <c r="J3" s="38" t="inlineStr">
        <is>
          <t>2022Q1</t>
        </is>
      </c>
      <c r="K3" s="38" t="inlineStr">
        <is>
          <t>2022Q2</t>
        </is>
      </c>
      <c r="L3" s="38" t="inlineStr">
        <is>
          <t>2022Q3</t>
        </is>
      </c>
      <c r="M3" s="38" t="inlineStr">
        <is>
          <t>2022Q4</t>
        </is>
      </c>
      <c r="N3" s="38" t="inlineStr">
        <is>
          <t>2023Q1</t>
        </is>
      </c>
      <c r="O3" s="38" t="inlineStr">
        <is>
          <t>2023Q2</t>
        </is>
      </c>
      <c r="P3" s="38" t="inlineStr">
        <is>
          <t>2023Q3</t>
        </is>
      </c>
      <c r="Q3" s="38" t="inlineStr">
        <is>
          <t>2023Q4</t>
        </is>
      </c>
      <c r="R3" s="38" t="inlineStr">
        <is>
          <t>2024Q1</t>
        </is>
      </c>
      <c r="S3" s="38" t="inlineStr">
        <is>
          <t>2024Q2</t>
        </is>
      </c>
      <c r="T3" s="38" t="inlineStr">
        <is>
          <t>2024Q3</t>
        </is>
      </c>
      <c r="U3" s="38" t="inlineStr">
        <is>
          <t>2024Q4</t>
        </is>
      </c>
      <c r="V3" s="38" t="inlineStr">
        <is>
          <t>2025Q1</t>
        </is>
      </c>
      <c r="W3" s="38" t="inlineStr">
        <is>
          <t>2025Q2</t>
        </is>
      </c>
      <c r="X3" s="38" t="inlineStr">
        <is>
          <t>2025Q3</t>
        </is>
      </c>
      <c r="Y3" s="38" t="inlineStr">
        <is>
          <t>2025Q4</t>
        </is>
      </c>
      <c r="Z3" s="38" t="inlineStr">
        <is>
          <t>2026Q1</t>
        </is>
      </c>
      <c r="AA3" s="111" t="inlineStr">
        <is>
          <t>2026Q2</t>
        </is>
      </c>
      <c r="AB3" s="111" t="inlineStr">
        <is>
          <t>2026Q3</t>
        </is>
      </c>
      <c r="AC3" s="111" t="inlineStr">
        <is>
          <t>2026Q4</t>
        </is>
      </c>
      <c r="AD3" s="111" t="inlineStr">
        <is>
          <t>2027Q1</t>
        </is>
      </c>
      <c r="AE3" s="111" t="inlineStr">
        <is>
          <t>2027Q2</t>
        </is>
      </c>
      <c r="AF3" s="111" t="inlineStr">
        <is>
          <t>2027Q3</t>
        </is>
      </c>
      <c r="AG3" s="111" t="inlineStr">
        <is>
          <t>2027Q4</t>
        </is>
      </c>
      <c r="AH3" s="111" t="inlineStr">
        <is>
          <t>2028Q1</t>
        </is>
      </c>
      <c r="AI3" s="111" t="inlineStr">
        <is>
          <t>2028Q2</t>
        </is>
      </c>
      <c r="AJ3" s="111" t="inlineStr">
        <is>
          <t>2028Q3</t>
        </is>
      </c>
      <c r="AK3" s="111" t="inlineStr">
        <is>
          <t>2028Q4</t>
        </is>
      </c>
      <c r="AL3" s="111" t="inlineStr">
        <is>
          <t>2029Q1</t>
        </is>
      </c>
      <c r="AM3" s="111" t="inlineStr">
        <is>
          <t>2029Q2</t>
        </is>
      </c>
      <c r="AN3" s="111" t="inlineStr">
        <is>
          <t>2029Q3</t>
        </is>
      </c>
      <c r="AO3" s="111" t="inlineStr">
        <is>
          <t>2029Q4</t>
        </is>
      </c>
      <c r="AP3" s="111" t="inlineStr">
        <is>
          <t>2030Q1</t>
        </is>
      </c>
      <c r="AQ3" s="111" t="inlineStr">
        <is>
          <t>2030Q2</t>
        </is>
      </c>
      <c r="AR3" s="111" t="inlineStr">
        <is>
          <t>2030Q3</t>
        </is>
      </c>
      <c r="AS3" s="111" t="inlineStr">
        <is>
          <t>2030Q4</t>
        </is>
      </c>
      <c r="AT3" s="111" t="inlineStr">
        <is>
          <t>2031Q1</t>
        </is>
      </c>
    </row>
    <row r="4">
      <c r="A4" s="41" t="inlineStr">
        <is>
          <t>■ A. HIRA 기준 종별 전신마취환자수</t>
        </is>
      </c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  <c r="M4" s="41" t="n"/>
      <c r="N4" s="41" t="n"/>
      <c r="O4" s="41" t="n"/>
      <c r="P4" s="41" t="n"/>
      <c r="Q4" s="41" t="n"/>
      <c r="R4" s="41" t="n"/>
      <c r="S4" s="41" t="n"/>
      <c r="T4" s="41" t="n"/>
      <c r="U4" s="41" t="n"/>
      <c r="V4" s="41" t="n"/>
      <c r="W4" s="41" t="n"/>
      <c r="X4" s="41" t="n"/>
      <c r="Y4" s="41" t="n"/>
      <c r="Z4" s="41" t="n"/>
    </row>
    <row r="5">
      <c r="A5" s="219" t="inlineStr">
        <is>
          <t>[HIRA] 상급종합병원 전신마취환자수(월별집계)</t>
        </is>
      </c>
      <c r="B5" s="208" t="n">
        <v>121507</v>
      </c>
      <c r="C5" s="208" t="n">
        <v>112359</v>
      </c>
      <c r="D5" s="208" t="n">
        <v>107807</v>
      </c>
      <c r="E5" s="208" t="n">
        <v>118209</v>
      </c>
      <c r="F5" s="208" t="n">
        <v>129569</v>
      </c>
      <c r="G5" s="208" t="n">
        <v>129001</v>
      </c>
      <c r="H5" s="208" t="n">
        <v>129209</v>
      </c>
      <c r="I5" s="208" t="n">
        <v>129391</v>
      </c>
      <c r="J5" s="208" t="n">
        <v>125360</v>
      </c>
      <c r="K5" s="208" t="n">
        <v>128630</v>
      </c>
      <c r="L5" s="208" t="n">
        <v>131431</v>
      </c>
      <c r="M5" s="208" t="n">
        <v>130441</v>
      </c>
      <c r="N5" s="208" t="n">
        <v>138940</v>
      </c>
      <c r="O5" s="208" t="n">
        <v>129917</v>
      </c>
      <c r="P5" s="208" t="n">
        <v>131225</v>
      </c>
      <c r="Q5" s="208" t="n">
        <v>129772</v>
      </c>
      <c r="R5" s="208" t="n">
        <v>114383</v>
      </c>
      <c r="S5" s="208" t="n">
        <v>88246</v>
      </c>
      <c r="T5" s="208" t="n">
        <v>97292</v>
      </c>
      <c r="U5" s="208" t="n">
        <v>98980</v>
      </c>
      <c r="V5" s="208" t="n">
        <v>104763</v>
      </c>
      <c r="W5" s="208" t="n">
        <v>105161</v>
      </c>
      <c r="X5" s="208" t="n">
        <v>119497</v>
      </c>
      <c r="Y5" s="208" t="n">
        <v>116712</v>
      </c>
    </row>
    <row r="6">
      <c r="A6" s="219" t="inlineStr">
        <is>
          <t>[HIRA] 종합병원 전신마취환자수(월별집계)</t>
        </is>
      </c>
      <c r="B6" s="208" t="n">
        <v>103896</v>
      </c>
      <c r="C6" s="208" t="n">
        <v>100040</v>
      </c>
      <c r="D6" s="208" t="n">
        <v>105905</v>
      </c>
      <c r="E6" s="208" t="n">
        <v>104829</v>
      </c>
      <c r="F6" s="208" t="n">
        <v>104324</v>
      </c>
      <c r="G6" s="208" t="n">
        <v>104109</v>
      </c>
      <c r="H6" s="208" t="n">
        <v>107883</v>
      </c>
      <c r="I6" s="208" t="n">
        <v>107619</v>
      </c>
      <c r="J6" s="208" t="n">
        <v>103354</v>
      </c>
      <c r="K6" s="208" t="n">
        <v>109928</v>
      </c>
      <c r="L6" s="208" t="n">
        <v>114627</v>
      </c>
      <c r="M6" s="208" t="n">
        <v>112868</v>
      </c>
      <c r="N6" s="208" t="n">
        <v>120284</v>
      </c>
      <c r="O6" s="208" t="n">
        <v>114749</v>
      </c>
      <c r="P6" s="208" t="n">
        <v>118829</v>
      </c>
      <c r="Q6" s="208" t="n">
        <v>116672</v>
      </c>
      <c r="R6" s="208" t="n">
        <v>120108</v>
      </c>
      <c r="S6" s="208" t="n">
        <v>118081</v>
      </c>
      <c r="T6" s="208" t="n">
        <v>124776</v>
      </c>
      <c r="U6" s="208" t="n">
        <v>124617</v>
      </c>
      <c r="V6" s="208" t="n">
        <v>129463</v>
      </c>
      <c r="W6" s="208" t="n">
        <v>125450</v>
      </c>
      <c r="X6" s="208" t="n">
        <v>137121</v>
      </c>
      <c r="Y6" s="208" t="n">
        <v>123702</v>
      </c>
    </row>
    <row r="7">
      <c r="A7" s="219" t="inlineStr">
        <is>
          <t>[HIRA] 병원급 전신마취환자수(월별집계)</t>
        </is>
      </c>
      <c r="B7" s="208" t="n">
        <v>61444</v>
      </c>
      <c r="C7" s="208" t="n">
        <v>60731</v>
      </c>
      <c r="D7" s="208" t="n">
        <v>61660</v>
      </c>
      <c r="E7" s="208" t="n">
        <v>62416</v>
      </c>
      <c r="F7" s="208" t="n">
        <v>66795</v>
      </c>
      <c r="G7" s="208" t="n">
        <v>62144</v>
      </c>
      <c r="H7" s="208" t="n">
        <v>60967</v>
      </c>
      <c r="I7" s="208" t="n">
        <v>63172</v>
      </c>
      <c r="J7" s="208" t="n">
        <v>61126</v>
      </c>
      <c r="K7" s="208" t="n">
        <v>61179</v>
      </c>
      <c r="L7" s="208" t="n">
        <v>59287</v>
      </c>
      <c r="M7" s="208" t="n">
        <v>61187</v>
      </c>
      <c r="N7" s="208" t="n">
        <v>66259</v>
      </c>
      <c r="O7" s="208" t="n">
        <v>60123</v>
      </c>
      <c r="P7" s="208" t="n">
        <v>58694</v>
      </c>
      <c r="Q7" s="208" t="n">
        <v>59386</v>
      </c>
      <c r="R7" s="208" t="n">
        <v>66016</v>
      </c>
      <c r="S7" s="208" t="n">
        <v>65517</v>
      </c>
      <c r="T7" s="208" t="n">
        <v>65429</v>
      </c>
      <c r="U7" s="208" t="n">
        <v>67114</v>
      </c>
      <c r="V7" s="208" t="n">
        <v>70846</v>
      </c>
      <c r="W7" s="208" t="n">
        <v>67736</v>
      </c>
      <c r="X7" s="208" t="n">
        <v>68514</v>
      </c>
      <c r="Y7" s="208" t="n">
        <v>64912</v>
      </c>
    </row>
    <row r="8">
      <c r="A8" s="219" t="inlineStr">
        <is>
          <t>[HIRA] 의원급 전신마취환자수(월별집계)</t>
        </is>
      </c>
      <c r="B8" s="208" t="n">
        <v>11210</v>
      </c>
      <c r="C8" s="208" t="n">
        <v>11118</v>
      </c>
      <c r="D8" s="208" t="n">
        <v>12076</v>
      </c>
      <c r="E8" s="208" t="n">
        <v>12920</v>
      </c>
      <c r="F8" s="208" t="n">
        <v>14274</v>
      </c>
      <c r="G8" s="208" t="n">
        <v>13577</v>
      </c>
      <c r="H8" s="208" t="n">
        <v>13403</v>
      </c>
      <c r="I8" s="208" t="n">
        <v>14203</v>
      </c>
      <c r="J8" s="208" t="n">
        <v>14514</v>
      </c>
      <c r="K8" s="208" t="n">
        <v>15038</v>
      </c>
      <c r="L8" s="208" t="n">
        <v>15648</v>
      </c>
      <c r="M8" s="208" t="n">
        <v>15929</v>
      </c>
      <c r="N8" s="208" t="n">
        <v>17218</v>
      </c>
      <c r="O8" s="208" t="n">
        <v>16789</v>
      </c>
      <c r="P8" s="208" t="n">
        <v>16833</v>
      </c>
      <c r="Q8" s="208" t="n">
        <v>17360</v>
      </c>
      <c r="R8" s="208" t="n">
        <v>19907</v>
      </c>
      <c r="S8" s="208" t="n">
        <v>19853</v>
      </c>
      <c r="T8" s="208" t="n">
        <v>20622</v>
      </c>
      <c r="U8" s="208" t="n">
        <v>22158</v>
      </c>
      <c r="V8" s="208" t="n">
        <v>23936</v>
      </c>
      <c r="W8" s="208" t="n">
        <v>24213</v>
      </c>
      <c r="X8" s="208" t="n">
        <v>25626</v>
      </c>
      <c r="Y8" s="208" t="n">
        <v>25008</v>
      </c>
    </row>
    <row r="9">
      <c r="A9" s="219" t="inlineStr">
        <is>
          <t>[HIRA] 의원급 전신마취환자수 합계</t>
        </is>
      </c>
      <c r="B9" s="152">
        <f>SUM(B5:B8)</f>
        <v/>
      </c>
      <c r="C9" s="152">
        <f>SUM(C5:C8)</f>
        <v/>
      </c>
      <c r="D9" s="152">
        <f>SUM(D5:D8)</f>
        <v/>
      </c>
      <c r="E9" s="152">
        <f>SUM(E5:E8)</f>
        <v/>
      </c>
      <c r="F9" s="152">
        <f>SUM(F5:F8)</f>
        <v/>
      </c>
      <c r="G9" s="152">
        <f>SUM(G5:G8)</f>
        <v/>
      </c>
      <c r="H9" s="152">
        <f>SUM(H5:H8)</f>
        <v/>
      </c>
      <c r="I9" s="152">
        <f>SUM(I5:I8)</f>
        <v/>
      </c>
      <c r="J9" s="152">
        <f>SUM(J5:J8)</f>
        <v/>
      </c>
      <c r="K9" s="152">
        <f>SUM(K5:K8)</f>
        <v/>
      </c>
      <c r="L9" s="152">
        <f>SUM(L5:L8)</f>
        <v/>
      </c>
      <c r="M9" s="152">
        <f>SUM(M5:M8)</f>
        <v/>
      </c>
      <c r="N9" s="152">
        <f>SUM(N5:N8)</f>
        <v/>
      </c>
      <c r="O9" s="152">
        <f>SUM(O5:O8)</f>
        <v/>
      </c>
      <c r="P9" s="152">
        <f>SUM(P5:P8)</f>
        <v/>
      </c>
      <c r="Q9" s="152">
        <f>SUM(Q5:Q8)</f>
        <v/>
      </c>
      <c r="R9" s="152">
        <f>SUM(R5:R8)</f>
        <v/>
      </c>
      <c r="S9" s="152">
        <f>SUM(S5:S8)</f>
        <v/>
      </c>
      <c r="T9" s="152">
        <f>SUM(T5:T8)</f>
        <v/>
      </c>
      <c r="U9" s="152">
        <f>SUM(U5:U8)</f>
        <v/>
      </c>
      <c r="V9" s="152">
        <f>SUM(V5:V8)</f>
        <v/>
      </c>
      <c r="W9" s="152">
        <f>SUM(W5:W8)</f>
        <v/>
      </c>
      <c r="X9" s="152">
        <f>SUM(X5:X8)</f>
        <v/>
      </c>
      <c r="Y9" s="152">
        <f>SUM(Y5:Y8)</f>
        <v/>
      </c>
    </row>
    <row r="11">
      <c r="A11" s="219" t="inlineStr">
        <is>
          <t>[전신마취환자수] 상급종합병원 비율</t>
        </is>
      </c>
      <c r="B11" s="118">
        <f>B5/B$9</f>
        <v/>
      </c>
      <c r="C11" s="118">
        <f>C5/C$9</f>
        <v/>
      </c>
      <c r="D11" s="118">
        <f>D5/D$9</f>
        <v/>
      </c>
      <c r="E11" s="118">
        <f>E5/E$9</f>
        <v/>
      </c>
      <c r="F11" s="118">
        <f>F5/F$9</f>
        <v/>
      </c>
      <c r="G11" s="118">
        <f>G5/G$9</f>
        <v/>
      </c>
      <c r="H11" s="118">
        <f>H5/H$9</f>
        <v/>
      </c>
      <c r="I11" s="118">
        <f>I5/I$9</f>
        <v/>
      </c>
      <c r="J11" s="118">
        <f>J5/J$9</f>
        <v/>
      </c>
      <c r="K11" s="118">
        <f>K5/K$9</f>
        <v/>
      </c>
      <c r="L11" s="118">
        <f>L5/L$9</f>
        <v/>
      </c>
      <c r="M11" s="118">
        <f>M5/M$9</f>
        <v/>
      </c>
      <c r="N11" s="118">
        <f>N5/N$9</f>
        <v/>
      </c>
      <c r="O11" s="118">
        <f>O5/O$9</f>
        <v/>
      </c>
      <c r="P11" s="118">
        <f>P5/P$9</f>
        <v/>
      </c>
      <c r="Q11" s="118">
        <f>Q5/Q$9</f>
        <v/>
      </c>
      <c r="R11" s="118">
        <f>R5/R$9</f>
        <v/>
      </c>
      <c r="S11" s="153">
        <f>S5/S$9</f>
        <v/>
      </c>
      <c r="T11" s="118">
        <f>T5/T$9</f>
        <v/>
      </c>
      <c r="U11" s="118">
        <f>U5/U$9</f>
        <v/>
      </c>
      <c r="V11" s="118">
        <f>V5/V$9</f>
        <v/>
      </c>
      <c r="W11" s="118">
        <f>W5/W$9</f>
        <v/>
      </c>
      <c r="X11" s="118">
        <f>X5/X$9</f>
        <v/>
      </c>
      <c r="Y11" s="118">
        <f>Y5/Y$9</f>
        <v/>
      </c>
      <c r="Z11" s="113" t="n"/>
    </row>
    <row r="12">
      <c r="A12" s="219" t="inlineStr">
        <is>
          <t>[전신마취환자수] 종합병원 비율</t>
        </is>
      </c>
      <c r="B12" s="118">
        <f>B6/B$9</f>
        <v/>
      </c>
      <c r="C12" s="118">
        <f>C6/C$9</f>
        <v/>
      </c>
      <c r="D12" s="118">
        <f>D6/D$9</f>
        <v/>
      </c>
      <c r="E12" s="118">
        <f>E6/E$9</f>
        <v/>
      </c>
      <c r="F12" s="118">
        <f>F6/F$9</f>
        <v/>
      </c>
      <c r="G12" s="118">
        <f>G6/G$9</f>
        <v/>
      </c>
      <c r="H12" s="118">
        <f>H6/H$9</f>
        <v/>
      </c>
      <c r="I12" s="118">
        <f>I6/I$9</f>
        <v/>
      </c>
      <c r="J12" s="118">
        <f>J6/J$9</f>
        <v/>
      </c>
      <c r="K12" s="118">
        <f>K6/K$9</f>
        <v/>
      </c>
      <c r="L12" s="118">
        <f>L6/L$9</f>
        <v/>
      </c>
      <c r="M12" s="118">
        <f>M6/M$9</f>
        <v/>
      </c>
      <c r="N12" s="118">
        <f>N6/N$9</f>
        <v/>
      </c>
      <c r="O12" s="118">
        <f>O6/O$9</f>
        <v/>
      </c>
      <c r="P12" s="118">
        <f>P6/P$9</f>
        <v/>
      </c>
      <c r="Q12" s="118">
        <f>Q6/Q$9</f>
        <v/>
      </c>
      <c r="R12" s="118">
        <f>R6/R$9</f>
        <v/>
      </c>
      <c r="S12" s="118">
        <f>S6/S$9</f>
        <v/>
      </c>
      <c r="T12" s="118">
        <f>T6/T$9</f>
        <v/>
      </c>
      <c r="U12" s="118">
        <f>U6/U$9</f>
        <v/>
      </c>
      <c r="V12" s="118">
        <f>V6/V$9</f>
        <v/>
      </c>
      <c r="W12" s="118">
        <f>W6/W$9</f>
        <v/>
      </c>
      <c r="X12" s="118">
        <f>X6/X$9</f>
        <v/>
      </c>
      <c r="Y12" s="118">
        <f>Y6/Y$9</f>
        <v/>
      </c>
      <c r="Z12" s="113" t="n"/>
    </row>
    <row r="13">
      <c r="A13" s="219" t="inlineStr">
        <is>
          <t>[전신마취환자수] 병원 비율</t>
        </is>
      </c>
      <c r="B13" s="118">
        <f>B7/B$9</f>
        <v/>
      </c>
      <c r="C13" s="118">
        <f>C7/C$9</f>
        <v/>
      </c>
      <c r="D13" s="118">
        <f>D7/D$9</f>
        <v/>
      </c>
      <c r="E13" s="118">
        <f>E7/E$9</f>
        <v/>
      </c>
      <c r="F13" s="118">
        <f>F7/F$9</f>
        <v/>
      </c>
      <c r="G13" s="118">
        <f>G7/G$9</f>
        <v/>
      </c>
      <c r="H13" s="118">
        <f>H7/H$9</f>
        <v/>
      </c>
      <c r="I13" s="118">
        <f>I7/I$9</f>
        <v/>
      </c>
      <c r="J13" s="118">
        <f>J7/J$9</f>
        <v/>
      </c>
      <c r="K13" s="118">
        <f>K7/K$9</f>
        <v/>
      </c>
      <c r="L13" s="118">
        <f>L7/L$9</f>
        <v/>
      </c>
      <c r="M13" s="118">
        <f>M7/M$9</f>
        <v/>
      </c>
      <c r="N13" s="118">
        <f>N7/N$9</f>
        <v/>
      </c>
      <c r="O13" s="118">
        <f>O7/O$9</f>
        <v/>
      </c>
      <c r="P13" s="118">
        <f>P7/P$9</f>
        <v/>
      </c>
      <c r="Q13" s="118">
        <f>Q7/Q$9</f>
        <v/>
      </c>
      <c r="R13" s="118">
        <f>R7/R$9</f>
        <v/>
      </c>
      <c r="S13" s="118">
        <f>S7/S$9</f>
        <v/>
      </c>
      <c r="T13" s="118">
        <f>T7/T$9</f>
        <v/>
      </c>
      <c r="U13" s="118">
        <f>U7/U$9</f>
        <v/>
      </c>
      <c r="V13" s="118">
        <f>V7/V$9</f>
        <v/>
      </c>
      <c r="W13" s="118">
        <f>W7/W$9</f>
        <v/>
      </c>
      <c r="X13" s="118">
        <f>X7/X$9</f>
        <v/>
      </c>
      <c r="Y13" s="118">
        <f>Y7/Y$9</f>
        <v/>
      </c>
      <c r="Z13" s="113" t="n"/>
    </row>
    <row r="14">
      <c r="A14" s="219" t="inlineStr">
        <is>
          <t>[전신마취환자수] 의원 비율</t>
        </is>
      </c>
      <c r="B14" s="118">
        <f>B8/B$9</f>
        <v/>
      </c>
      <c r="C14" s="118">
        <f>C8/C$9</f>
        <v/>
      </c>
      <c r="D14" s="118">
        <f>D8/D$9</f>
        <v/>
      </c>
      <c r="E14" s="118">
        <f>E8/E$9</f>
        <v/>
      </c>
      <c r="F14" s="118">
        <f>F8/F$9</f>
        <v/>
      </c>
      <c r="G14" s="118">
        <f>G8/G$9</f>
        <v/>
      </c>
      <c r="H14" s="118">
        <f>H8/H$9</f>
        <v/>
      </c>
      <c r="I14" s="118">
        <f>I8/I$9</f>
        <v/>
      </c>
      <c r="J14" s="118">
        <f>J8/J$9</f>
        <v/>
      </c>
      <c r="K14" s="118">
        <f>K8/K$9</f>
        <v/>
      </c>
      <c r="L14" s="118">
        <f>L8/L$9</f>
        <v/>
      </c>
      <c r="M14" s="118">
        <f>M8/M$9</f>
        <v/>
      </c>
      <c r="N14" s="118">
        <f>N8/N$9</f>
        <v/>
      </c>
      <c r="O14" s="118">
        <f>O8/O$9</f>
        <v/>
      </c>
      <c r="P14" s="118">
        <f>P8/P$9</f>
        <v/>
      </c>
      <c r="Q14" s="118">
        <f>Q8/Q$9</f>
        <v/>
      </c>
      <c r="R14" s="118">
        <f>R8/R$9</f>
        <v/>
      </c>
      <c r="S14" s="118">
        <f>S8/S$9</f>
        <v/>
      </c>
      <c r="T14" s="118">
        <f>T8/T$9</f>
        <v/>
      </c>
      <c r="U14" s="118">
        <f>U8/U$9</f>
        <v/>
      </c>
      <c r="V14" s="118">
        <f>V8/V$9</f>
        <v/>
      </c>
      <c r="W14" s="118">
        <f>W8/W$9</f>
        <v/>
      </c>
      <c r="X14" s="118">
        <f>X8/X$9</f>
        <v/>
      </c>
      <c r="Y14" s="118">
        <f>Y8/Y$9</f>
        <v/>
      </c>
      <c r="Z14" s="113" t="n"/>
    </row>
    <row r="16">
      <c r="A16" s="41" t="inlineStr">
        <is>
          <t>■ B. HIRA 기준 흡입마취제 사용량의 종별 비율 (%)</t>
        </is>
      </c>
      <c r="B16" s="41" t="n"/>
      <c r="C16" s="41" t="n"/>
      <c r="D16" s="41" t="n"/>
      <c r="E16" s="41" t="n"/>
      <c r="F16" s="41" t="n"/>
      <c r="G16" s="41" t="n"/>
      <c r="H16" s="41" t="n"/>
      <c r="I16" s="41" t="n"/>
      <c r="J16" s="41" t="n"/>
      <c r="K16" s="41" t="n"/>
      <c r="L16" s="41" t="n"/>
      <c r="M16" s="41" t="n"/>
      <c r="N16" s="41" t="n"/>
      <c r="O16" s="41" t="n"/>
      <c r="P16" s="41" t="n"/>
      <c r="Q16" s="41" t="n"/>
      <c r="R16" s="41" t="n"/>
      <c r="S16" s="41" t="n"/>
      <c r="T16" s="41" t="n"/>
      <c r="U16" s="41" t="n"/>
      <c r="V16" s="41" t="n"/>
      <c r="W16" s="41" t="n"/>
      <c r="X16" s="41" t="n"/>
      <c r="Y16" s="41" t="n"/>
      <c r="Z16" s="41" t="n"/>
    </row>
    <row r="17">
      <c r="A17" s="219" t="inlineStr">
        <is>
          <t>[흡입마취제] 상급종합병원 수량</t>
        </is>
      </c>
      <c r="B17" s="208" t="n">
        <v>34272</v>
      </c>
      <c r="C17" s="208" t="n">
        <v>32171</v>
      </c>
      <c r="D17" s="208" t="n">
        <v>30099</v>
      </c>
      <c r="E17" s="208" t="n">
        <v>33777</v>
      </c>
      <c r="F17" s="208" t="n">
        <v>36985</v>
      </c>
      <c r="G17" s="208" t="n">
        <v>36942</v>
      </c>
      <c r="H17" s="208" t="n">
        <v>44976</v>
      </c>
      <c r="I17" s="208" t="n">
        <v>82973</v>
      </c>
      <c r="J17" s="208" t="n">
        <v>78885</v>
      </c>
      <c r="K17" s="208" t="n">
        <v>76764</v>
      </c>
      <c r="L17" s="208" t="n">
        <v>88250</v>
      </c>
      <c r="M17" s="208" t="n">
        <v>84781</v>
      </c>
      <c r="N17" s="208" t="n">
        <v>94417</v>
      </c>
      <c r="O17" s="208" t="n">
        <v>82526</v>
      </c>
      <c r="P17" s="208" t="n">
        <v>92689</v>
      </c>
      <c r="Q17" s="208" t="n">
        <v>84710</v>
      </c>
      <c r="R17" s="208" t="n">
        <v>71567</v>
      </c>
      <c r="S17" s="208" t="n">
        <v>43989</v>
      </c>
      <c r="T17" s="208" t="n">
        <v>55937</v>
      </c>
      <c r="U17" s="208" t="n">
        <v>56622</v>
      </c>
      <c r="V17" s="208" t="n">
        <v>60740</v>
      </c>
      <c r="W17" s="208" t="n">
        <v>61061</v>
      </c>
      <c r="X17" s="208" t="n">
        <v>67835</v>
      </c>
      <c r="Y17" s="208" t="n">
        <v>64936</v>
      </c>
      <c r="Z17" s="208" t="n">
        <v>71159</v>
      </c>
    </row>
    <row r="18">
      <c r="A18" s="219" t="inlineStr">
        <is>
          <t>[흡입마취제] 종합병원 수량</t>
        </is>
      </c>
      <c r="B18" s="208" t="n">
        <v>28075</v>
      </c>
      <c r="C18" s="208" t="n">
        <v>26257</v>
      </c>
      <c r="D18" s="208" t="n">
        <v>28698</v>
      </c>
      <c r="E18" s="208" t="n">
        <v>29626</v>
      </c>
      <c r="F18" s="208" t="n">
        <v>28237</v>
      </c>
      <c r="G18" s="208" t="n">
        <v>28438</v>
      </c>
      <c r="H18" s="208" t="n">
        <v>29552</v>
      </c>
      <c r="I18" s="208" t="n">
        <v>46488</v>
      </c>
      <c r="J18" s="208" t="n">
        <v>50221</v>
      </c>
      <c r="K18" s="208" t="n">
        <v>50364</v>
      </c>
      <c r="L18" s="208" t="n">
        <v>50839</v>
      </c>
      <c r="M18" s="208" t="n">
        <v>49059</v>
      </c>
      <c r="N18" s="208" t="n">
        <v>64926</v>
      </c>
      <c r="O18" s="208" t="n">
        <v>47574</v>
      </c>
      <c r="P18" s="208" t="n">
        <v>52071</v>
      </c>
      <c r="Q18" s="208" t="n">
        <v>48638</v>
      </c>
      <c r="R18" s="208" t="n">
        <v>52754</v>
      </c>
      <c r="S18" s="208" t="n">
        <v>51020</v>
      </c>
      <c r="T18" s="208" t="n">
        <v>58229</v>
      </c>
      <c r="U18" s="208" t="n">
        <v>71947</v>
      </c>
      <c r="V18" s="208" t="n">
        <v>75218</v>
      </c>
      <c r="W18" s="208" t="n">
        <v>62076</v>
      </c>
      <c r="X18" s="208" t="n">
        <v>62046</v>
      </c>
      <c r="Y18" s="208" t="n">
        <v>53535</v>
      </c>
      <c r="Z18" s="208" t="n">
        <v>57750</v>
      </c>
    </row>
    <row r="19">
      <c r="A19" s="219" t="inlineStr">
        <is>
          <t>[흡입마취제] 병원 수량</t>
        </is>
      </c>
      <c r="B19" s="208" t="n">
        <v>24265</v>
      </c>
      <c r="C19" s="208" t="n">
        <v>23810</v>
      </c>
      <c r="D19" s="208" t="n">
        <v>25033</v>
      </c>
      <c r="E19" s="208" t="n">
        <v>24165</v>
      </c>
      <c r="F19" s="208" t="n">
        <v>22666</v>
      </c>
      <c r="G19" s="208" t="n">
        <v>18347</v>
      </c>
      <c r="H19" s="208" t="n">
        <v>13231</v>
      </c>
      <c r="I19" s="208" t="n">
        <v>20347</v>
      </c>
      <c r="J19" s="208" t="n">
        <v>20924</v>
      </c>
      <c r="K19" s="208" t="n">
        <v>20399</v>
      </c>
      <c r="L19" s="208" t="n">
        <v>17642</v>
      </c>
      <c r="M19" s="208" t="n">
        <v>24013</v>
      </c>
      <c r="N19" s="208" t="n">
        <v>21472</v>
      </c>
      <c r="O19" s="208" t="n">
        <v>18740</v>
      </c>
      <c r="P19" s="208" t="n">
        <v>16493</v>
      </c>
      <c r="Q19" s="208" t="n">
        <v>15156</v>
      </c>
      <c r="R19" s="208" t="n">
        <v>16755</v>
      </c>
      <c r="S19" s="208" t="n">
        <v>17074</v>
      </c>
      <c r="T19" s="208" t="n">
        <v>21314</v>
      </c>
      <c r="U19" s="208" t="n">
        <v>17110</v>
      </c>
      <c r="V19" s="208" t="n">
        <v>17224</v>
      </c>
      <c r="W19" s="208" t="n">
        <v>19061</v>
      </c>
      <c r="X19" s="208" t="n">
        <v>18127</v>
      </c>
      <c r="Y19" s="208" t="n">
        <v>15414</v>
      </c>
      <c r="Z19" s="208" t="n">
        <v>15471</v>
      </c>
    </row>
    <row r="20">
      <c r="A20" s="219" t="inlineStr">
        <is>
          <t>[흡입마취제] 의원 수량</t>
        </is>
      </c>
      <c r="B20" s="208" t="n">
        <v>2362</v>
      </c>
      <c r="C20" s="208" t="n">
        <v>1971</v>
      </c>
      <c r="D20" s="208" t="n">
        <v>2482</v>
      </c>
      <c r="E20" s="208" t="n">
        <v>2472</v>
      </c>
      <c r="F20" s="208" t="n">
        <v>3213</v>
      </c>
      <c r="G20" s="208" t="n">
        <v>1651</v>
      </c>
      <c r="H20" s="208" t="n">
        <v>1631</v>
      </c>
      <c r="I20" s="208" t="n">
        <v>3077</v>
      </c>
      <c r="J20" s="208" t="n">
        <v>2933</v>
      </c>
      <c r="K20" s="208" t="n">
        <v>2421</v>
      </c>
      <c r="L20" s="208" t="n">
        <v>2748</v>
      </c>
      <c r="M20" s="208" t="n">
        <v>2766</v>
      </c>
      <c r="N20" s="208" t="n">
        <v>3132</v>
      </c>
      <c r="O20" s="208" t="n">
        <v>2597</v>
      </c>
      <c r="P20" s="208" t="n">
        <v>2660</v>
      </c>
      <c r="Q20" s="208" t="n">
        <v>2730</v>
      </c>
      <c r="R20" s="208" t="n">
        <v>3104</v>
      </c>
      <c r="S20" s="208" t="n">
        <v>2627</v>
      </c>
      <c r="T20" s="208" t="n">
        <v>2841</v>
      </c>
      <c r="U20" s="208" t="n">
        <v>2909</v>
      </c>
      <c r="V20" s="208" t="n">
        <v>3106</v>
      </c>
      <c r="W20" s="208" t="n">
        <v>3053</v>
      </c>
      <c r="X20" s="208" t="n">
        <v>3138</v>
      </c>
      <c r="Y20" s="208" t="n">
        <v>3013</v>
      </c>
      <c r="Z20" s="208" t="n">
        <v>3209</v>
      </c>
    </row>
    <row r="21">
      <c r="A21" s="219" t="inlineStr">
        <is>
          <t>[흡입마취제] 합계</t>
        </is>
      </c>
      <c r="B21" s="122">
        <f>SUM(B17:B20)</f>
        <v/>
      </c>
      <c r="C21" s="122">
        <f>SUM(C17:C20)</f>
        <v/>
      </c>
      <c r="D21" s="122">
        <f>SUM(D17:D20)</f>
        <v/>
      </c>
      <c r="E21" s="122">
        <f>SUM(E17:E20)</f>
        <v/>
      </c>
      <c r="F21" s="122">
        <f>SUM(F17:F20)</f>
        <v/>
      </c>
      <c r="G21" s="122">
        <f>SUM(G17:G20)</f>
        <v/>
      </c>
      <c r="H21" s="122">
        <f>SUM(H17:H20)</f>
        <v/>
      </c>
      <c r="I21" s="122">
        <f>SUM(I17:I20)</f>
        <v/>
      </c>
      <c r="J21" s="122">
        <f>SUM(J17:J20)</f>
        <v/>
      </c>
      <c r="K21" s="122">
        <f>SUM(K17:K20)</f>
        <v/>
      </c>
      <c r="L21" s="122">
        <f>SUM(L17:L20)</f>
        <v/>
      </c>
      <c r="M21" s="122">
        <f>SUM(M17:M20)</f>
        <v/>
      </c>
      <c r="N21" s="122">
        <f>SUM(N17:N20)</f>
        <v/>
      </c>
      <c r="O21" s="122">
        <f>SUM(O17:O20)</f>
        <v/>
      </c>
      <c r="P21" s="122">
        <f>SUM(P17:P20)</f>
        <v/>
      </c>
      <c r="Q21" s="122">
        <f>SUM(Q17:Q20)</f>
        <v/>
      </c>
      <c r="R21" s="122">
        <f>SUM(R17:R20)</f>
        <v/>
      </c>
      <c r="S21" s="122">
        <f>SUM(S17:S20)</f>
        <v/>
      </c>
      <c r="T21" s="122">
        <f>SUM(T17:T20)</f>
        <v/>
      </c>
      <c r="U21" s="122">
        <f>SUM(U17:U20)</f>
        <v/>
      </c>
      <c r="V21" s="122">
        <f>SUM(V17:V20)</f>
        <v/>
      </c>
      <c r="W21" s="122">
        <f>SUM(W17:W20)</f>
        <v/>
      </c>
      <c r="X21" s="122">
        <f>SUM(X17:X20)</f>
        <v/>
      </c>
      <c r="Y21" s="122">
        <f>SUM(Y17:Y20)</f>
        <v/>
      </c>
      <c r="Z21" s="122">
        <f>SUM(Z17:Z20)</f>
        <v/>
      </c>
    </row>
    <row r="22">
      <c r="A22" s="114" t="n"/>
      <c r="B22" s="327" t="n"/>
      <c r="C22" s="327" t="n"/>
      <c r="D22" s="327" t="n"/>
      <c r="E22" s="327" t="n"/>
      <c r="F22" s="327" t="n"/>
      <c r="G22" s="327" t="n"/>
      <c r="H22" s="327" t="n"/>
      <c r="I22" s="327" t="n"/>
      <c r="J22" s="327" t="n"/>
      <c r="K22" s="327" t="n"/>
      <c r="L22" s="327" t="n"/>
      <c r="M22" s="327" t="n"/>
      <c r="N22" s="327" t="n"/>
      <c r="O22" s="327" t="n"/>
      <c r="P22" s="327" t="n"/>
      <c r="Q22" s="327" t="n"/>
      <c r="R22" s="327" t="n"/>
      <c r="S22" s="327" t="n"/>
      <c r="T22" s="327" t="n"/>
      <c r="U22" s="327" t="n"/>
      <c r="V22" s="327" t="n"/>
      <c r="W22" s="327" t="n"/>
      <c r="X22" s="327" t="n"/>
      <c r="Y22" s="327" t="n"/>
      <c r="Z22" s="327" t="n"/>
    </row>
    <row r="23">
      <c r="A23" s="219" t="inlineStr">
        <is>
          <t>[흡입마취제] 상급종합병원 비율</t>
        </is>
      </c>
      <c r="B23" s="118">
        <f>B17/B$21</f>
        <v/>
      </c>
      <c r="C23" s="118">
        <f>C17/C$21</f>
        <v/>
      </c>
      <c r="D23" s="118">
        <f>D17/D$21</f>
        <v/>
      </c>
      <c r="E23" s="118">
        <f>E17/E$21</f>
        <v/>
      </c>
      <c r="F23" s="118">
        <f>F17/F$21</f>
        <v/>
      </c>
      <c r="G23" s="118">
        <f>G17/G$21</f>
        <v/>
      </c>
      <c r="H23" s="118">
        <f>H17/H$21</f>
        <v/>
      </c>
      <c r="I23" s="118">
        <f>I17/I$21</f>
        <v/>
      </c>
      <c r="J23" s="118">
        <f>J17/J$21</f>
        <v/>
      </c>
      <c r="K23" s="118">
        <f>K17/K$21</f>
        <v/>
      </c>
      <c r="L23" s="118">
        <f>L17/L$21</f>
        <v/>
      </c>
      <c r="M23" s="118">
        <f>M17/M$21</f>
        <v/>
      </c>
      <c r="N23" s="118">
        <f>N17/N$21</f>
        <v/>
      </c>
      <c r="O23" s="118">
        <f>O17/O$21</f>
        <v/>
      </c>
      <c r="P23" s="118">
        <f>P17/P$21</f>
        <v/>
      </c>
      <c r="Q23" s="118">
        <f>Q17/Q$21</f>
        <v/>
      </c>
      <c r="R23" s="118">
        <f>R17/R$21</f>
        <v/>
      </c>
      <c r="S23" s="118">
        <f>S17/S$21</f>
        <v/>
      </c>
      <c r="T23" s="118">
        <f>T17/T$21</f>
        <v/>
      </c>
      <c r="U23" s="118">
        <f>U17/U$21</f>
        <v/>
      </c>
      <c r="V23" s="118">
        <f>V17/V$21</f>
        <v/>
      </c>
      <c r="W23" s="118">
        <f>W17/W$21</f>
        <v/>
      </c>
      <c r="X23" s="118">
        <f>X17/X$21</f>
        <v/>
      </c>
      <c r="Y23" s="118">
        <f>Y17/Y$21</f>
        <v/>
      </c>
      <c r="Z23" s="118">
        <f>Z17/Z$21</f>
        <v/>
      </c>
      <c r="AA23" s="222">
        <f>Z23</f>
        <v/>
      </c>
    </row>
    <row r="24">
      <c r="A24" s="219" t="inlineStr">
        <is>
          <t>[흡입마취제] 종합병원 비율</t>
        </is>
      </c>
      <c r="B24" s="118">
        <f>B18/B$21</f>
        <v/>
      </c>
      <c r="C24" s="118">
        <f>C18/C$21</f>
        <v/>
      </c>
      <c r="D24" s="118">
        <f>D18/D$21</f>
        <v/>
      </c>
      <c r="E24" s="118">
        <f>E18/E$21</f>
        <v/>
      </c>
      <c r="F24" s="118">
        <f>F18/F$21</f>
        <v/>
      </c>
      <c r="G24" s="118">
        <f>G18/G$21</f>
        <v/>
      </c>
      <c r="H24" s="118">
        <f>H18/H$21</f>
        <v/>
      </c>
      <c r="I24" s="118">
        <f>I18/I$21</f>
        <v/>
      </c>
      <c r="J24" s="118">
        <f>J18/J$21</f>
        <v/>
      </c>
      <c r="K24" s="118">
        <f>K18/K$21</f>
        <v/>
      </c>
      <c r="L24" s="118">
        <f>L18/L$21</f>
        <v/>
      </c>
      <c r="M24" s="118">
        <f>M18/M$21</f>
        <v/>
      </c>
      <c r="N24" s="118">
        <f>N18/N$21</f>
        <v/>
      </c>
      <c r="O24" s="118">
        <f>O18/O$21</f>
        <v/>
      </c>
      <c r="P24" s="118">
        <f>P18/P$21</f>
        <v/>
      </c>
      <c r="Q24" s="118">
        <f>Q18/Q$21</f>
        <v/>
      </c>
      <c r="R24" s="118">
        <f>R18/R$21</f>
        <v/>
      </c>
      <c r="S24" s="118">
        <f>S18/S$21</f>
        <v/>
      </c>
      <c r="T24" s="118">
        <f>T18/T$21</f>
        <v/>
      </c>
      <c r="U24" s="118">
        <f>U18/U$21</f>
        <v/>
      </c>
      <c r="V24" s="118">
        <f>V18/V$21</f>
        <v/>
      </c>
      <c r="W24" s="118">
        <f>W18/W$21</f>
        <v/>
      </c>
      <c r="X24" s="118">
        <f>X18/X$21</f>
        <v/>
      </c>
      <c r="Y24" s="118">
        <f>Y18/Y$21</f>
        <v/>
      </c>
      <c r="Z24" s="118">
        <f>Z18/Z$21</f>
        <v/>
      </c>
      <c r="AA24" s="222">
        <f>Z24</f>
        <v/>
      </c>
    </row>
    <row r="25">
      <c r="A25" s="219" t="inlineStr">
        <is>
          <t>[흡입마취제] 병원 비율</t>
        </is>
      </c>
      <c r="B25" s="118">
        <f>B19/B$21</f>
        <v/>
      </c>
      <c r="C25" s="118">
        <f>C19/C$21</f>
        <v/>
      </c>
      <c r="D25" s="118">
        <f>D19/D$21</f>
        <v/>
      </c>
      <c r="E25" s="118">
        <f>E19/E$21</f>
        <v/>
      </c>
      <c r="F25" s="118">
        <f>F19/F$21</f>
        <v/>
      </c>
      <c r="G25" s="118">
        <f>G19/G$21</f>
        <v/>
      </c>
      <c r="H25" s="118">
        <f>H19/H$21</f>
        <v/>
      </c>
      <c r="I25" s="118">
        <f>I19/I$21</f>
        <v/>
      </c>
      <c r="J25" s="118">
        <f>J19/J$21</f>
        <v/>
      </c>
      <c r="K25" s="118">
        <f>K19/K$21</f>
        <v/>
      </c>
      <c r="L25" s="118">
        <f>L19/L$21</f>
        <v/>
      </c>
      <c r="M25" s="118">
        <f>M19/M$21</f>
        <v/>
      </c>
      <c r="N25" s="118">
        <f>N19/N$21</f>
        <v/>
      </c>
      <c r="O25" s="118">
        <f>O19/O$21</f>
        <v/>
      </c>
      <c r="P25" s="118">
        <f>P19/P$21</f>
        <v/>
      </c>
      <c r="Q25" s="118">
        <f>Q19/Q$21</f>
        <v/>
      </c>
      <c r="R25" s="118">
        <f>R19/R$21</f>
        <v/>
      </c>
      <c r="S25" s="118">
        <f>S19/S$21</f>
        <v/>
      </c>
      <c r="T25" s="118">
        <f>T19/T$21</f>
        <v/>
      </c>
      <c r="U25" s="118">
        <f>U19/U$21</f>
        <v/>
      </c>
      <c r="V25" s="118">
        <f>V19/V$21</f>
        <v/>
      </c>
      <c r="W25" s="118">
        <f>W19/W$21</f>
        <v/>
      </c>
      <c r="X25" s="118">
        <f>X19/X$21</f>
        <v/>
      </c>
      <c r="Y25" s="118">
        <f>Y19/Y$21</f>
        <v/>
      </c>
      <c r="Z25" s="118">
        <f>Z19/Z$21</f>
        <v/>
      </c>
      <c r="AA25" s="222">
        <f>Z25</f>
        <v/>
      </c>
    </row>
    <row r="26">
      <c r="A26" s="219" t="inlineStr">
        <is>
          <t>[흡입마취제] 의원 비율</t>
        </is>
      </c>
      <c r="B26" s="118">
        <f>B20/B$21</f>
        <v/>
      </c>
      <c r="C26" s="118">
        <f>C20/C$21</f>
        <v/>
      </c>
      <c r="D26" s="118">
        <f>D20/D$21</f>
        <v/>
      </c>
      <c r="E26" s="118">
        <f>E20/E$21</f>
        <v/>
      </c>
      <c r="F26" s="118">
        <f>F20/F$21</f>
        <v/>
      </c>
      <c r="G26" s="118">
        <f>G20/G$21</f>
        <v/>
      </c>
      <c r="H26" s="118">
        <f>H20/H$21</f>
        <v/>
      </c>
      <c r="I26" s="118">
        <f>I20/I$21</f>
        <v/>
      </c>
      <c r="J26" s="118">
        <f>J20/J$21</f>
        <v/>
      </c>
      <c r="K26" s="118">
        <f>K20/K$21</f>
        <v/>
      </c>
      <c r="L26" s="118">
        <f>L20/L$21</f>
        <v/>
      </c>
      <c r="M26" s="118">
        <f>M20/M$21</f>
        <v/>
      </c>
      <c r="N26" s="118">
        <f>N20/N$21</f>
        <v/>
      </c>
      <c r="O26" s="118">
        <f>O20/O$21</f>
        <v/>
      </c>
      <c r="P26" s="118">
        <f>P20/P$21</f>
        <v/>
      </c>
      <c r="Q26" s="118">
        <f>Q20/Q$21</f>
        <v/>
      </c>
      <c r="R26" s="118">
        <f>R20/R$21</f>
        <v/>
      </c>
      <c r="S26" s="118">
        <f>S20/S$21</f>
        <v/>
      </c>
      <c r="T26" s="118">
        <f>T20/T$21</f>
        <v/>
      </c>
      <c r="U26" s="118">
        <f>U20/U$21</f>
        <v/>
      </c>
      <c r="V26" s="118">
        <f>V20/V$21</f>
        <v/>
      </c>
      <c r="W26" s="118">
        <f>W20/W$21</f>
        <v/>
      </c>
      <c r="X26" s="118">
        <f>X20/X$21</f>
        <v/>
      </c>
      <c r="Y26" s="118">
        <f>Y20/Y$21</f>
        <v/>
      </c>
      <c r="Z26" s="118">
        <f>Z20/Z$21</f>
        <v/>
      </c>
      <c r="AA26" s="222">
        <f>Z26</f>
        <v/>
      </c>
    </row>
    <row r="28">
      <c r="A28" s="41" t="inlineStr">
        <is>
          <t>■ C. SS-Chart 기준 종별 NSA 매출수량 비율</t>
        </is>
      </c>
      <c r="B28" s="41" t="n"/>
      <c r="C28" s="41" t="n"/>
      <c r="D28" s="41" t="n"/>
      <c r="E28" s="41" t="n"/>
      <c r="F28" s="41" t="n"/>
      <c r="G28" s="41" t="n"/>
      <c r="H28" s="41" t="n"/>
      <c r="I28" s="41" t="n"/>
      <c r="J28" s="41" t="n"/>
      <c r="K28" s="41" t="n"/>
      <c r="L28" s="41" t="n"/>
      <c r="M28" s="41" t="n"/>
      <c r="N28" s="41" t="n"/>
      <c r="O28" s="41" t="n"/>
      <c r="P28" s="41" t="n"/>
      <c r="Q28" s="41" t="n"/>
      <c r="R28" s="41" t="n"/>
      <c r="S28" s="41" t="n"/>
      <c r="T28" s="41" t="n"/>
      <c r="U28" s="41" t="n"/>
      <c r="V28" s="41" t="n"/>
      <c r="W28" s="41" t="n"/>
      <c r="X28" s="41" t="n"/>
      <c r="Y28" s="41" t="n"/>
      <c r="Z28" s="41" t="n"/>
      <c r="AA28" s="41" t="n"/>
      <c r="AB28" s="41" t="n"/>
      <c r="AC28" s="41" t="n"/>
      <c r="AD28" s="41" t="n"/>
      <c r="AE28" s="41" t="n"/>
      <c r="AF28" s="41" t="n"/>
      <c r="AG28" s="41" t="n"/>
      <c r="AH28" s="41" t="n"/>
      <c r="AI28" s="41" t="n"/>
      <c r="AJ28" s="41" t="n"/>
      <c r="AK28" s="41" t="n"/>
      <c r="AL28" s="41" t="n"/>
      <c r="AM28" s="41" t="n"/>
      <c r="AN28" s="41" t="n"/>
      <c r="AO28" s="41" t="n"/>
      <c r="AP28" s="41" t="n"/>
      <c r="AQ28" s="41" t="n"/>
      <c r="AR28" s="41" t="n"/>
      <c r="AS28" s="41" t="n"/>
      <c r="AT28" s="41" t="n"/>
    </row>
    <row r="29">
      <c r="A29" s="119" t="inlineStr">
        <is>
          <t>[SS-Chart] 상급종합병원 (Unit: Box/5 Ampoules)</t>
        </is>
      </c>
      <c r="B29" s="114" t="n"/>
      <c r="C29" s="114" t="n"/>
      <c r="D29" s="114" t="n"/>
      <c r="E29" s="114" t="n"/>
      <c r="F29" s="208" t="n">
        <v>53761</v>
      </c>
      <c r="G29" s="208" t="n">
        <v>57551</v>
      </c>
      <c r="H29" s="208" t="n">
        <v>61584</v>
      </c>
      <c r="I29" s="208" t="n">
        <v>58494</v>
      </c>
      <c r="J29" s="208" t="n">
        <v>58146</v>
      </c>
      <c r="K29" s="208" t="n">
        <v>60066</v>
      </c>
      <c r="L29" s="208" t="n">
        <v>63237</v>
      </c>
      <c r="M29" s="208" t="n">
        <v>65485</v>
      </c>
      <c r="N29" s="208" t="n">
        <v>69169</v>
      </c>
      <c r="O29" s="208" t="n">
        <v>65704</v>
      </c>
      <c r="P29" s="208" t="n">
        <v>70292</v>
      </c>
      <c r="Q29" s="208" t="n">
        <v>63949</v>
      </c>
      <c r="R29" s="208" t="n">
        <v>53672</v>
      </c>
      <c r="S29" s="208" t="n">
        <v>38738</v>
      </c>
      <c r="T29" s="208" t="n">
        <v>46701</v>
      </c>
      <c r="U29" s="208" t="n">
        <v>47375</v>
      </c>
      <c r="V29" s="208" t="n">
        <v>45921</v>
      </c>
      <c r="W29" s="208" t="n">
        <v>48009</v>
      </c>
      <c r="X29" s="208" t="n">
        <v>54719</v>
      </c>
      <c r="Y29" s="208" t="n">
        <v>52733</v>
      </c>
      <c r="Z29" s="208" t="n">
        <v>59615</v>
      </c>
      <c r="AA29" s="208" t="n">
        <v>57727</v>
      </c>
    </row>
    <row r="30">
      <c r="A30" s="219" t="inlineStr">
        <is>
          <t>[SS-Chart] 종합병원 (Unit: Box/5 Ampoules)</t>
        </is>
      </c>
      <c r="B30" s="328" t="n"/>
      <c r="C30" s="328" t="n"/>
      <c r="D30" s="328" t="n"/>
      <c r="E30" s="328" t="n"/>
      <c r="F30" s="208" t="n">
        <v>24013</v>
      </c>
      <c r="G30" s="208" t="n">
        <v>25172</v>
      </c>
      <c r="H30" s="208" t="n">
        <v>29258</v>
      </c>
      <c r="I30" s="208" t="n">
        <v>28465</v>
      </c>
      <c r="J30" s="208" t="n">
        <v>27274</v>
      </c>
      <c r="K30" s="208" t="n">
        <v>29406</v>
      </c>
      <c r="L30" s="208" t="n">
        <v>30392</v>
      </c>
      <c r="M30" s="208" t="n">
        <v>33254</v>
      </c>
      <c r="N30" s="208" t="n">
        <v>32064</v>
      </c>
      <c r="O30" s="208" t="n">
        <v>31838</v>
      </c>
      <c r="P30" s="208" t="n">
        <v>34001</v>
      </c>
      <c r="Q30" s="208" t="n">
        <v>33028</v>
      </c>
      <c r="R30" s="208" t="n">
        <v>33581</v>
      </c>
      <c r="S30" s="208" t="n">
        <v>31638</v>
      </c>
      <c r="T30" s="208" t="n">
        <v>32809</v>
      </c>
      <c r="U30" s="208" t="n">
        <v>33178</v>
      </c>
      <c r="V30" s="208" t="n">
        <v>32281</v>
      </c>
      <c r="W30" s="208" t="n">
        <v>32481</v>
      </c>
      <c r="X30" s="208" t="n">
        <v>36415</v>
      </c>
      <c r="Y30" s="208" t="n">
        <v>35056</v>
      </c>
      <c r="Z30" s="208" t="n">
        <v>38294</v>
      </c>
      <c r="AA30" s="208" t="n">
        <v>37770</v>
      </c>
    </row>
    <row r="31">
      <c r="A31" s="219" t="inlineStr">
        <is>
          <t>[SS-Chart] 병원 (Unit: Box/5 Ampoules)</t>
        </is>
      </c>
      <c r="B31" s="328" t="n"/>
      <c r="C31" s="328" t="n"/>
      <c r="D31" s="328" t="n"/>
      <c r="E31" s="328" t="n"/>
      <c r="F31" s="208" t="n">
        <v>4775</v>
      </c>
      <c r="G31" s="208" t="n">
        <v>4645</v>
      </c>
      <c r="H31" s="208" t="n">
        <v>4810</v>
      </c>
      <c r="I31" s="208" t="n">
        <v>4857</v>
      </c>
      <c r="J31" s="208" t="n">
        <v>5006</v>
      </c>
      <c r="K31" s="208" t="n">
        <v>4156</v>
      </c>
      <c r="L31" s="208" t="n">
        <v>4030</v>
      </c>
      <c r="M31" s="208" t="n">
        <v>4200</v>
      </c>
      <c r="N31" s="208" t="n">
        <v>4629</v>
      </c>
      <c r="O31" s="208" t="n">
        <v>4611</v>
      </c>
      <c r="P31" s="208" t="n">
        <v>4568</v>
      </c>
      <c r="Q31" s="208" t="n">
        <v>4921</v>
      </c>
      <c r="R31" s="208" t="n">
        <v>4928</v>
      </c>
      <c r="S31" s="208" t="n">
        <v>4763</v>
      </c>
      <c r="T31" s="208" t="n">
        <v>4984</v>
      </c>
      <c r="U31" s="208" t="n">
        <v>4851</v>
      </c>
      <c r="V31" s="208" t="n">
        <v>5833</v>
      </c>
      <c r="W31" s="208" t="n">
        <v>5742</v>
      </c>
      <c r="X31" s="208" t="n">
        <v>5738</v>
      </c>
      <c r="Y31" s="208" t="n">
        <v>5191</v>
      </c>
      <c r="Z31" s="208" t="n">
        <v>5497</v>
      </c>
      <c r="AA31" s="208" t="n">
        <v>5514</v>
      </c>
    </row>
    <row r="32">
      <c r="A32" s="219" t="inlineStr">
        <is>
          <t>[SS-Chart] 의원 (Unit: Box/5 Ampoules)</t>
        </is>
      </c>
      <c r="B32" s="328" t="n"/>
      <c r="C32" s="328" t="n"/>
      <c r="D32" s="328" t="n"/>
      <c r="E32" s="328" t="n"/>
      <c r="F32" s="208" t="n">
        <v>330</v>
      </c>
      <c r="G32" s="208" t="n">
        <v>356</v>
      </c>
      <c r="H32" s="208" t="n">
        <v>232</v>
      </c>
      <c r="I32" s="208" t="n">
        <v>216</v>
      </c>
      <c r="J32" s="208" t="n">
        <v>285</v>
      </c>
      <c r="K32" s="208" t="n">
        <v>208</v>
      </c>
      <c r="L32" s="208" t="n">
        <v>241</v>
      </c>
      <c r="M32" s="208" t="n">
        <v>191</v>
      </c>
      <c r="N32" s="208" t="n">
        <v>288</v>
      </c>
      <c r="O32" s="208" t="n">
        <v>242</v>
      </c>
      <c r="P32" s="208" t="n">
        <v>284</v>
      </c>
      <c r="Q32" s="208" t="n">
        <v>307</v>
      </c>
      <c r="R32" s="208" t="n">
        <v>321</v>
      </c>
      <c r="S32" s="208" t="n">
        <v>368</v>
      </c>
      <c r="T32" s="208" t="n">
        <v>343</v>
      </c>
      <c r="U32" s="208" t="n">
        <v>452</v>
      </c>
      <c r="V32" s="208" t="n">
        <v>412</v>
      </c>
      <c r="W32" s="208" t="n">
        <v>395</v>
      </c>
      <c r="X32" s="208" t="n">
        <v>398</v>
      </c>
      <c r="Y32" s="208" t="n">
        <v>406</v>
      </c>
      <c r="Z32" s="208" t="n">
        <v>380</v>
      </c>
      <c r="AA32" s="208" t="n">
        <v>345</v>
      </c>
    </row>
    <row r="33">
      <c r="A33" s="120" t="inlineStr">
        <is>
          <t>[SS-Chart] 합계</t>
        </is>
      </c>
      <c r="B33" s="329" t="n"/>
      <c r="C33" s="329" t="n"/>
      <c r="D33" s="329" t="n"/>
      <c r="E33" s="329" t="n"/>
      <c r="F33" s="122">
        <f>SUM(F29:F32)</f>
        <v/>
      </c>
      <c r="G33" s="122">
        <f>SUM(G29:G32)</f>
        <v/>
      </c>
      <c r="H33" s="122">
        <f>SUM(H29:H32)</f>
        <v/>
      </c>
      <c r="I33" s="122">
        <f>SUM(I29:I32)</f>
        <v/>
      </c>
      <c r="J33" s="122">
        <f>SUM(J29:J32)</f>
        <v/>
      </c>
      <c r="K33" s="122">
        <f>SUM(K29:K32)</f>
        <v/>
      </c>
      <c r="L33" s="122">
        <f>SUM(L29:L32)</f>
        <v/>
      </c>
      <c r="M33" s="122">
        <f>SUM(M29:M32)</f>
        <v/>
      </c>
      <c r="N33" s="122">
        <f>SUM(N29:N32)</f>
        <v/>
      </c>
      <c r="O33" s="122">
        <f>SUM(O29:O32)</f>
        <v/>
      </c>
      <c r="P33" s="122">
        <f>SUM(P29:P32)</f>
        <v/>
      </c>
      <c r="Q33" s="122">
        <f>SUM(Q29:Q32)</f>
        <v/>
      </c>
      <c r="R33" s="122">
        <f>SUM(R29:R32)</f>
        <v/>
      </c>
      <c r="S33" s="122">
        <f>SUM(S29:S32)</f>
        <v/>
      </c>
      <c r="T33" s="122">
        <f>SUM(T29:T32)</f>
        <v/>
      </c>
      <c r="U33" s="122">
        <f>SUM(U29:U32)</f>
        <v/>
      </c>
      <c r="V33" s="122">
        <f>SUM(V29:V32)</f>
        <v/>
      </c>
      <c r="W33" s="122">
        <f>SUM(W29:W32)</f>
        <v/>
      </c>
      <c r="X33" s="122">
        <f>SUM(X29:X32)</f>
        <v/>
      </c>
      <c r="Y33" s="122">
        <f>SUM(Y29:Y32)</f>
        <v/>
      </c>
      <c r="Z33" s="122">
        <f>SUM(Z29:Z32)</f>
        <v/>
      </c>
      <c r="AA33" s="122">
        <f>SUM(AA29:AA32)</f>
        <v/>
      </c>
    </row>
    <row r="34">
      <c r="A34" s="114" t="n"/>
      <c r="B34" s="327" t="n"/>
      <c r="C34" s="327" t="n"/>
      <c r="D34" s="327" t="n"/>
      <c r="E34" s="327" t="n"/>
      <c r="F34" s="327" t="n"/>
      <c r="G34" s="327" t="n"/>
      <c r="H34" s="327" t="n"/>
      <c r="I34" s="327" t="n"/>
      <c r="J34" s="327" t="n"/>
      <c r="K34" s="327" t="n"/>
      <c r="L34" s="327" t="n"/>
      <c r="M34" s="327" t="n"/>
      <c r="N34" s="327" t="n"/>
      <c r="O34" s="327" t="n"/>
      <c r="P34" s="327" t="n"/>
      <c r="Q34" s="327" t="n"/>
      <c r="R34" s="327" t="n"/>
      <c r="S34" s="327" t="n"/>
      <c r="T34" s="327" t="n"/>
      <c r="U34" s="327" t="n"/>
      <c r="V34" s="327" t="n"/>
      <c r="W34" s="327" t="n"/>
      <c r="X34" s="327" t="n"/>
      <c r="Y34" s="327" t="n"/>
      <c r="Z34" s="327" t="n"/>
    </row>
    <row r="35">
      <c r="A35" s="119" t="inlineStr">
        <is>
          <t>[SS-Chart] 상급종합병원 비율</t>
        </is>
      </c>
      <c r="B35" s="114" t="n"/>
      <c r="C35" s="114" t="n"/>
      <c r="D35" s="114" t="n"/>
      <c r="E35" s="114" t="n"/>
      <c r="F35" s="118">
        <f>F29/F$33</f>
        <v/>
      </c>
      <c r="G35" s="118">
        <f>G29/G$33</f>
        <v/>
      </c>
      <c r="H35" s="118">
        <f>H29/H$33</f>
        <v/>
      </c>
      <c r="I35" s="118">
        <f>I29/I$33</f>
        <v/>
      </c>
      <c r="J35" s="118">
        <f>J29/J$33</f>
        <v/>
      </c>
      <c r="K35" s="118">
        <f>K29/K$33</f>
        <v/>
      </c>
      <c r="L35" s="118">
        <f>L29/L$33</f>
        <v/>
      </c>
      <c r="M35" s="118">
        <f>M29/M$33</f>
        <v/>
      </c>
      <c r="N35" s="118">
        <f>N29/N$33</f>
        <v/>
      </c>
      <c r="O35" s="118">
        <f>O29/O$33</f>
        <v/>
      </c>
      <c r="P35" s="118">
        <f>P29/P$33</f>
        <v/>
      </c>
      <c r="Q35" s="118">
        <f>Q29/Q$33</f>
        <v/>
      </c>
      <c r="R35" s="118">
        <f>R29/R$33</f>
        <v/>
      </c>
      <c r="S35" s="118">
        <f>S29/S$33</f>
        <v/>
      </c>
      <c r="T35" s="118">
        <f>T29/T$33</f>
        <v/>
      </c>
      <c r="U35" s="118">
        <f>U29/U$33</f>
        <v/>
      </c>
      <c r="V35" s="118">
        <f>V29/V$33</f>
        <v/>
      </c>
      <c r="W35" s="118">
        <f>W29/W$33</f>
        <v/>
      </c>
      <c r="X35" s="118">
        <f>X29/X$33</f>
        <v/>
      </c>
      <c r="Y35" s="118">
        <f>Y29/Y$33</f>
        <v/>
      </c>
      <c r="Z35" s="118">
        <f>Z29/Z$33</f>
        <v/>
      </c>
      <c r="AA35" s="118">
        <f>AA29/AA$33</f>
        <v/>
      </c>
    </row>
    <row r="36">
      <c r="A36" s="219" t="inlineStr">
        <is>
          <t>[SS-Chart] 종합병원 비율</t>
        </is>
      </c>
      <c r="B36" s="328" t="n"/>
      <c r="C36" s="328" t="n"/>
      <c r="D36" s="328" t="n"/>
      <c r="E36" s="328" t="n"/>
      <c r="F36" s="118">
        <f>F30/F$33</f>
        <v/>
      </c>
      <c r="G36" s="118">
        <f>G30/G$33</f>
        <v/>
      </c>
      <c r="H36" s="118">
        <f>H30/H$33</f>
        <v/>
      </c>
      <c r="I36" s="118">
        <f>I30/I$33</f>
        <v/>
      </c>
      <c r="J36" s="118">
        <f>J30/J$33</f>
        <v/>
      </c>
      <c r="K36" s="118">
        <f>K30/K$33</f>
        <v/>
      </c>
      <c r="L36" s="118">
        <f>L30/L$33</f>
        <v/>
      </c>
      <c r="M36" s="118">
        <f>M30/M$33</f>
        <v/>
      </c>
      <c r="N36" s="118">
        <f>N30/N$33</f>
        <v/>
      </c>
      <c r="O36" s="118">
        <f>O30/O$33</f>
        <v/>
      </c>
      <c r="P36" s="118">
        <f>P30/P$33</f>
        <v/>
      </c>
      <c r="Q36" s="118">
        <f>Q30/Q$33</f>
        <v/>
      </c>
      <c r="R36" s="118">
        <f>R30/R$33</f>
        <v/>
      </c>
      <c r="S36" s="118">
        <f>S30/S$33</f>
        <v/>
      </c>
      <c r="T36" s="118">
        <f>T30/T$33</f>
        <v/>
      </c>
      <c r="U36" s="118">
        <f>U30/U$33</f>
        <v/>
      </c>
      <c r="V36" s="118">
        <f>V30/V$33</f>
        <v/>
      </c>
      <c r="W36" s="118">
        <f>W30/W$33</f>
        <v/>
      </c>
      <c r="X36" s="118">
        <f>X30/X$33</f>
        <v/>
      </c>
      <c r="Y36" s="118">
        <f>Y30/Y$33</f>
        <v/>
      </c>
      <c r="Z36" s="118">
        <f>Z30/Z$33</f>
        <v/>
      </c>
      <c r="AA36" s="118">
        <f>AA30/AA$33</f>
        <v/>
      </c>
    </row>
    <row r="37">
      <c r="A37" s="219" t="inlineStr">
        <is>
          <t>[SS-Chart] 병원 비율</t>
        </is>
      </c>
      <c r="B37" s="328" t="n"/>
      <c r="C37" s="328" t="n"/>
      <c r="D37" s="328" t="n"/>
      <c r="E37" s="328" t="n"/>
      <c r="F37" s="118">
        <f>F31/F$33</f>
        <v/>
      </c>
      <c r="G37" s="118">
        <f>G31/G$33</f>
        <v/>
      </c>
      <c r="H37" s="118">
        <f>H31/H$33</f>
        <v/>
      </c>
      <c r="I37" s="118">
        <f>I31/I$33</f>
        <v/>
      </c>
      <c r="J37" s="118">
        <f>J31/J$33</f>
        <v/>
      </c>
      <c r="K37" s="118">
        <f>K31/K$33</f>
        <v/>
      </c>
      <c r="L37" s="118">
        <f>L31/L$33</f>
        <v/>
      </c>
      <c r="M37" s="118">
        <f>M31/M$33</f>
        <v/>
      </c>
      <c r="N37" s="118">
        <f>N31/N$33</f>
        <v/>
      </c>
      <c r="O37" s="118">
        <f>O31/O$33</f>
        <v/>
      </c>
      <c r="P37" s="118">
        <f>P31/P$33</f>
        <v/>
      </c>
      <c r="Q37" s="118">
        <f>Q31/Q$33</f>
        <v/>
      </c>
      <c r="R37" s="118">
        <f>R31/R$33</f>
        <v/>
      </c>
      <c r="S37" s="118">
        <f>S31/S$33</f>
        <v/>
      </c>
      <c r="T37" s="118">
        <f>T31/T$33</f>
        <v/>
      </c>
      <c r="U37" s="118">
        <f>U31/U$33</f>
        <v/>
      </c>
      <c r="V37" s="118">
        <f>V31/V$33</f>
        <v/>
      </c>
      <c r="W37" s="118">
        <f>W31/W$33</f>
        <v/>
      </c>
      <c r="X37" s="118">
        <f>X31/X$33</f>
        <v/>
      </c>
      <c r="Y37" s="118">
        <f>Y31/Y$33</f>
        <v/>
      </c>
      <c r="Z37" s="118">
        <f>Z31/Z$33</f>
        <v/>
      </c>
      <c r="AA37" s="118">
        <f>AA31/AA$33</f>
        <v/>
      </c>
    </row>
    <row r="38">
      <c r="A38" s="219" t="inlineStr">
        <is>
          <t>[SS-Chart] 의원 비율</t>
        </is>
      </c>
      <c r="B38" s="328" t="n"/>
      <c r="C38" s="328" t="n"/>
      <c r="D38" s="328" t="n"/>
      <c r="E38" s="328" t="n"/>
      <c r="F38" s="118">
        <f>F32/F$33</f>
        <v/>
      </c>
      <c r="G38" s="118">
        <f>G32/G$33</f>
        <v/>
      </c>
      <c r="H38" s="118">
        <f>H32/H$33</f>
        <v/>
      </c>
      <c r="I38" s="118">
        <f>I32/I$33</f>
        <v/>
      </c>
      <c r="J38" s="118">
        <f>J32/J$33</f>
        <v/>
      </c>
      <c r="K38" s="118">
        <f>K32/K$33</f>
        <v/>
      </c>
      <c r="L38" s="118">
        <f>L32/L$33</f>
        <v/>
      </c>
      <c r="M38" s="118">
        <f>M32/M$33</f>
        <v/>
      </c>
      <c r="N38" s="118">
        <f>N32/N$33</f>
        <v/>
      </c>
      <c r="O38" s="118">
        <f>O32/O$33</f>
        <v/>
      </c>
      <c r="P38" s="118">
        <f>P32/P$33</f>
        <v/>
      </c>
      <c r="Q38" s="118">
        <f>Q32/Q$33</f>
        <v/>
      </c>
      <c r="R38" s="118">
        <f>R32/R$33</f>
        <v/>
      </c>
      <c r="S38" s="118">
        <f>S32/S$33</f>
        <v/>
      </c>
      <c r="T38" s="118">
        <f>T32/T$33</f>
        <v/>
      </c>
      <c r="U38" s="118">
        <f>U32/U$33</f>
        <v/>
      </c>
      <c r="V38" s="118">
        <f>V32/V$33</f>
        <v/>
      </c>
      <c r="W38" s="118">
        <f>W32/W$33</f>
        <v/>
      </c>
      <c r="X38" s="118">
        <f>X32/X$33</f>
        <v/>
      </c>
      <c r="Y38" s="118">
        <f>Y32/Y$33</f>
        <v/>
      </c>
      <c r="Z38" s="118">
        <f>Z32/Z$33</f>
        <v/>
      </c>
      <c r="AA38" s="118">
        <f>AA32/AA$33</f>
        <v/>
      </c>
    </row>
    <row r="39">
      <c r="A39" s="114" t="n"/>
      <c r="B39" s="327" t="n"/>
      <c r="C39" s="327" t="n"/>
      <c r="D39" s="327" t="n"/>
      <c r="E39" s="327" t="n"/>
      <c r="F39" s="327" t="n"/>
      <c r="G39" s="327" t="n"/>
      <c r="H39" s="327" t="n"/>
      <c r="I39" s="327" t="n"/>
      <c r="J39" s="327" t="n"/>
      <c r="K39" s="327" t="n"/>
      <c r="L39" s="327" t="n"/>
      <c r="M39" s="327" t="n"/>
      <c r="N39" s="327" t="n"/>
      <c r="O39" s="327" t="n"/>
      <c r="P39" s="327" t="n"/>
      <c r="Q39" s="327" t="n"/>
      <c r="R39" s="327" t="n"/>
      <c r="S39" s="327" t="n"/>
      <c r="T39" s="327" t="n"/>
      <c r="U39" s="327" t="n"/>
      <c r="V39" s="327" t="n"/>
      <c r="W39" s="327" t="n"/>
      <c r="X39" s="327" t="n"/>
      <c r="Y39" s="327" t="n"/>
      <c r="Z39" s="327" t="n"/>
    </row>
    <row r="40">
      <c r="A40" s="41" t="inlineStr">
        <is>
          <t>■ D. IQVIA 기준 시장 수량 및 NSA MS (Unit: Standard Unit (Ampoule))</t>
        </is>
      </c>
      <c r="B40" s="41" t="n"/>
      <c r="C40" s="41" t="n"/>
      <c r="D40" s="41" t="n"/>
      <c r="E40" s="41" t="n"/>
      <c r="F40" s="41" t="n"/>
      <c r="G40" s="41" t="n"/>
      <c r="H40" s="41" t="n"/>
      <c r="I40" s="41" t="n"/>
      <c r="J40" s="41" t="n"/>
      <c r="K40" s="41" t="n"/>
      <c r="L40" s="41" t="n"/>
      <c r="M40" s="41" t="n"/>
      <c r="N40" s="41" t="n"/>
      <c r="O40" s="41" t="n"/>
      <c r="P40" s="41" t="n"/>
      <c r="Q40" s="41" t="n"/>
      <c r="R40" s="41" t="n"/>
      <c r="S40" s="41" t="n"/>
      <c r="T40" s="41" t="n"/>
      <c r="U40" s="41" t="n"/>
      <c r="V40" s="41" t="n"/>
      <c r="W40" s="41" t="n"/>
      <c r="X40" s="41" t="n"/>
      <c r="Y40" s="41" t="n"/>
      <c r="Z40" s="41" t="n"/>
      <c r="AA40" s="41" t="n"/>
    </row>
    <row r="41">
      <c r="A41" s="219" t="inlineStr">
        <is>
          <t>[IQVIA] Ramosetron 전체시장 수량 (총합계)</t>
        </is>
      </c>
      <c r="B41" s="208" t="n">
        <v>733500</v>
      </c>
      <c r="C41" s="208" t="n">
        <v>746566</v>
      </c>
      <c r="D41" s="208" t="n">
        <v>779837</v>
      </c>
      <c r="E41" s="208" t="n">
        <v>826421</v>
      </c>
      <c r="F41" s="208" t="n">
        <v>878111</v>
      </c>
      <c r="G41" s="208" t="n">
        <v>870933</v>
      </c>
      <c r="H41" s="208" t="n">
        <v>894287</v>
      </c>
      <c r="I41" s="208" t="n">
        <v>885936</v>
      </c>
      <c r="J41" s="208" t="n">
        <v>844791</v>
      </c>
      <c r="K41" s="208" t="n">
        <v>889333</v>
      </c>
      <c r="L41" s="208" t="n">
        <v>905458</v>
      </c>
      <c r="M41" s="208" t="n">
        <v>984361</v>
      </c>
      <c r="N41" s="208" t="n">
        <v>1100469</v>
      </c>
      <c r="O41" s="208" t="n">
        <v>996374</v>
      </c>
      <c r="P41" s="208" t="n">
        <v>1033475</v>
      </c>
      <c r="Q41" s="208" t="n">
        <v>1036222</v>
      </c>
      <c r="R41" s="208" t="n">
        <v>932897</v>
      </c>
      <c r="S41" s="208" t="n">
        <v>833833</v>
      </c>
      <c r="T41" s="208" t="n">
        <v>859399</v>
      </c>
      <c r="U41" s="208" t="n">
        <v>928178</v>
      </c>
      <c r="V41" s="208" t="n">
        <v>905292</v>
      </c>
      <c r="W41" s="208" t="n">
        <v>924499</v>
      </c>
      <c r="X41" s="208" t="n">
        <v>1014865</v>
      </c>
      <c r="Y41" s="208" t="n">
        <v>1029991</v>
      </c>
      <c r="Z41" s="208" t="n">
        <v>1089731</v>
      </c>
      <c r="AA41" s="112" t="n">
        <v>1086729</v>
      </c>
      <c r="AC41" s="45">
        <f>SUM(W41:Z41)</f>
        <v/>
      </c>
    </row>
    <row r="42">
      <c r="A42" s="219" t="inlineStr">
        <is>
          <t>[IQVIA] NASEA(자사) 수량</t>
        </is>
      </c>
      <c r="B42" s="208" t="n">
        <v>350140</v>
      </c>
      <c r="C42" s="208" t="n">
        <v>351330</v>
      </c>
      <c r="D42" s="208" t="n">
        <v>385845</v>
      </c>
      <c r="E42" s="208" t="n">
        <v>421305</v>
      </c>
      <c r="F42" s="208" t="n">
        <v>443180</v>
      </c>
      <c r="G42" s="208" t="n">
        <v>464535</v>
      </c>
      <c r="H42" s="208" t="n">
        <v>481785</v>
      </c>
      <c r="I42" s="208" t="n">
        <v>490275</v>
      </c>
      <c r="J42" s="208" t="n">
        <v>470425</v>
      </c>
      <c r="K42" s="208" t="n">
        <v>483535</v>
      </c>
      <c r="L42" s="208" t="n">
        <v>511290</v>
      </c>
      <c r="M42" s="208" t="n">
        <v>522680</v>
      </c>
      <c r="N42" s="208" t="n">
        <v>583485</v>
      </c>
      <c r="O42" s="208" t="n">
        <v>531780</v>
      </c>
      <c r="P42" s="208" t="n">
        <v>547375</v>
      </c>
      <c r="Q42" s="208" t="n">
        <v>527610</v>
      </c>
      <c r="R42" s="208" t="n">
        <v>448785</v>
      </c>
      <c r="S42" s="208" t="n">
        <v>396330</v>
      </c>
      <c r="T42" s="208" t="n">
        <v>412335</v>
      </c>
      <c r="U42" s="208" t="n">
        <v>434000</v>
      </c>
      <c r="V42" s="208" t="n">
        <v>428205</v>
      </c>
      <c r="W42" s="208" t="n">
        <v>441845</v>
      </c>
      <c r="X42" s="208" t="n">
        <v>481510</v>
      </c>
      <c r="Y42" s="208" t="n">
        <v>506900</v>
      </c>
      <c r="Z42" s="208" t="n">
        <v>552970</v>
      </c>
      <c r="AA42" s="112" t="n">
        <v>547940</v>
      </c>
      <c r="AC42" s="45">
        <f>SUM(W42:Z42)</f>
        <v/>
      </c>
    </row>
    <row r="43">
      <c r="A43" s="114" t="inlineStr">
        <is>
          <t>[IQVIA] NASEA 전체시장 MS (%)</t>
        </is>
      </c>
      <c r="B43" s="330">
        <f>B42/B41</f>
        <v/>
      </c>
      <c r="C43" s="330">
        <f>C42/C41</f>
        <v/>
      </c>
      <c r="D43" s="330">
        <f>D42/D41</f>
        <v/>
      </c>
      <c r="E43" s="330">
        <f>E42/E41</f>
        <v/>
      </c>
      <c r="F43" s="330">
        <f>F42/F41</f>
        <v/>
      </c>
      <c r="G43" s="330">
        <f>G42/G41</f>
        <v/>
      </c>
      <c r="H43" s="330">
        <f>H42/H41</f>
        <v/>
      </c>
      <c r="I43" s="330">
        <f>I42/I41</f>
        <v/>
      </c>
      <c r="J43" s="330">
        <f>J42/J41</f>
        <v/>
      </c>
      <c r="K43" s="330">
        <f>K42/K41</f>
        <v/>
      </c>
      <c r="L43" s="330">
        <f>L42/L41</f>
        <v/>
      </c>
      <c r="M43" s="330">
        <f>M42/M41</f>
        <v/>
      </c>
      <c r="N43" s="330">
        <f>N42/N41</f>
        <v/>
      </c>
      <c r="O43" s="330">
        <f>O42/O41</f>
        <v/>
      </c>
      <c r="P43" s="330">
        <f>P42/P41</f>
        <v/>
      </c>
      <c r="Q43" s="330">
        <f>Q42/Q41</f>
        <v/>
      </c>
      <c r="R43" s="330">
        <f>R42/R41</f>
        <v/>
      </c>
      <c r="S43" s="330">
        <f>S42/S41</f>
        <v/>
      </c>
      <c r="T43" s="330">
        <f>T42/T41</f>
        <v/>
      </c>
      <c r="U43" s="330">
        <f>U42/U41</f>
        <v/>
      </c>
      <c r="V43" s="330">
        <f>V42/V41</f>
        <v/>
      </c>
      <c r="W43" s="330">
        <f>W42/W41</f>
        <v/>
      </c>
      <c r="X43" s="330">
        <f>X42/X41</f>
        <v/>
      </c>
      <c r="Y43" s="330">
        <f>Y42/Y41</f>
        <v/>
      </c>
      <c r="Z43" s="330">
        <f>Z42/Z41</f>
        <v/>
      </c>
      <c r="AA43" s="330">
        <f>AA42/AA41</f>
        <v/>
      </c>
      <c r="AC43" s="330">
        <f>AC42/AC41</f>
        <v/>
      </c>
    </row>
    <row r="45">
      <c r="A45" s="41" t="inlineStr">
        <is>
          <t>■ E. 종별 NSA MS (추정)</t>
        </is>
      </c>
      <c r="B45" s="41" t="n"/>
      <c r="C45" s="41" t="n"/>
      <c r="D45" s="41" t="n"/>
      <c r="E45" s="41" t="n"/>
      <c r="F45" s="41" t="n"/>
      <c r="G45" s="41" t="n"/>
      <c r="H45" s="41" t="n"/>
      <c r="I45" s="41" t="n"/>
      <c r="J45" s="41" t="n"/>
      <c r="K45" s="41" t="n"/>
      <c r="L45" s="41" t="n"/>
      <c r="M45" s="41" t="n"/>
      <c r="N45" s="41" t="n"/>
      <c r="O45" s="41" t="n"/>
      <c r="P45" s="41" t="n"/>
      <c r="Q45" s="41" t="n"/>
      <c r="R45" s="41" t="n"/>
      <c r="S45" s="41" t="n"/>
      <c r="T45" s="41" t="n"/>
      <c r="U45" s="41" t="n"/>
      <c r="V45" s="41" t="n"/>
      <c r="W45" s="41" t="n"/>
      <c r="X45" s="41" t="n"/>
      <c r="Y45" s="41" t="n"/>
      <c r="Z45" s="41" t="n"/>
      <c r="AA45" s="41" t="n"/>
    </row>
    <row r="46">
      <c r="A46" s="219" t="inlineStr">
        <is>
          <t>상급종합병원 나제아 MS</t>
        </is>
      </c>
      <c r="B46" s="263">
        <f>(B$42*B35)/(B$41*B23)</f>
        <v/>
      </c>
      <c r="C46" s="263">
        <f>(C$42*C35)/(C$41*C23)</f>
        <v/>
      </c>
      <c r="D46" s="263">
        <f>(D$42*D35)/(D$41*D23)</f>
        <v/>
      </c>
      <c r="E46" s="263">
        <f>(E$42*E35)/(E$41*E23)</f>
        <v/>
      </c>
      <c r="F46" s="263">
        <f>(F$42*F35)/(F$41*F23)</f>
        <v/>
      </c>
      <c r="G46" s="263">
        <f>(G$42*G35)/(G$41*G23)</f>
        <v/>
      </c>
      <c r="H46" s="263">
        <f>(H$42*H35)/(H$41*H23)</f>
        <v/>
      </c>
      <c r="I46" s="263">
        <f>(I$42*I35)/(I$41*I23)</f>
        <v/>
      </c>
      <c r="J46" s="263">
        <f>(J$42*J35)/(J$41*J23)</f>
        <v/>
      </c>
      <c r="K46" s="263">
        <f>(K$42*K35)/(K$41*K23)</f>
        <v/>
      </c>
      <c r="L46" s="263">
        <f>(L$42*L35)/(L$41*L23)</f>
        <v/>
      </c>
      <c r="M46" s="263">
        <f>(M$42*M35)/(M$41*M23)</f>
        <v/>
      </c>
      <c r="N46" s="263">
        <f>(N$42*N35)/(N$41*N23)</f>
        <v/>
      </c>
      <c r="O46" s="263">
        <f>(O$42*O35)/(O$41*O23)</f>
        <v/>
      </c>
      <c r="P46" s="263">
        <f>(P$42*P35)/(P$41*P23)</f>
        <v/>
      </c>
      <c r="Q46" s="263">
        <f>(Q$42*Q35)/(Q$41*Q23)</f>
        <v/>
      </c>
      <c r="R46" s="263">
        <f>(R$42*R35)/(R$41*R23)</f>
        <v/>
      </c>
      <c r="S46" s="263">
        <f>(S$42*S35)/(S$41*S23)</f>
        <v/>
      </c>
      <c r="T46" s="263">
        <f>(T$42*T35)/(T$41*T23)</f>
        <v/>
      </c>
      <c r="U46" s="263">
        <f>(U$42*U35)/(U$41*U23)</f>
        <v/>
      </c>
      <c r="V46" s="263">
        <f>(V$42*V35)/(V$41*V23)</f>
        <v/>
      </c>
      <c r="W46" s="263">
        <f>(W$42*W35)/(W$41*W23)</f>
        <v/>
      </c>
      <c r="X46" s="263">
        <f>(X$42*X35)/(X$41*X23)</f>
        <v/>
      </c>
      <c r="Y46" s="263">
        <f>(Y$42*Y35)/(Y$41*Y23)</f>
        <v/>
      </c>
      <c r="Z46" s="263">
        <f>(Z$42*Z35)/(Z$41*Z23)</f>
        <v/>
      </c>
      <c r="AA46" s="263">
        <f>(AA$42*AA35)/(AA$41*AA23)</f>
        <v/>
      </c>
    </row>
    <row r="47">
      <c r="A47" s="219" t="inlineStr">
        <is>
          <t>종합병원 나제아 MS</t>
        </is>
      </c>
      <c r="B47" s="263">
        <f>(B$42*B36)/(B$41*B24)</f>
        <v/>
      </c>
      <c r="C47" s="263">
        <f>(C$42*C36)/(C$41*C24)</f>
        <v/>
      </c>
      <c r="D47" s="263">
        <f>(D$42*D36)/(D$41*D24)</f>
        <v/>
      </c>
      <c r="E47" s="263">
        <f>(E$42*E36)/(E$41*E24)</f>
        <v/>
      </c>
      <c r="F47" s="263">
        <f>(F$42*F36)/(F$41*F24)</f>
        <v/>
      </c>
      <c r="G47" s="263">
        <f>(G$42*G36)/(G$41*G24)</f>
        <v/>
      </c>
      <c r="H47" s="263">
        <f>(H$42*H36)/(H$41*H24)</f>
        <v/>
      </c>
      <c r="I47" s="263">
        <f>(I$42*I36)/(I$41*I24)</f>
        <v/>
      </c>
      <c r="J47" s="263">
        <f>(J$42*J36)/(J$41*J24)</f>
        <v/>
      </c>
      <c r="K47" s="263">
        <f>(K$42*K36)/(K$41*K24)</f>
        <v/>
      </c>
      <c r="L47" s="263">
        <f>(L$42*L36)/(L$41*L24)</f>
        <v/>
      </c>
      <c r="M47" s="263">
        <f>(M$42*M36)/(M$41*M24)</f>
        <v/>
      </c>
      <c r="N47" s="263">
        <f>(N$42*N36)/(N$41*N24)</f>
        <v/>
      </c>
      <c r="O47" s="263">
        <f>(O$42*O36)/(O$41*O24)</f>
        <v/>
      </c>
      <c r="P47" s="263">
        <f>(P$42*P36)/(P$41*P24)</f>
        <v/>
      </c>
      <c r="Q47" s="263">
        <f>(Q$42*Q36)/(Q$41*Q24)</f>
        <v/>
      </c>
      <c r="R47" s="263">
        <f>(R$42*R36)/(R$41*R24)</f>
        <v/>
      </c>
      <c r="S47" s="263">
        <f>(S$42*S36)/(S$41*S24)</f>
        <v/>
      </c>
      <c r="T47" s="263">
        <f>(T$42*T36)/(T$41*T24)</f>
        <v/>
      </c>
      <c r="U47" s="263">
        <f>(U$42*U36)/(U$41*U24)</f>
        <v/>
      </c>
      <c r="V47" s="263">
        <f>(V$42*V36)/(V$41*V24)</f>
        <v/>
      </c>
      <c r="W47" s="263">
        <f>(W$42*W36)/(W$41*W24)</f>
        <v/>
      </c>
      <c r="X47" s="263">
        <f>(X$42*X36)/(X$41*X24)</f>
        <v/>
      </c>
      <c r="Y47" s="263">
        <f>(Y$42*Y36)/(Y$41*Y24)</f>
        <v/>
      </c>
      <c r="Z47" s="263">
        <f>(Z$42*Z36)/(Z$41*Z24)</f>
        <v/>
      </c>
      <c r="AA47" s="263">
        <f>(AA$42*AA36)/(AA$41*AA24)</f>
        <v/>
      </c>
    </row>
    <row r="48">
      <c r="A48" s="219" t="inlineStr">
        <is>
          <t>병원 나제아 MS</t>
        </is>
      </c>
      <c r="B48" s="263">
        <f>(B$42*B37)/(B$41*B25)</f>
        <v/>
      </c>
      <c r="C48" s="263">
        <f>(C$42*C37)/(C$41*C25)</f>
        <v/>
      </c>
      <c r="D48" s="263">
        <f>(D$42*D37)/(D$41*D25)</f>
        <v/>
      </c>
      <c r="E48" s="263">
        <f>(E$42*E37)/(E$41*E25)</f>
        <v/>
      </c>
      <c r="F48" s="263">
        <f>(F$42*F37)/(F$41*F25)</f>
        <v/>
      </c>
      <c r="G48" s="263">
        <f>(G$42*G37)/(G$41*G25)</f>
        <v/>
      </c>
      <c r="H48" s="263">
        <f>(H$42*H37)/(H$41*H25)</f>
        <v/>
      </c>
      <c r="I48" s="263">
        <f>(I$42*I37)/(I$41*I25)</f>
        <v/>
      </c>
      <c r="J48" s="263">
        <f>(J$42*J37)/(J$41*J25)</f>
        <v/>
      </c>
      <c r="K48" s="263">
        <f>(K$42*K37)/(K$41*K25)</f>
        <v/>
      </c>
      <c r="L48" s="263">
        <f>(L$42*L37)/(L$41*L25)</f>
        <v/>
      </c>
      <c r="M48" s="263">
        <f>(M$42*M37)/(M$41*M25)</f>
        <v/>
      </c>
      <c r="N48" s="263">
        <f>(N$42*N37)/(N$41*N25)</f>
        <v/>
      </c>
      <c r="O48" s="263">
        <f>(O$42*O37)/(O$41*O25)</f>
        <v/>
      </c>
      <c r="P48" s="263">
        <f>(P$42*P37)/(P$41*P25)</f>
        <v/>
      </c>
      <c r="Q48" s="263">
        <f>(Q$42*Q37)/(Q$41*Q25)</f>
        <v/>
      </c>
      <c r="R48" s="263">
        <f>(R$42*R37)/(R$41*R25)</f>
        <v/>
      </c>
      <c r="S48" s="263">
        <f>(S$42*S37)/(S$41*S25)</f>
        <v/>
      </c>
      <c r="T48" s="263">
        <f>(T$42*T37)/(T$41*T25)</f>
        <v/>
      </c>
      <c r="U48" s="263">
        <f>(U$42*U37)/(U$41*U25)</f>
        <v/>
      </c>
      <c r="V48" s="263">
        <f>(V$42*V37)/(V$41*V25)</f>
        <v/>
      </c>
      <c r="W48" s="263">
        <f>(W$42*W37)/(W$41*W25)</f>
        <v/>
      </c>
      <c r="X48" s="263">
        <f>(X$42*X37)/(X$41*X25)</f>
        <v/>
      </c>
      <c r="Y48" s="263">
        <f>(Y$42*Y37)/(Y$41*Y25)</f>
        <v/>
      </c>
      <c r="Z48" s="263">
        <f>(Z$42*Z37)/(Z$41*Z25)</f>
        <v/>
      </c>
      <c r="AA48" s="263">
        <f>(AA$42*AA37)/(AA$41*AA25)</f>
        <v/>
      </c>
    </row>
    <row r="49">
      <c r="A49" s="219" t="inlineStr">
        <is>
          <t>의원 나제아 MS</t>
        </is>
      </c>
      <c r="B49" s="263">
        <f>(B$42*B38)/(B$41*B26)</f>
        <v/>
      </c>
      <c r="C49" s="263">
        <f>(C$42*C38)/(C$41*C26)</f>
        <v/>
      </c>
      <c r="D49" s="263">
        <f>(D$42*D38)/(D$41*D26)</f>
        <v/>
      </c>
      <c r="E49" s="263">
        <f>(E$42*E38)/(E$41*E26)</f>
        <v/>
      </c>
      <c r="F49" s="263">
        <f>(F$42*F38)/(F$41*F26)</f>
        <v/>
      </c>
      <c r="G49" s="263">
        <f>(G$42*G38)/(G$41*G26)</f>
        <v/>
      </c>
      <c r="H49" s="263">
        <f>(H$42*H38)/(H$41*H26)</f>
        <v/>
      </c>
      <c r="I49" s="263">
        <f>(I$42*I38)/(I$41*I26)</f>
        <v/>
      </c>
      <c r="J49" s="263">
        <f>(J$42*J38)/(J$41*J26)</f>
        <v/>
      </c>
      <c r="K49" s="263">
        <f>(K$42*K38)/(K$41*K26)</f>
        <v/>
      </c>
      <c r="L49" s="263">
        <f>(L$42*L38)/(L$41*L26)</f>
        <v/>
      </c>
      <c r="M49" s="263">
        <f>(M$42*M38)/(M$41*M26)</f>
        <v/>
      </c>
      <c r="N49" s="263">
        <f>(N$42*N38)/(N$41*N26)</f>
        <v/>
      </c>
      <c r="O49" s="263">
        <f>(O$42*O38)/(O$41*O26)</f>
        <v/>
      </c>
      <c r="P49" s="263">
        <f>(P$42*P38)/(P$41*P26)</f>
        <v/>
      </c>
      <c r="Q49" s="263">
        <f>(Q$42*Q38)/(Q$41*Q26)</f>
        <v/>
      </c>
      <c r="R49" s="263">
        <f>(R$42*R38)/(R$41*R26)</f>
        <v/>
      </c>
      <c r="S49" s="263">
        <f>(S$42*S38)/(S$41*S26)</f>
        <v/>
      </c>
      <c r="T49" s="263">
        <f>(T$42*T38)/(T$41*T26)</f>
        <v/>
      </c>
      <c r="U49" s="263">
        <f>(U$42*U38)/(U$41*U26)</f>
        <v/>
      </c>
      <c r="V49" s="263">
        <f>(V$42*V38)/(V$41*V26)</f>
        <v/>
      </c>
      <c r="W49" s="263">
        <f>(W$42*W38)/(W$41*W26)</f>
        <v/>
      </c>
      <c r="X49" s="263">
        <f>(X$42*X38)/(X$41*X26)</f>
        <v/>
      </c>
      <c r="Y49" s="263">
        <f>(Y$42*Y38)/(Y$41*Y26)</f>
        <v/>
      </c>
      <c r="Z49" s="263">
        <f>(Z$42*Z38)/(Z$41*Z26)</f>
        <v/>
      </c>
      <c r="AA49" s="263">
        <f>(AA$42*AA38)/(AA$41*AA26)</f>
        <v/>
      </c>
    </row>
    <row r="51">
      <c r="A51" s="41" t="inlineStr">
        <is>
          <t>■ F. 종별 환자당 Ramo 사용 수량 (추정)</t>
        </is>
      </c>
      <c r="B51" s="41" t="n"/>
      <c r="C51" s="41" t="n"/>
      <c r="D51" s="41" t="n"/>
      <c r="E51" s="41" t="n"/>
      <c r="F51" s="41" t="n"/>
      <c r="G51" s="41" t="n"/>
      <c r="H51" s="41" t="n"/>
      <c r="I51" s="41" t="n"/>
      <c r="J51" s="41" t="n"/>
      <c r="K51" s="41" t="n"/>
      <c r="L51" s="41" t="n"/>
      <c r="M51" s="41" t="n"/>
      <c r="N51" s="41" t="n"/>
      <c r="O51" s="41" t="n"/>
      <c r="P51" s="41" t="n"/>
      <c r="Q51" s="41" t="n"/>
      <c r="R51" s="41" t="n"/>
      <c r="S51" s="41" t="n"/>
      <c r="T51" s="41" t="n"/>
      <c r="U51" s="41" t="n"/>
      <c r="V51" s="41" t="n"/>
      <c r="W51" s="41" t="n"/>
      <c r="X51" s="41" t="n"/>
      <c r="Y51" s="41" t="n"/>
      <c r="Z51" s="41" t="n"/>
    </row>
    <row r="52">
      <c r="A52" s="219" t="inlineStr">
        <is>
          <t xml:space="preserve">상급종합병원 </t>
        </is>
      </c>
      <c r="B52" s="331">
        <f>IFERROR(B$41*B23/B5,"")</f>
        <v/>
      </c>
      <c r="C52" s="331">
        <f>IFERROR(C$41*C23/C5,"")</f>
        <v/>
      </c>
      <c r="D52" s="331">
        <f>IFERROR(D$41*D23/D5,"")</f>
        <v/>
      </c>
      <c r="E52" s="331">
        <f>IFERROR(E$41*E23/E5,"")</f>
        <v/>
      </c>
      <c r="F52" s="331">
        <f>IFERROR(F$41*F23/F5,"")</f>
        <v/>
      </c>
      <c r="G52" s="331">
        <f>IFERROR(G$41*G23/G5,"")</f>
        <v/>
      </c>
      <c r="H52" s="331">
        <f>IFERROR(H$41*H23/H5,"")</f>
        <v/>
      </c>
      <c r="I52" s="331">
        <f>IFERROR(I$41*I23/I5,"")</f>
        <v/>
      </c>
      <c r="J52" s="331">
        <f>IFERROR(J$41*J23/J5,"")</f>
        <v/>
      </c>
      <c r="K52" s="331">
        <f>IFERROR(K$41*K23/K5,"")</f>
        <v/>
      </c>
      <c r="L52" s="331">
        <f>IFERROR(L$41*L23/L5,"")</f>
        <v/>
      </c>
      <c r="M52" s="331">
        <f>IFERROR(M$41*M23/M5,"")</f>
        <v/>
      </c>
      <c r="N52" s="331">
        <f>IFERROR(N$41*N23/N5,"")</f>
        <v/>
      </c>
      <c r="O52" s="331">
        <f>IFERROR(O$41*O23/O5,"")</f>
        <v/>
      </c>
      <c r="P52" s="331">
        <f>IFERROR(P$41*P23/P5,"")</f>
        <v/>
      </c>
      <c r="Q52" s="331">
        <f>IFERROR(Q$41*Q23/Q5,"")</f>
        <v/>
      </c>
      <c r="R52" s="331">
        <f>IFERROR(R$41*R23/R5,"")</f>
        <v/>
      </c>
      <c r="S52" s="331">
        <f>IFERROR(S$41*S23/S5,"")</f>
        <v/>
      </c>
      <c r="T52" s="331">
        <f>IFERROR(T$41*T23/T5,"")</f>
        <v/>
      </c>
      <c r="U52" s="331">
        <f>IFERROR(U$41*U23/U5,"")</f>
        <v/>
      </c>
      <c r="V52" s="331">
        <f>IFERROR(V$41*V23/V5,"")</f>
        <v/>
      </c>
      <c r="W52" s="331">
        <f>IFERROR(W$41*W23/W5,"")</f>
        <v/>
      </c>
      <c r="X52" s="331">
        <f>IFERROR(X$41*X23/X5,"")</f>
        <v/>
      </c>
      <c r="Y52" s="331">
        <f>IFERROR(Y$41*Y23/Y5,"")</f>
        <v/>
      </c>
      <c r="Z52" s="331">
        <f>IFERROR(Z$41*Z23/Z5,"")</f>
        <v/>
      </c>
      <c r="AA52" s="331">
        <f>IFERROR(AA$41*AA23/AA5,"")</f>
        <v/>
      </c>
      <c r="AB52" s="331" t="n"/>
    </row>
    <row r="53">
      <c r="A53" s="219" t="inlineStr">
        <is>
          <t>종합병원</t>
        </is>
      </c>
      <c r="B53" s="331">
        <f>IFERROR(B$41*B24/B6,"")</f>
        <v/>
      </c>
      <c r="C53" s="331">
        <f>IFERROR(C$41*C24/C6,"")</f>
        <v/>
      </c>
      <c r="D53" s="331">
        <f>IFERROR(D$41*D24/D6,"")</f>
        <v/>
      </c>
      <c r="E53" s="331">
        <f>IFERROR(E$41*E24/E6,"")</f>
        <v/>
      </c>
      <c r="F53" s="331">
        <f>IFERROR(F$41*F24/F6,"")</f>
        <v/>
      </c>
      <c r="G53" s="331">
        <f>IFERROR(G$41*G24/G6,"")</f>
        <v/>
      </c>
      <c r="H53" s="331">
        <f>IFERROR(H$41*H24/H6,"")</f>
        <v/>
      </c>
      <c r="I53" s="331">
        <f>IFERROR(I$41*I24/I6,"")</f>
        <v/>
      </c>
      <c r="J53" s="331">
        <f>IFERROR(J$41*J24/J6,"")</f>
        <v/>
      </c>
      <c r="K53" s="331">
        <f>IFERROR(K$41*K24/K6,"")</f>
        <v/>
      </c>
      <c r="L53" s="331">
        <f>IFERROR(L$41*L24/L6,"")</f>
        <v/>
      </c>
      <c r="M53" s="331">
        <f>IFERROR(M$41*M24/M6,"")</f>
        <v/>
      </c>
      <c r="N53" s="331">
        <f>IFERROR(N$41*N24/N6,"")</f>
        <v/>
      </c>
      <c r="O53" s="331">
        <f>IFERROR(O$41*O24/O6,"")</f>
        <v/>
      </c>
      <c r="P53" s="331">
        <f>IFERROR(P$41*P24/P6,"")</f>
        <v/>
      </c>
      <c r="Q53" s="331">
        <f>IFERROR(Q$41*Q24/Q6,"")</f>
        <v/>
      </c>
      <c r="R53" s="331">
        <f>IFERROR(R$41*R24/R6,"")</f>
        <v/>
      </c>
      <c r="S53" s="331">
        <f>IFERROR(S$41*S24/S6,"")</f>
        <v/>
      </c>
      <c r="T53" s="331">
        <f>IFERROR(T$41*T24/T6,"")</f>
        <v/>
      </c>
      <c r="U53" s="331">
        <f>IFERROR(U$41*U24/U6,"")</f>
        <v/>
      </c>
      <c r="V53" s="331">
        <f>IFERROR(V$41*V24/V6,"")</f>
        <v/>
      </c>
      <c r="W53" s="331">
        <f>IFERROR(W$41*W24/W6,"")</f>
        <v/>
      </c>
      <c r="X53" s="331">
        <f>IFERROR(X$41*X24/X6,"")</f>
        <v/>
      </c>
      <c r="Y53" s="331">
        <f>IFERROR(Y$41*Y24/Y6,"")</f>
        <v/>
      </c>
      <c r="Z53" s="331">
        <f>IFERROR(Z$41*Z24/Z6,"")</f>
        <v/>
      </c>
      <c r="AA53" s="331">
        <f>IFERROR(AA$41*AA24/AA6,"")</f>
        <v/>
      </c>
      <c r="AB53" s="331" t="n"/>
    </row>
    <row r="54">
      <c r="A54" s="219" t="inlineStr">
        <is>
          <t xml:space="preserve">병원 </t>
        </is>
      </c>
      <c r="B54" s="331">
        <f>IFERROR(B$41*B25/B7,"")</f>
        <v/>
      </c>
      <c r="C54" s="331">
        <f>IFERROR(C$41*C25/C7,"")</f>
        <v/>
      </c>
      <c r="D54" s="331">
        <f>IFERROR(D$41*D25/D7,"")</f>
        <v/>
      </c>
      <c r="E54" s="331">
        <f>IFERROR(E$41*E25/E7,"")</f>
        <v/>
      </c>
      <c r="F54" s="331">
        <f>IFERROR(F$41*F25/F7,"")</f>
        <v/>
      </c>
      <c r="G54" s="331">
        <f>IFERROR(G$41*G25/G7,"")</f>
        <v/>
      </c>
      <c r="H54" s="331">
        <f>IFERROR(H$41*H25/H7,"")</f>
        <v/>
      </c>
      <c r="I54" s="331">
        <f>IFERROR(I$41*I25/I7,"")</f>
        <v/>
      </c>
      <c r="J54" s="331">
        <f>IFERROR(J$41*J25/J7,"")</f>
        <v/>
      </c>
      <c r="K54" s="331">
        <f>IFERROR(K$41*K25/K7,"")</f>
        <v/>
      </c>
      <c r="L54" s="331">
        <f>IFERROR(L$41*L25/L7,"")</f>
        <v/>
      </c>
      <c r="M54" s="331">
        <f>IFERROR(M$41*M25/M7,"")</f>
        <v/>
      </c>
      <c r="N54" s="331">
        <f>IFERROR(N$41*N25/N7,"")</f>
        <v/>
      </c>
      <c r="O54" s="331">
        <f>IFERROR(O$41*O25/O7,"")</f>
        <v/>
      </c>
      <c r="P54" s="331">
        <f>IFERROR(P$41*P25/P7,"")</f>
        <v/>
      </c>
      <c r="Q54" s="331">
        <f>IFERROR(Q$41*Q25/Q7,"")</f>
        <v/>
      </c>
      <c r="R54" s="331">
        <f>IFERROR(R$41*R25/R7,"")</f>
        <v/>
      </c>
      <c r="S54" s="331">
        <f>IFERROR(S$41*S25/S7,"")</f>
        <v/>
      </c>
      <c r="T54" s="331">
        <f>IFERROR(T$41*T25/T7,"")</f>
        <v/>
      </c>
      <c r="U54" s="331">
        <f>IFERROR(U$41*U25/U7,"")</f>
        <v/>
      </c>
      <c r="V54" s="331">
        <f>IFERROR(V$41*V25/V7,"")</f>
        <v/>
      </c>
      <c r="W54" s="331">
        <f>IFERROR(W$41*W25/W7,"")</f>
        <v/>
      </c>
      <c r="X54" s="331">
        <f>IFERROR(X$41*X25/X7,"")</f>
        <v/>
      </c>
      <c r="Y54" s="331">
        <f>IFERROR(Y$41*Y25/Y7,"")</f>
        <v/>
      </c>
      <c r="Z54" s="331">
        <f>IFERROR(Z$41*Z25/Z7,"")</f>
        <v/>
      </c>
      <c r="AA54" s="331">
        <f>IFERROR(AA$41*AA25/AA7,"")</f>
        <v/>
      </c>
      <c r="AB54" s="331" t="n"/>
    </row>
    <row r="55">
      <c r="A55" s="219" t="inlineStr">
        <is>
          <t>의원</t>
        </is>
      </c>
      <c r="B55" s="331">
        <f>IFERROR(B$41*B26/B8,"")</f>
        <v/>
      </c>
      <c r="C55" s="331">
        <f>IFERROR(C$41*C26/C8,"")</f>
        <v/>
      </c>
      <c r="D55" s="331">
        <f>IFERROR(D$41*D26/D8,"")</f>
        <v/>
      </c>
      <c r="E55" s="331">
        <f>IFERROR(E$41*E26/E8,"")</f>
        <v/>
      </c>
      <c r="F55" s="331">
        <f>IFERROR(F$41*F26/F8,"")</f>
        <v/>
      </c>
      <c r="G55" s="331">
        <f>IFERROR(G$41*G26/G8,"")</f>
        <v/>
      </c>
      <c r="H55" s="331">
        <f>IFERROR(H$41*H26/H8,"")</f>
        <v/>
      </c>
      <c r="I55" s="331">
        <f>IFERROR(I$41*I26/I8,"")</f>
        <v/>
      </c>
      <c r="J55" s="331">
        <f>IFERROR(J$41*J26/J8,"")</f>
        <v/>
      </c>
      <c r="K55" s="331">
        <f>IFERROR(K$41*K26/K8,"")</f>
        <v/>
      </c>
      <c r="L55" s="331">
        <f>IFERROR(L$41*L26/L8,"")</f>
        <v/>
      </c>
      <c r="M55" s="331">
        <f>IFERROR(M$41*M26/M8,"")</f>
        <v/>
      </c>
      <c r="N55" s="331">
        <f>IFERROR(N$41*N26/N8,"")</f>
        <v/>
      </c>
      <c r="O55" s="331">
        <f>IFERROR(O$41*O26/O8,"")</f>
        <v/>
      </c>
      <c r="P55" s="331">
        <f>IFERROR(P$41*P26/P8,"")</f>
        <v/>
      </c>
      <c r="Q55" s="331">
        <f>IFERROR(Q$41*Q26/Q8,"")</f>
        <v/>
      </c>
      <c r="R55" s="331">
        <f>IFERROR(R$41*R26/R8,"")</f>
        <v/>
      </c>
      <c r="S55" s="331">
        <f>IFERROR(S$41*S26/S8,"")</f>
        <v/>
      </c>
      <c r="T55" s="331">
        <f>IFERROR(T$41*T26/T8,"")</f>
        <v/>
      </c>
      <c r="U55" s="331">
        <f>IFERROR(U$41*U26/U8,"")</f>
        <v/>
      </c>
      <c r="V55" s="331">
        <f>IFERROR(V$41*V26/V8,"")</f>
        <v/>
      </c>
      <c r="W55" s="331">
        <f>IFERROR(W$41*W26/W8,"")</f>
        <v/>
      </c>
      <c r="X55" s="331">
        <f>IFERROR(X$41*X26/X8,"")</f>
        <v/>
      </c>
      <c r="Y55" s="331">
        <f>IFERROR(Y$41*Y26/Y8,"")</f>
        <v/>
      </c>
      <c r="Z55" s="331">
        <f>IFERROR(Z$41*Z26/Z8,"")</f>
        <v/>
      </c>
      <c r="AA55" s="331">
        <f>IFERROR(AA$41*AA26/AA8,"")</f>
        <v/>
      </c>
      <c r="AB55" s="331" t="n"/>
    </row>
    <row r="56">
      <c r="A56" s="219" t="n"/>
      <c r="B56" s="263" t="n"/>
      <c r="C56" s="263" t="n"/>
      <c r="D56" s="263" t="n"/>
      <c r="E56" s="263" t="n"/>
      <c r="F56" s="263" t="n"/>
      <c r="G56" s="263" t="n"/>
      <c r="H56" s="263" t="n"/>
      <c r="I56" s="263" t="n"/>
      <c r="J56" s="263" t="n"/>
      <c r="K56" s="263" t="n"/>
      <c r="L56" s="263" t="n"/>
      <c r="M56" s="263" t="n"/>
      <c r="N56" s="263" t="n"/>
      <c r="O56" s="263" t="n"/>
      <c r="P56" s="263" t="n"/>
      <c r="Q56" s="263" t="n"/>
      <c r="R56" s="263" t="n"/>
      <c r="S56" s="263" t="n"/>
      <c r="T56" s="263" t="n"/>
      <c r="U56" s="263" t="n"/>
      <c r="V56" s="263" t="n"/>
      <c r="W56" s="263" t="n"/>
      <c r="X56" s="263" t="n"/>
      <c r="Y56" s="263" t="n"/>
      <c r="Z56" s="263" t="n"/>
    </row>
    <row r="57">
      <c r="A57" s="41" t="inlineStr">
        <is>
          <t>■ G. SAP 기준 NSA 매출 수량 (Ampoule)</t>
        </is>
      </c>
      <c r="B57" s="41" t="n"/>
      <c r="C57" s="41" t="n"/>
      <c r="D57" s="41" t="n"/>
      <c r="E57" s="41" t="n"/>
      <c r="F57" s="41" t="n"/>
      <c r="G57" s="41" t="n"/>
      <c r="H57" s="41" t="n"/>
      <c r="I57" s="41" t="n"/>
      <c r="J57" s="41" t="n"/>
      <c r="K57" s="41" t="n"/>
      <c r="L57" s="41" t="n"/>
      <c r="M57" s="41" t="n"/>
      <c r="N57" s="41" t="n"/>
      <c r="O57" s="41" t="n"/>
      <c r="P57" s="41" t="n"/>
      <c r="Q57" s="41" t="n"/>
      <c r="R57" s="41" t="n"/>
      <c r="S57" s="41" t="n"/>
      <c r="T57" s="41" t="n"/>
      <c r="U57" s="41" t="n"/>
      <c r="V57" s="41" t="n"/>
      <c r="W57" s="41" t="n"/>
      <c r="X57" s="41" t="n"/>
      <c r="Y57" s="41" t="n"/>
      <c r="Z57" s="41" t="n"/>
      <c r="AA57" s="41" t="n"/>
    </row>
    <row r="58">
      <c r="A58" s="219" t="inlineStr">
        <is>
          <t>[SAP] DSKR 매출수량 (Ampoule)</t>
        </is>
      </c>
      <c r="F58" s="208" t="n">
        <v>441780</v>
      </c>
      <c r="G58" s="208" t="n">
        <v>449075</v>
      </c>
      <c r="H58" s="208" t="n">
        <v>463895</v>
      </c>
      <c r="I58" s="208" t="n">
        <v>458475</v>
      </c>
      <c r="J58" s="208" t="n">
        <v>566970</v>
      </c>
      <c r="K58" s="208" t="n">
        <v>357650</v>
      </c>
      <c r="L58" s="208" t="n">
        <v>437980</v>
      </c>
      <c r="M58" s="208" t="n">
        <v>493135</v>
      </c>
      <c r="N58" s="208" t="n">
        <v>548050</v>
      </c>
      <c r="O58" s="208" t="n">
        <v>501855</v>
      </c>
      <c r="P58" s="208" t="n">
        <v>553440</v>
      </c>
      <c r="Q58" s="208" t="n">
        <v>480055</v>
      </c>
      <c r="R58" s="208" t="n">
        <v>500115</v>
      </c>
      <c r="S58" s="208" t="n">
        <v>366105</v>
      </c>
      <c r="T58" s="208" t="n">
        <v>413405</v>
      </c>
      <c r="U58" s="208" t="n">
        <v>394355</v>
      </c>
      <c r="V58" s="208" t="n">
        <v>422060</v>
      </c>
      <c r="W58" s="208" t="n">
        <v>435790</v>
      </c>
      <c r="X58" s="208" t="n">
        <v>496700</v>
      </c>
      <c r="Y58" s="208" t="n">
        <v>468920</v>
      </c>
      <c r="Z58" s="208" t="n">
        <v>503600</v>
      </c>
      <c r="AA58" s="208" t="n">
        <v>495025</v>
      </c>
    </row>
    <row r="59">
      <c r="A59" s="180" t="inlineStr">
        <is>
          <t>전환비율</t>
        </is>
      </c>
      <c r="F59" s="181">
        <f>F42/F58</f>
        <v/>
      </c>
      <c r="G59" s="181">
        <f>G42/G58</f>
        <v/>
      </c>
      <c r="H59" s="181">
        <f>H42/H58</f>
        <v/>
      </c>
      <c r="I59" s="181">
        <f>I42/I58</f>
        <v/>
      </c>
      <c r="J59" s="181">
        <f>J42/J58</f>
        <v/>
      </c>
      <c r="K59" s="181">
        <f>K42/K58</f>
        <v/>
      </c>
      <c r="L59" s="181">
        <f>L42/L58</f>
        <v/>
      </c>
      <c r="M59" s="181">
        <f>M42/M58</f>
        <v/>
      </c>
      <c r="N59" s="181">
        <f>N42/N58</f>
        <v/>
      </c>
      <c r="O59" s="181">
        <f>O42/O58</f>
        <v/>
      </c>
      <c r="P59" s="181">
        <f>P42/P58</f>
        <v/>
      </c>
      <c r="Q59" s="181">
        <f>Q42/Q58</f>
        <v/>
      </c>
      <c r="R59" s="181">
        <f>R42/R58</f>
        <v/>
      </c>
      <c r="S59" s="181">
        <f>S42/S58</f>
        <v/>
      </c>
      <c r="T59" s="181">
        <f>T42/T58</f>
        <v/>
      </c>
      <c r="U59" s="181">
        <f>U42/U58</f>
        <v/>
      </c>
      <c r="V59" s="181">
        <f>V42/V58</f>
        <v/>
      </c>
      <c r="W59" s="181">
        <f>W42/W58</f>
        <v/>
      </c>
      <c r="X59" s="181">
        <f>X42/X58</f>
        <v/>
      </c>
      <c r="Y59" s="181">
        <f>Y42/Y58</f>
        <v/>
      </c>
      <c r="Z59" s="181">
        <f>Z42/Z58</f>
        <v/>
      </c>
      <c r="AA59" s="181">
        <f>AA42/AA58</f>
        <v/>
      </c>
    </row>
    <row r="60">
      <c r="V60" s="183">
        <f>V58/R58-1</f>
        <v/>
      </c>
      <c r="W60" s="183">
        <f>W58/S58-1</f>
        <v/>
      </c>
      <c r="X60" s="183">
        <f>X58/T58-1</f>
        <v/>
      </c>
      <c r="Y60" s="183">
        <f>Y58/U58-1</f>
        <v/>
      </c>
      <c r="Z60" s="183">
        <f>Z58/V58-1</f>
        <v/>
      </c>
      <c r="AA60" s="183">
        <f>AA58/W58-1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Eun-Woo Kim | 김은우</dc:creator>
  <dc:language xmlns:dc="http://purl.org/dc/elements/1.1/">en-US</dc:language>
  <dcterms:created xmlns:dcterms="http://purl.org/dc/terms/" xmlns:xsi="http://www.w3.org/2001/XMLSchema-instance" xsi:type="dcterms:W3CDTF">2026-06-29T07:13:13Z</dcterms:created>
  <dcterms:modified xmlns:dcterms="http://purl.org/dc/terms/" xmlns:xsi="http://www.w3.org/2001/XMLSchema-instance" xsi:type="dcterms:W3CDTF">2026-09-15T05:46:07Z</dcterms:modified>
  <cp:lastModifiedBy>Eun-Woo Kim | 김은우</cp:lastModifiedBy>
  <cp:revision>0</cp:revision>
  <cp:lastPrinted>2026-07-22T06:37:31Z</cp:lastPrinted>
</cp:coreProperties>
</file>