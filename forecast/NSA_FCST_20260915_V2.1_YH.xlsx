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종별전신마취환자수" sheetId="6" state="visible" r:id="rId6"/>
    <sheet xmlns:r="http://schemas.openxmlformats.org/officeDocument/2006/relationships" name="근거_Ramosetron 시장 수량" sheetId="7" state="visible" r:id="rId7"/>
    <sheet xmlns:r="http://schemas.openxmlformats.org/officeDocument/2006/relationships" name="근거_NSA수량(IQVIA기준)" sheetId="8" state="visible" r:id="rId8"/>
    <sheet xmlns:r="http://schemas.openxmlformats.org/officeDocument/2006/relationships" name="근거_매출" sheetId="9" state="visible" r:id="rId9"/>
    <sheet xmlns:r="http://schemas.openxmlformats.org/officeDocument/2006/relationships" name="근거_민감도" sheetId="10" state="visible" r:id="rId10"/>
    <sheet xmlns:r="http://schemas.openxmlformats.org/officeDocument/2006/relationships" name="CALC" sheetId="11" state="visible" r:id="rId11"/>
    <sheet xmlns:r="http://schemas.openxmlformats.org/officeDocument/2006/relationships" name="원본_NSA_연간예측" sheetId="12" state="visible" r:id="rId12"/>
    <sheet xmlns:r="http://schemas.openxmlformats.org/officeDocument/2006/relationships" name="모니터링_분기별" sheetId="13" state="visible" r:id="rId13"/>
    <sheet xmlns:r="http://schemas.openxmlformats.org/officeDocument/2006/relationships" name="원자료_분기실측" sheetId="14" state="visible" r:id="rId14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0.0"/>
    <numFmt numFmtId="185" formatCode="\+0.0%;\-0.0%;0.0%"/>
    <numFmt numFmtId="186" formatCode="+0.0000;-0.0000"/>
    <numFmt numFmtId="187" formatCode="+0.000%;-0.000%"/>
    <numFmt numFmtId="188" formatCode="+0.0%;-0.0%"/>
    <numFmt numFmtId="189" formatCode="_(* #,##0_);_(* \(#,##0\);_(* \-_);_(@_)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60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name val="맑은 고딕"/>
      <b val="1"/>
      <color rgb="00C00000"/>
      <sz val="11"/>
    </font>
    <font>
      <name val="Noto Sans CJK SC"/>
      <charset val="129"/>
      <family val="3"/>
      <b val="1"/>
      <color theme="1"/>
      <sz val="14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sz val="9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theme="0" tint="-0.1499984740745262"/>
        <bgColor rgb="FFE6F4EA"/>
      </patternFill>
    </fill>
    <fill>
      <patternFill patternType="solid">
        <fgColor theme="0" tint="-0.1499984740745262"/>
        <bgColor indexed="64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1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9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950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4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8" fontId="0" fillId="0" borderId="0" pivotButton="0" quotePrefix="0" xfId="0"/>
    <xf numFmtId="0" fontId="104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left" vertical="center" indent="1"/>
    </xf>
    <xf numFmtId="0" fontId="57" fillId="12" borderId="1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23" fillId="12" borderId="15" applyAlignment="1" pivotButton="0" quotePrefix="0" xfId="0">
      <alignment vertical="center"/>
    </xf>
    <xf numFmtId="0" fontId="57" fillId="12" borderId="15" applyAlignment="1" pivotButton="0" quotePrefix="0" xfId="0">
      <alignment vertical="center"/>
    </xf>
    <xf numFmtId="0" fontId="88" fillId="0" borderId="16" applyAlignment="1" pivotButton="0" quotePrefix="0" xfId="0">
      <alignment vertical="center"/>
    </xf>
    <xf numFmtId="165" fontId="89" fillId="0" borderId="16" applyAlignment="1" pivotButton="0" quotePrefix="0" xfId="0">
      <alignment horizontal="right" vertical="center"/>
    </xf>
    <xf numFmtId="165" fontId="82" fillId="0" borderId="16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pivotButton="0" quotePrefix="0" xfId="0"/>
    <xf numFmtId="0" fontId="106" fillId="0" borderId="0" pivotButton="0" quotePrefix="0" xfId="0"/>
    <xf numFmtId="0" fontId="106" fillId="0" borderId="0" applyAlignment="1" pivotButton="0" quotePrefix="0" xfId="0">
      <alignment vertical="center"/>
    </xf>
    <xf numFmtId="0" fontId="107" fillId="27" borderId="17" applyAlignment="1" pivotButton="0" quotePrefix="0" xfId="0">
      <alignment horizontal="center" vertical="center"/>
    </xf>
    <xf numFmtId="0" fontId="107" fillId="28" borderId="17" pivotButton="0" quotePrefix="0" xfId="0"/>
    <xf numFmtId="0" fontId="107" fillId="27" borderId="17" applyAlignment="1" pivotButton="0" quotePrefix="0" xfId="0">
      <alignment horizontal="left" vertical="center"/>
    </xf>
    <xf numFmtId="0" fontId="57" fillId="28" borderId="17" pivotButton="0" quotePrefix="0" xfId="0"/>
    <xf numFmtId="0" fontId="36" fillId="0" borderId="0" applyAlignment="1" pivotButton="0" quotePrefix="0" xfId="0">
      <alignment horizontal="center" vertical="center"/>
    </xf>
    <xf numFmtId="175" fontId="3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18" fillId="0" borderId="0" pivotButton="0" quotePrefix="0" xfId="0"/>
    <xf numFmtId="176" fontId="35" fillId="0" borderId="0" pivotButton="0" quotePrefix="0" xfId="0"/>
    <xf numFmtId="175" fontId="35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176" fontId="35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 vertical="center"/>
    </xf>
    <xf numFmtId="175" fontId="36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left" vertical="center"/>
    </xf>
    <xf numFmtId="0" fontId="18" fillId="0" borderId="16" pivotButton="0" quotePrefix="0" xfId="0"/>
    <xf numFmtId="0" fontId="36" fillId="0" borderId="16" applyAlignment="1" pivotButton="0" quotePrefix="0" xfId="0">
      <alignment horizontal="left" vertical="center"/>
    </xf>
    <xf numFmtId="176" fontId="35" fillId="0" borderId="16" pivotButton="0" quotePrefix="0" xfId="0"/>
    <xf numFmtId="0" fontId="53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109" fillId="0" borderId="0" pivotButton="0" quotePrefix="0" xfId="0"/>
    <xf numFmtId="0" fontId="110" fillId="0" borderId="0" pivotButton="0" quotePrefix="0" xfId="0"/>
    <xf numFmtId="0" fontId="57" fillId="12" borderId="0" applyAlignment="1" pivotButton="0" quotePrefix="0" xfId="0">
      <alignment vertical="center"/>
    </xf>
    <xf numFmtId="3" fontId="57" fillId="0" borderId="0" applyAlignment="1" pivotButton="0" quotePrefix="0" xfId="0">
      <alignment vertical="center"/>
    </xf>
    <xf numFmtId="164" fontId="57" fillId="0" borderId="0" applyAlignment="1" pivotButton="0" quotePrefix="0" xfId="0">
      <alignment vertical="center"/>
    </xf>
    <xf numFmtId="0" fontId="23" fillId="12" borderId="0" pivotButton="0" quotePrefix="0" xfId="0"/>
    <xf numFmtId="178" fontId="57" fillId="0" borderId="0" applyAlignment="1" pivotButton="0" quotePrefix="0" xfId="0">
      <alignment vertical="center"/>
    </xf>
    <xf numFmtId="0" fontId="82" fillId="0" borderId="0" pivotButton="0" quotePrefix="0" xfId="0"/>
    <xf numFmtId="166" fontId="57" fillId="0" borderId="0" applyAlignment="1" pivotButton="0" quotePrefix="0" xfId="0">
      <alignment vertical="center"/>
    </xf>
    <xf numFmtId="0" fontId="57" fillId="2" borderId="0" applyAlignment="1" pivotButton="0" quotePrefix="0" xfId="0">
      <alignment vertical="center"/>
    </xf>
    <xf numFmtId="177" fontId="57" fillId="0" borderId="0" applyAlignment="1" pivotButton="0" quotePrefix="0" xfId="0">
      <alignment vertical="center"/>
    </xf>
    <xf numFmtId="173" fontId="57" fillId="16" borderId="0" pivotButton="0" quotePrefix="0" xfId="0"/>
    <xf numFmtId="184" fontId="92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0" fontId="111" fillId="29" borderId="18" xfId="0">
      <alignment vertical="center"/>
    </xf>
    <xf numFmtId="0" fontId="116" fillId="34" borderId="19" xfId="0" applyFont="1" applyFill="1" applyBorder="1" applyAlignment="1">
      <alignment horizontal="center" vertical="center"/>
    </xf>
    <xf numFmtId="0" fontId="111" fillId="31" borderId="18" xfId="0" applyFill="1">
      <alignment vertical="center"/>
    </xf>
    <xf numFmtId="0" fontId="111" fillId="29" borderId="18" xfId="0" applyAlignment="1"/>
    <xf numFmtId="0" fontId="111" fillId="29" borderId="18" xfId="0" applyAlignment="1">
      <alignment horizontal="center" vertical="center"/>
    </xf>
    <xf numFmtId="0" fontId="115" fillId="29" borderId="18" xfId="0" applyFont="1">
      <alignment vertical="center"/>
    </xf>
    <xf numFmtId="0" fontId="111" fillId="29" borderId="18" xfId="0" applyAlignment="1">
      <alignment horizontal="right" vertical="center"/>
    </xf>
    <xf numFmtId="0" fontId="121" fillId="29" borderId="18" xfId="0" applyFont="1" applyAlignment="1">
      <alignment horizontal="center" vertical="center"/>
    </xf>
    <xf numFmtId="0" fontId="125" fillId="29" borderId="18" xfId="0" applyFont="1" applyAlignment="1">
      <alignment horizontal="left" vertical="center"/>
    </xf>
    <xf numFmtId="0" fontId="126" fillId="29" borderId="18" xfId="0" applyFont="1" applyAlignment="1">
      <alignment horizontal="left" vertical="center"/>
    </xf>
    <xf numFmtId="0" fontId="113" fillId="29" borderId="18" xfId="0" applyFont="1" applyAlignment="1">
      <alignment horizontal="left" vertical="center"/>
    </xf>
    <xf numFmtId="0" fontId="127" fillId="29" borderId="18" xfId="0" applyFont="1" applyAlignment="1">
      <alignment horizontal="left" vertical="center"/>
    </xf>
    <xf numFmtId="0" fontId="128" fillId="29" borderId="18" xfId="0" applyFont="1" applyAlignment="1">
      <alignment horizontal="left" vertical="center" indent="1"/>
    </xf>
    <xf numFmtId="0" fontId="129" fillId="29" borderId="18" xfId="0" applyFont="1" applyAlignment="1">
      <alignment horizontal="left" vertical="center" indent="2"/>
    </xf>
    <xf numFmtId="0" fontId="130" fillId="29" borderId="18" xfId="0" applyFont="1">
      <alignment vertical="center"/>
    </xf>
    <xf numFmtId="0" fontId="116" fillId="35" borderId="18" xfId="0" applyFont="1" applyFill="1" applyAlignment="1">
      <alignment horizontal="center" vertical="center"/>
    </xf>
    <xf numFmtId="1" fontId="131" fillId="35" borderId="18" xfId="0" applyNumberFormat="1" applyFont="1" applyFill="1" applyAlignment="1">
      <alignment horizontal="center" vertical="center"/>
    </xf>
    <xf numFmtId="0" fontId="122" fillId="40" borderId="20" xfId="0" applyFont="1" applyFill="1" applyBorder="1">
      <alignment vertical="center"/>
    </xf>
    <xf numFmtId="0" fontId="111" fillId="40" borderId="20" xfId="0" applyFill="1" applyBorder="1">
      <alignment vertical="center"/>
    </xf>
    <xf numFmtId="3" fontId="132" fillId="29" borderId="18" xfId="0" applyNumberFormat="1" applyFont="1">
      <alignment vertical="center"/>
    </xf>
    <xf numFmtId="0" fontId="133" fillId="29" borderId="21" xfId="0" applyFont="1" applyBorder="1">
      <alignment vertical="center"/>
    </xf>
    <xf numFmtId="3" fontId="111" fillId="29" borderId="21" xfId="0" applyNumberFormat="1" applyBorder="1">
      <alignment vertical="center"/>
    </xf>
    <xf numFmtId="10" fontId="111" fillId="29" borderId="18" xfId="0" applyNumberFormat="1">
      <alignment vertical="center"/>
    </xf>
    <xf numFmtId="0" fontId="111" fillId="29" borderId="21" xfId="0" applyBorder="1">
      <alignment vertical="center"/>
    </xf>
    <xf numFmtId="10" fontId="111" fillId="29" borderId="21" xfId="0" applyNumberFormat="1" applyBorder="1">
      <alignment vertical="center"/>
    </xf>
    <xf numFmtId="10" fontId="111" fillId="41" borderId="21" xfId="0" applyNumberFormat="1" applyFill="1" applyBorder="1">
      <alignment vertical="center"/>
    </xf>
    <xf numFmtId="3" fontId="132" fillId="31" borderId="18" xfId="0" applyNumberFormat="1" applyFont="1" applyFill="1">
      <alignment vertical="center"/>
    </xf>
    <xf numFmtId="0" fontId="133" fillId="38" borderId="21" xfId="0" applyFont="1" applyFill="1" applyBorder="1">
      <alignment vertical="center"/>
    </xf>
    <xf numFmtId="3" fontId="122" fillId="38" borderId="21" xfId="0" applyNumberFormat="1" applyFont="1" applyFill="1" applyBorder="1">
      <alignment vertical="center"/>
    </xf>
    <xf numFmtId="0" fontId="134" fillId="29" borderId="18" xfId="0" applyFont="1" applyAlignment="1">
      <alignment horizontal="right" vertical="center"/>
    </xf>
    <xf numFmtId="191" fontId="136" fillId="29" borderId="18" xfId="0" applyNumberFormat="1" applyFont="1"/>
    <xf numFmtId="0" fontId="143" fillId="29" borderId="18" xfId="0" applyFont="1">
      <alignment vertical="center"/>
    </xf>
    <xf numFmtId="0" fontId="130" fillId="29" borderId="18" xfId="0" applyFont="1" applyAlignment="1">
      <alignment horizontal="left" vertical="center" indent="1"/>
    </xf>
    <xf numFmtId="0" fontId="111" fillId="29" borderId="18" xfId="0" applyAlignment="1">
      <alignment horizontal="left" vertical="center" indent="1"/>
    </xf>
    <xf numFmtId="0" fontId="145" fillId="29" borderId="18" xfId="0" applyFont="1" applyAlignment="1">
      <alignment horizontal="left" vertical="center" indent="1"/>
    </xf>
    <xf numFmtId="0" fontId="120" fillId="29" borderId="21" xfId="0" applyFont="1" applyBorder="1">
      <alignment vertical="center"/>
    </xf>
    <xf numFmtId="3" fontId="122" fillId="31" borderId="21" xfId="0" applyNumberFormat="1" applyFont="1" applyFill="1" applyBorder="1">
      <alignment vertical="center"/>
    </xf>
    <xf numFmtId="3" fontId="147" fillId="31" borderId="21" xfId="0" applyNumberFormat="1" applyFont="1" applyFill="1" applyBorder="1">
      <alignment vertical="center"/>
    </xf>
    <xf numFmtId="191" fontId="111" fillId="29" borderId="21" xfId="0" applyNumberFormat="1" applyBorder="1">
      <alignment vertical="center"/>
    </xf>
    <xf numFmtId="191" fontId="111" fillId="41" borderId="21" xfId="0" applyNumberFormat="1" applyFill="1" applyBorder="1">
      <alignment vertical="center"/>
    </xf>
    <xf numFmtId="0" fontId="122" fillId="31" borderId="18" xfId="0" applyFont="1" applyFill="1" applyAlignment="1">
      <alignment horizontal="left" vertical="center" indent="5"/>
    </xf>
    <xf numFmtId="193" fontId="122" fillId="41" borderId="18" xfId="0" applyNumberFormat="1" applyFont="1" applyFill="1">
      <alignment vertical="center"/>
    </xf>
    <xf numFmtId="0" fontId="142" fillId="29" borderId="18" xfId="0" applyFont="1">
      <alignment vertical="center"/>
    </xf>
    <xf numFmtId="0" fontId="148" fillId="29" borderId="18" xfId="0" applyFont="1">
      <alignment vertical="center"/>
    </xf>
    <xf numFmtId="0" fontId="120" fillId="29" borderId="21" xfId="0" applyFont="1" applyBorder="1" applyAlignment="1">
      <alignment vertical="center" wrapText="1"/>
    </xf>
    <xf numFmtId="0" fontId="120" fillId="29" borderId="18" xfId="0" applyFont="1" applyAlignment="1">
      <alignment vertical="center" wrapText="1"/>
    </xf>
    <xf numFmtId="0" fontId="111" fillId="29" borderId="21" xfId="0" applyBorder="1" applyAlignment="1">
      <alignment vertical="center" wrapText="1"/>
    </xf>
    <xf numFmtId="0" fontId="111" fillId="29" borderId="18" xfId="0" applyAlignment="1">
      <alignment vertical="center" wrapText="1"/>
    </xf>
    <xf numFmtId="0" fontId="122" fillId="38" borderId="21" xfId="0" applyFont="1" applyFill="1" applyBorder="1">
      <alignment vertical="center"/>
    </xf>
    <xf numFmtId="0" fontId="122" fillId="31" borderId="18" xfId="0" applyFont="1" applyFill="1">
      <alignment vertical="center"/>
    </xf>
    <xf numFmtId="3" fontId="147" fillId="31" borderId="18" xfId="0" applyNumberFormat="1" applyFont="1" applyFill="1">
      <alignment vertical="center"/>
    </xf>
    <xf numFmtId="3" fontId="122" fillId="31" borderId="18" xfId="0" applyNumberFormat="1" applyFont="1" applyFill="1">
      <alignment vertical="center"/>
    </xf>
    <xf numFmtId="0" fontId="137" fillId="31" borderId="18" xfId="0" applyFont="1" applyFill="1" applyAlignment="1">
      <alignment horizontal="left" vertical="center" indent="5"/>
    </xf>
    <xf numFmtId="0" fontId="118" fillId="29" borderId="18" xfId="0" applyFont="1" applyAlignment="1"/>
    <xf numFmtId="191" fontId="111" fillId="29" borderId="18" xfId="0" applyNumberFormat="1">
      <alignment vertical="center"/>
    </xf>
    <xf numFmtId="2" fontId="111" fillId="29" borderId="21" xfId="0" applyNumberFormat="1" applyBorder="1">
      <alignment vertical="center"/>
    </xf>
    <xf numFmtId="195" fontId="111" fillId="29" borderId="21" xfId="0" applyNumberFormat="1" applyBorder="1">
      <alignment vertical="center"/>
    </xf>
    <xf numFmtId="195" fontId="111" fillId="29" borderId="18" xfId="0" applyNumberFormat="1">
      <alignment vertical="center"/>
    </xf>
    <xf numFmtId="196" fontId="111" fillId="29" borderId="18" xfId="0" applyNumberFormat="1">
      <alignment vertical="center"/>
    </xf>
    <xf numFmtId="0" fontId="131" fillId="35" borderId="18" xfId="0" applyFont="1" applyFill="1" applyAlignment="1">
      <alignment horizontal="center" vertical="center"/>
    </xf>
    <xf numFmtId="0" fontId="118" fillId="29" borderId="18" xfId="0" applyFont="1">
      <alignment vertical="center"/>
    </xf>
    <xf numFmtId="0" fontId="118" fillId="29" borderId="21" xfId="0" applyFont="1" applyBorder="1">
      <alignment vertical="center"/>
    </xf>
    <xf numFmtId="191" fontId="135" fillId="29" borderId="18" xfId="0" applyNumberFormat="1"/>
    <xf numFmtId="0" fontId="154" fillId="29" borderId="18" xfId="0" applyFont="1" applyAlignment="1">
      <alignment horizontal="left" vertical="center" indent="5"/>
    </xf>
    <xf numFmtId="0" fontId="154" fillId="31" borderId="18" xfId="0" applyFont="1" applyFill="1">
      <alignment vertical="center"/>
    </xf>
    <xf numFmtId="0" fontId="122" fillId="38" borderId="18" xfId="0" applyFont="1" applyFill="1">
      <alignment vertical="center"/>
    </xf>
    <xf numFmtId="3" fontId="122" fillId="38" borderId="18" xfId="0" applyNumberFormat="1" applyFont="1" applyFill="1">
      <alignment vertical="center"/>
    </xf>
    <xf numFmtId="191" fontId="135" fillId="29" borderId="18" xfId="0" applyNumberFormat="1" applyAlignment="1">
      <alignment vertical="center"/>
    </xf>
    <xf numFmtId="0" fontId="140" fillId="29" borderId="18" xfId="0" applyFont="1" applyAlignment="1">
      <alignment horizontal="left" vertical="center" indent="1"/>
    </xf>
    <xf numFmtId="0" fontId="141" fillId="29" borderId="18" xfId="0" applyFont="1" applyAlignment="1"/>
    <xf numFmtId="9" fontId="141" fillId="29" borderId="18" xfId="0" applyFont="1"/>
    <xf numFmtId="0" fontId="141" fillId="29" borderId="18" xfId="0" applyFont="1" applyAlignment="1">
      <alignment horizontal="left" vertical="center" indent="1"/>
    </xf>
    <xf numFmtId="0" fontId="122" fillId="29" borderId="18" xfId="0" applyFont="1" applyAlignment="1">
      <alignment horizontal="left"/>
    </xf>
    <xf numFmtId="198" fontId="158" fillId="29" borderId="18" xfId="0" applyNumberFormat="1" applyFont="1" applyAlignment="1">
      <alignment horizontal="center" vertical="center"/>
    </xf>
    <xf numFmtId="198" fontId="158" fillId="29" borderId="18" xfId="0" applyNumberFormat="1" applyFont="1">
      <alignment vertical="center"/>
    </xf>
    <xf numFmtId="0" fontId="142" fillId="29" borderId="18" xfId="0" applyFont="1" applyAlignment="1"/>
    <xf numFmtId="0" fontId="159" fillId="29" borderId="18" xfId="0" applyFont="1">
      <alignment vertical="center"/>
    </xf>
    <xf numFmtId="192" fontId="111" fillId="29" borderId="18" xfId="0" applyNumberFormat="1">
      <alignment vertical="center"/>
    </xf>
    <xf numFmtId="0" fontId="160" fillId="29" borderId="18" xfId="0" applyFont="1" applyAlignment="1"/>
    <xf numFmtId="195" fontId="160" fillId="29" borderId="18" xfId="0" applyNumberFormat="1" applyFont="1" applyAlignment="1"/>
    <xf numFmtId="199" fontId="160" fillId="29" borderId="18" xfId="0" applyNumberFormat="1" applyFont="1" applyAlignment="1"/>
    <xf numFmtId="195" fontId="174" fillId="29" borderId="18" xfId="0" applyNumberFormat="1">
      <alignment vertical="center"/>
    </xf>
    <xf numFmtId="199" fontId="111" fillId="29" borderId="18" xfId="0" applyNumberFormat="1" applyAlignment="1"/>
    <xf numFmtId="0" fontId="151" fillId="29" borderId="18" xfId="0" applyFont="1">
      <alignment vertical="center"/>
    </xf>
    <xf numFmtId="0" fontId="153" fillId="35" borderId="31" xfId="0" applyFont="1" applyFill="1" applyBorder="1" applyAlignment="1">
      <alignment horizontal="center"/>
    </xf>
    <xf numFmtId="0" fontId="161" fillId="29" borderId="18" xfId="0" applyFont="1" applyAlignment="1">
      <alignment horizontal="left" vertical="center" indent="4"/>
    </xf>
    <xf numFmtId="0" fontId="162" fillId="29" borderId="18" xfId="0" applyFont="1">
      <alignment vertical="center"/>
    </xf>
    <xf numFmtId="0" fontId="162" fillId="29" borderId="31" xfId="0" applyFont="1" applyBorder="1">
      <alignment vertical="center"/>
    </xf>
    <xf numFmtId="0" fontId="118" fillId="29" borderId="18" xfId="0" applyFont="1" applyAlignment="1">
      <alignment horizontal="left" vertical="center" indent="1"/>
    </xf>
    <xf numFmtId="0" fontId="118" fillId="42" borderId="20" xfId="0" applyFont="1" applyFill="1" applyBorder="1" applyAlignment="1"/>
    <xf numFmtId="0" fontId="118" fillId="42" borderId="20" xfId="0" applyFont="1" applyFill="1" applyBorder="1">
      <alignment vertical="center"/>
    </xf>
    <xf numFmtId="10" fontId="118" fillId="29" borderId="18" xfId="0" applyNumberFormat="1" applyFont="1">
      <alignment vertical="center"/>
    </xf>
    <xf numFmtId="200" fontId="118" fillId="29" borderId="18" xfId="0" applyNumberFormat="1" applyFont="1">
      <alignment vertical="center"/>
    </xf>
    <xf numFmtId="0" fontId="123" fillId="41" borderId="21" xfId="0" applyFont="1" applyFill="1" applyBorder="1">
      <alignment vertical="center"/>
    </xf>
    <xf numFmtId="0" fontId="118" fillId="41" borderId="21" xfId="0" applyFont="1" applyFill="1" applyBorder="1">
      <alignment vertical="center"/>
    </xf>
    <xf numFmtId="200" fontId="118" fillId="41" borderId="21" xfId="0" applyNumberFormat="1" applyFont="1" applyFill="1" applyBorder="1">
      <alignment vertical="center"/>
    </xf>
    <xf numFmtId="0" fontId="166" fillId="29" borderId="18" xfId="0" applyFont="1" applyAlignment="1">
      <alignment horizontal="center" vertical="center"/>
    </xf>
    <xf numFmtId="0" fontId="151" fillId="41" borderId="21" xfId="0" applyFont="1" applyFill="1" applyBorder="1">
      <alignment vertical="center"/>
    </xf>
    <xf numFmtId="0" fontId="118" fillId="41" borderId="21" xfId="0" applyFont="1" applyFill="1" applyBorder="1" applyAlignment="1"/>
    <xf numFmtId="10" fontId="118" fillId="41" borderId="21" xfId="0" applyNumberFormat="1" applyFont="1" applyFill="1" applyBorder="1">
      <alignment vertical="center"/>
    </xf>
    <xf numFmtId="0" fontId="118" fillId="29" borderId="21" xfId="0" applyFont="1" applyBorder="1" applyAlignment="1"/>
    <xf numFmtId="0" fontId="118" fillId="31" borderId="18" xfId="0" applyFont="1" applyFill="1" applyAlignment="1"/>
    <xf numFmtId="10" fontId="118" fillId="31" borderId="18" xfId="0" applyNumberFormat="1" applyFont="1" applyFill="1">
      <alignment vertical="center"/>
    </xf>
    <xf numFmtId="0" fontId="118" fillId="31" borderId="18" xfId="0" applyFont="1" applyFill="1">
      <alignment vertical="center"/>
    </xf>
    <xf numFmtId="0" fontId="123" fillId="43" borderId="22" xfId="0" applyFont="1" applyFill="1" applyBorder="1" applyAlignment="1">
      <alignment horizontal="center" vertical="center"/>
    </xf>
    <xf numFmtId="0" fontId="118" fillId="43" borderId="22" xfId="0" applyFont="1" applyFill="1" applyBorder="1" applyAlignment="1">
      <alignment horizontal="center" vertical="center"/>
    </xf>
    <xf numFmtId="0" fontId="117" fillId="43" borderId="24" xfId="0" applyFont="1" applyFill="1" applyBorder="1" applyAlignment="1">
      <alignment horizontal="center" vertical="center"/>
    </xf>
    <xf numFmtId="0" fontId="117" fillId="43" borderId="22" xfId="0" applyFont="1" applyFill="1" applyBorder="1" applyAlignment="1">
      <alignment horizontal="center" vertical="center"/>
    </xf>
    <xf numFmtId="0" fontId="118" fillId="43" borderId="24" xfId="0" applyFont="1" applyFill="1" applyBorder="1" applyAlignment="1">
      <alignment horizontal="center" vertical="center"/>
    </xf>
    <xf numFmtId="0" fontId="111" fillId="43" borderId="22" xfId="0" applyFill="1" applyBorder="1" applyAlignment="1">
      <alignment horizontal="center" vertical="center"/>
    </xf>
    <xf numFmtId="0" fontId="118" fillId="29" borderId="18" xfId="0" applyFont="1" applyAlignment="1">
      <alignment horizontal="center" vertical="center"/>
    </xf>
    <xf numFmtId="0" fontId="118" fillId="29" borderId="27" xfId="0" applyFont="1" applyBorder="1">
      <alignment vertical="center"/>
    </xf>
    <xf numFmtId="0" fontId="118" fillId="29" borderId="18" xfId="0" applyFont="1" applyAlignment="1">
      <alignment horizontal="right"/>
    </xf>
    <xf numFmtId="0" fontId="118" fillId="29" borderId="21" xfId="0" applyFont="1" applyBorder="1" applyAlignment="1">
      <alignment horizontal="center" vertical="center"/>
    </xf>
    <xf numFmtId="0" fontId="118" fillId="29" borderId="30" xfId="0" applyFont="1" applyBorder="1">
      <alignment vertical="center"/>
    </xf>
    <xf numFmtId="0" fontId="118" fillId="29" borderId="21" xfId="0" applyFont="1" applyBorder="1" applyAlignment="1">
      <alignment horizontal="right"/>
    </xf>
    <xf numFmtId="0" fontId="169" fillId="29" borderId="18" xfId="0" applyFont="1">
      <alignment vertical="center"/>
    </xf>
    <xf numFmtId="0" fontId="117" fillId="29" borderId="18" xfId="0" applyFont="1">
      <alignment vertical="center"/>
    </xf>
    <xf numFmtId="0" fontId="123" fillId="43" borderId="25" xfId="0" applyFont="1" applyFill="1" applyBorder="1" applyAlignment="1">
      <alignment horizontal="center" vertical="center"/>
    </xf>
    <xf numFmtId="0" fontId="111" fillId="43" borderId="23" xfId="0" applyFill="1" applyBorder="1" applyAlignment="1">
      <alignment horizontal="center" vertical="center"/>
    </xf>
    <xf numFmtId="0" fontId="139" fillId="29" borderId="28" xfId="0" applyFont="1" applyBorder="1" applyAlignment="1">
      <alignment horizontal="center" vertical="center"/>
    </xf>
    <xf numFmtId="0" fontId="139" fillId="29" borderId="18" xfId="0" applyFont="1">
      <alignment vertical="center"/>
    </xf>
    <xf numFmtId="10" fontId="118" fillId="29" borderId="27" xfId="0" applyNumberFormat="1" applyFont="1" applyBorder="1">
      <alignment vertical="center"/>
    </xf>
    <xf numFmtId="201" fontId="118" fillId="29" borderId="27" xfId="0" applyNumberFormat="1" applyFont="1" applyBorder="1">
      <alignment vertical="center"/>
    </xf>
    <xf numFmtId="0" fontId="118" fillId="29" borderId="26" xfId="0" applyFont="1" applyBorder="1">
      <alignment vertical="center"/>
    </xf>
    <xf numFmtId="10" fontId="118" fillId="29" borderId="30" xfId="0" applyNumberFormat="1" applyFont="1" applyBorder="1">
      <alignment vertical="center"/>
    </xf>
    <xf numFmtId="201" fontId="118" fillId="29" borderId="30" xfId="0" applyNumberFormat="1" applyFont="1" applyBorder="1">
      <alignment vertical="center"/>
    </xf>
    <xf numFmtId="0" fontId="118" fillId="29" borderId="29" xfId="0" applyFont="1" applyBorder="1">
      <alignment vertical="center"/>
    </xf>
    <xf numFmtId="0" fontId="170" fillId="29" borderId="20" xfId="0" applyFont="1" applyBorder="1">
      <alignment vertical="center"/>
    </xf>
    <xf numFmtId="0" fontId="118" fillId="29" borderId="20" xfId="0" applyFont="1" applyBorder="1">
      <alignment vertical="center"/>
    </xf>
    <xf numFmtId="0" fontId="120" fillId="29" borderId="18" xfId="0" applyFont="1">
      <alignment vertical="center"/>
    </xf>
    <xf numFmtId="0" fontId="112" fillId="32" borderId="18" xfId="0" applyFont="1" applyFill="1">
      <alignment vertical="center"/>
    </xf>
    <xf numFmtId="0" fontId="122" fillId="44" borderId="18" xfId="0" applyFont="1" applyFill="1">
      <alignment vertical="center"/>
    </xf>
    <xf numFmtId="0" fontId="133" fillId="44" borderId="18" xfId="0" applyFont="1" applyFill="1">
      <alignment vertical="center"/>
    </xf>
    <xf numFmtId="3" fontId="111" fillId="29" borderId="18" xfId="0" applyNumberFormat="1">
      <alignment vertical="center"/>
    </xf>
    <xf numFmtId="194" fontId="126" fillId="29" borderId="18" xfId="0" applyNumberFormat="1" applyFont="1">
      <alignment vertical="center"/>
    </xf>
    <xf numFmtId="194" fontId="111" fillId="29" borderId="18" xfId="0" applyNumberFormat="1">
      <alignment vertical="center"/>
    </xf>
    <xf numFmtId="202" fontId="111" fillId="29" borderId="18" xfId="0" applyNumberFormat="1">
      <alignment vertical="center"/>
    </xf>
    <xf numFmtId="0" fontId="126" fillId="29" borderId="18" xfId="0" applyFont="1">
      <alignment vertical="center"/>
    </xf>
    <xf numFmtId="194" fontId="172" fillId="29" borderId="18" xfId="0" applyNumberFormat="1" applyFont="1">
      <alignment vertical="center"/>
    </xf>
    <xf numFmtId="0" fontId="112" fillId="33" borderId="18" xfId="0" applyFont="1" applyFill="1">
      <alignment vertical="center"/>
    </xf>
    <xf numFmtId="0" fontId="173" fillId="33" borderId="18" xfId="0" applyFont="1" applyFill="1">
      <alignment vertical="center"/>
    </xf>
    <xf numFmtId="0" fontId="157" fillId="44" borderId="18" xfId="0" applyFont="1" applyFill="1">
      <alignment vertical="center"/>
    </xf>
    <xf numFmtId="0" fontId="172" fillId="29" borderId="18" xfId="0" applyFont="1">
      <alignment vertical="center"/>
    </xf>
    <xf numFmtId="0" fontId="132" fillId="29" borderId="18" xfId="0" applyFont="1">
      <alignment vertical="center"/>
    </xf>
    <xf numFmtId="200" fontId="132" fillId="29" borderId="18" xfId="0" applyNumberFormat="1" applyFont="1">
      <alignment vertical="center"/>
    </xf>
    <xf numFmtId="0" fontId="122" fillId="29" borderId="18" xfId="0" applyFont="1">
      <alignment vertical="center"/>
    </xf>
    <xf numFmtId="191" fontId="159" fillId="29" borderId="18" xfId="0" applyNumberFormat="1" applyFont="1">
      <alignment vertical="center"/>
    </xf>
    <xf numFmtId="0" fontId="111" fillId="45" borderId="18" xfId="0" applyFill="1">
      <alignment vertical="center"/>
    </xf>
    <xf numFmtId="2" fontId="111" fillId="45" borderId="18" xfId="0" applyNumberFormat="1" applyFill="1">
      <alignment vertical="center"/>
    </xf>
    <xf numFmtId="3" fontId="111" fillId="47" borderId="18" xfId="0" applyNumberFormat="1" applyFill="1">
      <alignment vertical="center"/>
    </xf>
    <xf numFmtId="10" fontId="111" fillId="29" borderId="18" xfId="0" applyNumberFormat="1" applyAlignment="1">
      <alignment horizontal="center" vertical="center"/>
    </xf>
    <xf numFmtId="0" fontId="176" fillId="29" borderId="18" xfId="0" applyFont="1" applyAlignment="1">
      <alignment vertical="center" wrapText="1"/>
    </xf>
    <xf numFmtId="0" fontId="177" fillId="29" borderId="18" xfId="0" applyFont="1">
      <alignment vertical="center"/>
    </xf>
    <xf numFmtId="2" fontId="111" fillId="29" borderId="18" xfId="0" applyNumberFormat="1">
      <alignment vertical="center"/>
    </xf>
    <xf numFmtId="0" fontId="176" fillId="29" borderId="18" xfId="0" applyFont="1">
      <alignment vertical="center"/>
    </xf>
    <xf numFmtId="190" fontId="111" fillId="29" borderId="18" xfId="0" applyFont="1">
      <alignment vertical="center"/>
    </xf>
    <xf numFmtId="0" fontId="116" fillId="34" borderId="18" xfId="0" applyFont="1" applyFill="1" applyAlignment="1">
      <alignment horizontal="center" vertical="center"/>
    </xf>
    <xf numFmtId="0" fontId="111" fillId="29" borderId="32" xfId="0" applyBorder="1" applyAlignment="1"/>
    <xf numFmtId="0" fontId="111" fillId="29" borderId="32" xfId="0" applyBorder="1">
      <alignment vertical="center"/>
    </xf>
    <xf numFmtId="0" fontId="118" fillId="29" borderId="32" xfId="0" applyFont="1" applyBorder="1">
      <alignment vertical="center"/>
    </xf>
    <xf numFmtId="0" fontId="187" fillId="29" borderId="18" xfId="0" applyFont="1" applyAlignment="1">
      <alignment horizontal="center" vertical="center"/>
    </xf>
    <xf numFmtId="10" fontId="111" fillId="41" borderId="18" xfId="0" applyNumberFormat="1" applyFill="1">
      <alignment vertical="center"/>
    </xf>
    <xf numFmtId="3" fontId="111" fillId="41" borderId="18" xfId="0" applyNumberFormat="1" applyFill="1">
      <alignment vertical="center"/>
    </xf>
    <xf numFmtId="0" fontId="188" fillId="29" borderId="18" xfId="0" applyFont="1" applyAlignment="1">
      <alignment horizontal="right" vertical="center"/>
    </xf>
    <xf numFmtId="0" fontId="193" fillId="29" borderId="18" xfId="0" applyFont="1" applyAlignment="1">
      <alignment horizontal="left" vertical="center" indent="1"/>
    </xf>
    <xf numFmtId="0" fontId="194" fillId="29" borderId="32" xfId="0" applyFont="1" applyBorder="1" applyAlignment="1">
      <alignment horizontal="left" vertical="center" indent="1"/>
    </xf>
    <xf numFmtId="1" fontId="131" fillId="39" borderId="18" xfId="0" applyNumberFormat="1" applyFont="1" applyFill="1" applyAlignment="1">
      <alignment horizontal="center" vertical="center"/>
    </xf>
    <xf numFmtId="0" fontId="131" fillId="39" borderId="18" xfId="0" applyFont="1" applyFill="1" applyAlignment="1">
      <alignment horizontal="center" vertical="center"/>
    </xf>
    <xf numFmtId="0" fontId="198" fillId="29" borderId="18" xfId="0" applyFont="1">
      <alignment vertical="center"/>
    </xf>
    <xf numFmtId="0" fontId="149" fillId="29" borderId="18" xfId="0" applyFont="1">
      <alignment vertical="center"/>
    </xf>
    <xf numFmtId="0" fontId="203" fillId="31" borderId="18" xfId="0" applyFont="1" applyFill="1" applyAlignment="1">
      <alignment horizontal="left" vertical="center"/>
    </xf>
    <xf numFmtId="0" fontId="204" fillId="29" borderId="18" xfId="0" applyFont="1" applyAlignment="1"/>
    <xf numFmtId="0" fontId="145" fillId="29" borderId="18" xfId="0" applyFont="1" applyAlignment="1">
      <alignment horizontal="left" vertical="center"/>
    </xf>
    <xf numFmtId="0" fontId="130" fillId="29" borderId="18" xfId="0" applyFont="1" applyAlignment="1">
      <alignment horizontal="left" vertical="center"/>
    </xf>
    <xf numFmtId="0" fontId="144" fillId="29" borderId="18" xfId="0" applyFont="1" applyAlignment="1">
      <alignment horizontal="left" vertical="center"/>
    </xf>
    <xf numFmtId="0" fontId="207" fillId="29" borderId="18" xfId="0" applyFont="1" applyAlignment="1">
      <alignment horizontal="left" vertical="center"/>
    </xf>
    <xf numFmtId="191" fontId="111" fillId="51" borderId="18" xfId="0" applyNumberFormat="1" applyFill="1">
      <alignment vertical="center"/>
    </xf>
    <xf numFmtId="0" fontId="111" fillId="52" borderId="18" xfId="0" applyFill="1">
      <alignment vertical="center"/>
    </xf>
    <xf numFmtId="0" fontId="215" fillId="29" borderId="18" xfId="0" applyFont="1" applyAlignment="1">
      <alignment horizontal="right" vertical="center"/>
    </xf>
    <xf numFmtId="0" fontId="145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center" vertical="center"/>
    </xf>
    <xf numFmtId="0" fontId="145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center" vertical="center"/>
    </xf>
    <xf numFmtId="0" fontId="208" fillId="42" borderId="38" xfId="0" applyFont="1" applyFill="1" applyBorder="1" applyAlignment="1">
      <alignment horizontal="left" vertical="center" indent="2"/>
    </xf>
    <xf numFmtId="0" fontId="146" fillId="42" borderId="38" xfId="0" applyFont="1" applyFill="1" applyBorder="1" applyAlignment="1">
      <alignment horizontal="center" vertical="center"/>
    </xf>
    <xf numFmtId="0" fontId="145" fillId="31" borderId="38" xfId="0" applyFont="1" applyFill="1" applyBorder="1" applyAlignment="1">
      <alignment horizontal="right" vertical="center"/>
    </xf>
    <xf numFmtId="0" fontId="159" fillId="31" borderId="38" xfId="0" applyFont="1" applyFill="1" applyBorder="1" applyAlignment="1">
      <alignment horizontal="center" vertical="center"/>
    </xf>
    <xf numFmtId="0" fontId="146" fillId="42" borderId="39" xfId="0" applyFont="1" applyFill="1" applyBorder="1" applyAlignment="1">
      <alignment horizontal="center" vertical="center"/>
    </xf>
    <xf numFmtId="0" fontId="145" fillId="42" borderId="39" xfId="0" applyFont="1" applyFill="1" applyBorder="1" applyAlignment="1">
      <alignment horizontal="center" vertical="center"/>
    </xf>
    <xf numFmtId="194" fontId="207" fillId="31" borderId="39" xfId="0" applyNumberFormat="1" applyFont="1" applyFill="1" applyBorder="1" applyAlignment="1">
      <alignment horizontal="center" vertical="center"/>
    </xf>
    <xf numFmtId="194" fontId="207" fillId="31" borderId="40" xfId="0" applyNumberFormat="1" applyFont="1" applyFill="1" applyBorder="1" applyAlignment="1">
      <alignment horizontal="center" vertical="center"/>
    </xf>
    <xf numFmtId="194" fontId="207" fillId="31" borderId="41" xfId="0" applyNumberFormat="1" applyFont="1" applyFill="1" applyBorder="1" applyAlignment="1">
      <alignment horizontal="center" vertical="center"/>
    </xf>
    <xf numFmtId="200" fontId="140" fillId="31" borderId="39" xfId="0" applyNumberFormat="1" applyFont="1" applyFill="1" applyBorder="1" applyAlignment="1">
      <alignment horizontal="center" vertical="center"/>
    </xf>
    <xf numFmtId="193" fontId="140" fillId="31" borderId="38" xfId="0" applyNumberFormat="1" applyFont="1" applyFill="1" applyBorder="1" applyAlignment="1">
      <alignment horizontal="center" vertical="center"/>
    </xf>
    <xf numFmtId="200" fontId="140" fillId="31" borderId="40" xfId="0" applyNumberFormat="1" applyFont="1" applyFill="1" applyBorder="1" applyAlignment="1">
      <alignment horizontal="center" vertical="center"/>
    </xf>
    <xf numFmtId="193" fontId="140" fillId="31" borderId="18" xfId="0" applyNumberFormat="1" applyFont="1" applyFill="1" applyAlignment="1">
      <alignment horizontal="center" vertical="center"/>
    </xf>
    <xf numFmtId="200" fontId="140" fillId="31" borderId="41" xfId="0" applyNumberFormat="1" applyFont="1" applyFill="1" applyBorder="1" applyAlignment="1">
      <alignment horizontal="center" vertical="center"/>
    </xf>
    <xf numFmtId="193" fontId="140" fillId="31" borderId="35" xfId="0" applyNumberFormat="1" applyFont="1" applyFill="1" applyBorder="1" applyAlignment="1">
      <alignment horizontal="center" vertical="center"/>
    </xf>
    <xf numFmtId="0" fontId="207" fillId="31" borderId="18" xfId="0" applyFont="1" applyFill="1">
      <alignment vertical="center"/>
    </xf>
    <xf numFmtId="0" fontId="207" fillId="29" borderId="18" xfId="0" applyFont="1" applyAlignment="1">
      <alignment horizontal="right" vertical="center"/>
    </xf>
    <xf numFmtId="0" fontId="207" fillId="31" borderId="18" xfId="0" applyFont="1" applyFill="1" applyAlignment="1">
      <alignment horizontal="left" vertical="center"/>
    </xf>
    <xf numFmtId="0" fontId="216" fillId="31" borderId="18" xfId="0" applyFont="1" applyFill="1" applyAlignment="1">
      <alignment horizontal="left" vertical="center"/>
    </xf>
    <xf numFmtId="0" fontId="149" fillId="29" borderId="18" xfId="0" applyFont="1" applyAlignment="1">
      <alignment horizontal="left" vertical="center"/>
    </xf>
    <xf numFmtId="0" fontId="159" fillId="31" borderId="18" xfId="0" applyFont="1" applyFill="1">
      <alignment vertical="center"/>
    </xf>
    <xf numFmtId="0" fontId="159" fillId="29" borderId="18" xfId="0" applyFont="1" applyAlignment="1"/>
    <xf numFmtId="0" fontId="207" fillId="29" borderId="18" xfId="0" applyFont="1" applyAlignment="1"/>
    <xf numFmtId="0" fontId="207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left" vertical="center" indent="1"/>
    </xf>
    <xf numFmtId="0" fontId="207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left" vertical="center" indent="1"/>
    </xf>
    <xf numFmtId="0" fontId="203" fillId="42" borderId="38" xfId="0" applyFont="1" applyFill="1" applyBorder="1" applyAlignment="1">
      <alignment horizontal="left" vertical="center" indent="1"/>
    </xf>
    <xf numFmtId="0" fontId="207" fillId="31" borderId="38" xfId="0" applyFont="1" applyFill="1" applyBorder="1" applyAlignment="1">
      <alignment horizontal="right" vertical="center"/>
    </xf>
    <xf numFmtId="0" fontId="207" fillId="31" borderId="38" xfId="0" applyFont="1" applyFill="1" applyBorder="1" applyAlignment="1">
      <alignment horizontal="left" vertical="center" indent="1"/>
    </xf>
    <xf numFmtId="0" fontId="203" fillId="42" borderId="39" xfId="0" applyFont="1" applyFill="1" applyBorder="1" applyAlignment="1">
      <alignment horizontal="center" vertical="center"/>
    </xf>
    <xf numFmtId="2" fontId="140" fillId="31" borderId="39" xfId="0" applyNumberFormat="1" applyFont="1" applyFill="1" applyBorder="1">
      <alignment vertical="center"/>
    </xf>
    <xf numFmtId="2" fontId="140" fillId="31" borderId="40" xfId="0" applyNumberFormat="1" applyFont="1" applyFill="1" applyBorder="1">
      <alignment vertical="center"/>
    </xf>
    <xf numFmtId="2" fontId="140" fillId="31" borderId="41" xfId="0" applyNumberFormat="1" applyFont="1" applyFill="1" applyBorder="1">
      <alignment vertical="center"/>
    </xf>
    <xf numFmtId="190" fontId="126" fillId="29" borderId="18" xfId="0" applyFont="1" applyAlignment="1">
      <alignment horizontal="left" vertical="center"/>
    </xf>
    <xf numFmtId="0" fontId="181" fillId="29" borderId="18" xfId="0" applyFont="1" applyAlignment="1"/>
    <xf numFmtId="0" fontId="218" fillId="29" borderId="18" xfId="0" applyFont="1" applyAlignment="1"/>
    <xf numFmtId="0" fontId="207" fillId="31" borderId="38" xfId="0" applyFont="1" applyFill="1" applyBorder="1" applyAlignment="1">
      <alignment horizontal="left" vertical="center"/>
    </xf>
    <xf numFmtId="0" fontId="207" fillId="31" borderId="35" xfId="0" applyFont="1" applyFill="1" applyBorder="1" applyAlignment="1">
      <alignment horizontal="left" vertical="center"/>
    </xf>
    <xf numFmtId="0" fontId="219" fillId="29" borderId="18" xfId="0" applyFont="1" applyAlignment="1"/>
    <xf numFmtId="0" fontId="220" fillId="29" borderId="18" xfId="0" applyFont="1" applyAlignment="1">
      <alignment horizontal="left" vertical="center" indent="7"/>
    </xf>
    <xf numFmtId="0" fontId="111" fillId="40" borderId="18" xfId="0" applyFill="1">
      <alignment vertical="center"/>
    </xf>
    <xf numFmtId="0" fontId="139" fillId="40" borderId="18" xfId="0" applyFont="1" applyFill="1" applyAlignment="1">
      <alignment horizontal="left" vertical="center"/>
    </xf>
    <xf numFmtId="193" fontId="122" fillId="51" borderId="18" xfId="0" applyNumberFormat="1" applyFont="1" applyFill="1">
      <alignment vertical="center"/>
    </xf>
    <xf numFmtId="191" fontId="150" fillId="53" borderId="18" xfId="0" applyNumberFormat="1" applyFont="1" applyFill="1">
      <alignment vertical="center"/>
    </xf>
    <xf numFmtId="0" fontId="207" fillId="29" borderId="18" xfId="0" applyFont="1" applyAlignment="1">
      <alignment horizontal="right"/>
    </xf>
    <xf numFmtId="0" fontId="222" fillId="29" borderId="18" xfId="0" applyFont="1" applyAlignment="1"/>
    <xf numFmtId="0" fontId="223" fillId="29" borderId="18" xfId="0" applyFont="1" applyAlignment="1"/>
    <xf numFmtId="0" fontId="225" fillId="29" borderId="18" xfId="0" applyFont="1" applyAlignment="1">
      <alignment horizontal="left" vertical="center" indent="1"/>
    </xf>
    <xf numFmtId="0" fontId="141" fillId="29" borderId="18" xfId="0" applyFont="1" applyAlignment="1">
      <alignment horizontal="left" vertical="center" indent="3"/>
    </xf>
    <xf numFmtId="0" fontId="207" fillId="31" borderId="18" xfId="0" applyFont="1" applyFill="1" applyAlignment="1">
      <alignment horizontal="left" vertical="center" indent="6"/>
    </xf>
    <xf numFmtId="191" fontId="141" fillId="29" borderId="18" xfId="0" applyNumberFormat="1" applyFont="1" applyAlignment="1">
      <alignment vertical="center"/>
    </xf>
    <xf numFmtId="195" fontId="118" fillId="29" borderId="18" xfId="0" applyNumberFormat="1" applyFont="1" applyAlignment="1"/>
    <xf numFmtId="191" fontId="141" fillId="29" borderId="18" xfId="0" applyNumberFormat="1" applyFont="1"/>
    <xf numFmtId="0" fontId="169" fillId="29" borderId="18" xfId="0" applyFont="1" applyAlignment="1"/>
    <xf numFmtId="191" fontId="203" fillId="29" borderId="18" xfId="0" applyNumberFormat="1" applyFont="1" applyAlignment="1">
      <alignment vertical="center"/>
    </xf>
    <xf numFmtId="0" fontId="227" fillId="29" borderId="18" xfId="0" applyFont="1" applyAlignment="1">
      <alignment horizontal="right" vertical="center" indent="1"/>
    </xf>
    <xf numFmtId="193" fontId="227" fillId="29" borderId="18" xfId="0" applyNumberFormat="1" applyFont="1" applyAlignment="1">
      <alignment horizontal="center"/>
    </xf>
    <xf numFmtId="194" fontId="227" fillId="29" borderId="18" xfId="0" applyNumberFormat="1" applyFont="1" applyAlignment="1">
      <alignment horizontal="center"/>
    </xf>
    <xf numFmtId="193" fontId="227" fillId="29" borderId="40" xfId="0" applyNumberFormat="1" applyFont="1" applyBorder="1" applyAlignment="1">
      <alignment horizontal="center"/>
    </xf>
    <xf numFmtId="0" fontId="207" fillId="29" borderId="18" xfId="0" applyFont="1" applyAlignment="1">
      <alignment horizontal="center"/>
    </xf>
    <xf numFmtId="193" fontId="227" fillId="29" borderId="35" xfId="0" applyNumberFormat="1" applyFont="1" applyBorder="1" applyAlignment="1">
      <alignment horizontal="center"/>
    </xf>
    <xf numFmtId="0" fontId="226" fillId="29" borderId="18" xfId="0" applyFont="1" applyAlignment="1">
      <alignment horizontal="center"/>
    </xf>
    <xf numFmtId="193" fontId="227" fillId="29" borderId="41" xfId="0" applyNumberFormat="1" applyFont="1" applyBorder="1" applyAlignment="1">
      <alignment horizontal="center"/>
    </xf>
    <xf numFmtId="2" fontId="227" fillId="29" borderId="35" xfId="0" applyNumberFormat="1" applyFont="1" applyBorder="1" applyAlignment="1">
      <alignment horizontal="center"/>
    </xf>
    <xf numFmtId="0" fontId="207" fillId="29" borderId="18" xfId="0" applyFont="1">
      <alignment vertical="center"/>
    </xf>
    <xf numFmtId="203" fontId="141" fillId="29" borderId="18" xfId="0" applyNumberFormat="1" applyFont="1"/>
    <xf numFmtId="204" fontId="141" fillId="29" borderId="18" xfId="0" applyNumberFormat="1" applyFont="1"/>
    <xf numFmtId="0" fontId="226" fillId="29" borderId="42" xfId="0" applyFont="1" applyBorder="1" applyAlignment="1">
      <alignment horizontal="center"/>
    </xf>
    <xf numFmtId="194" fontId="227" fillId="29" borderId="42" xfId="0" applyNumberFormat="1" applyFont="1" applyBorder="1" applyAlignment="1">
      <alignment horizontal="center"/>
    </xf>
    <xf numFmtId="0" fontId="139" fillId="29" borderId="18" xfId="0" applyFont="1" applyAlignment="1">
      <alignment horizontal="right" vertical="center"/>
    </xf>
    <xf numFmtId="2" fontId="227" fillId="29" borderId="18" xfId="0" applyNumberFormat="1" applyFont="1" applyAlignment="1">
      <alignment horizontal="center"/>
    </xf>
    <xf numFmtId="0" fontId="203" fillId="54" borderId="38" xfId="0" applyFont="1" applyFill="1" applyBorder="1" applyAlignment="1">
      <alignment horizontal="right" vertical="center"/>
    </xf>
    <xf numFmtId="0" fontId="226" fillId="55" borderId="42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 vertical="center"/>
    </xf>
    <xf numFmtId="0" fontId="227" fillId="29" borderId="44" xfId="0" applyFont="1" applyBorder="1" applyAlignment="1">
      <alignment horizontal="center" vertical="center"/>
    </xf>
    <xf numFmtId="0" fontId="227" fillId="29" borderId="4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 vertical="center"/>
    </xf>
    <xf numFmtId="0" fontId="227" fillId="29" borderId="40" xfId="0" applyFont="1" applyBorder="1" applyAlignment="1">
      <alignment horizontal="center" vertical="center"/>
    </xf>
    <xf numFmtId="0" fontId="227" fillId="29" borderId="41" xfId="0" applyFont="1" applyBorder="1" applyAlignment="1">
      <alignment horizontal="center" vertical="center"/>
    </xf>
    <xf numFmtId="0" fontId="118" fillId="29" borderId="3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/>
    </xf>
    <xf numFmtId="194" fontId="227" fillId="29" borderId="44" xfId="0" applyNumberFormat="1" applyFont="1" applyBorder="1" applyAlignment="1">
      <alignment horizontal="center"/>
    </xf>
    <xf numFmtId="194" fontId="227" fillId="29" borderId="45" xfId="0" applyNumberFormat="1" applyFont="1" applyBorder="1" applyAlignment="1">
      <alignment horizontal="center"/>
    </xf>
    <xf numFmtId="193" fontId="227" fillId="29" borderId="44" xfId="0" applyNumberFormat="1" applyFont="1" applyBorder="1" applyAlignment="1">
      <alignment horizontal="center"/>
    </xf>
    <xf numFmtId="193" fontId="227" fillId="29" borderId="45" xfId="0" applyNumberFormat="1" applyFont="1" applyBorder="1" applyAlignment="1">
      <alignment horizontal="center"/>
    </xf>
    <xf numFmtId="10" fontId="207" fillId="29" borderId="42" xfId="0" applyNumberFormat="1" applyFont="1" applyBorder="1" applyAlignment="1">
      <alignment horizontal="left"/>
    </xf>
    <xf numFmtId="0" fontId="118" fillId="29" borderId="18" xfId="0" applyFont="1" applyAlignment="1">
      <alignment horizontal="center"/>
    </xf>
    <xf numFmtId="0" fontId="118" fillId="29" borderId="47" xfId="0" applyFont="1" applyBorder="1">
      <alignment vertical="center"/>
    </xf>
    <xf numFmtId="0" fontId="228" fillId="29" borderId="38" xfId="0" applyFont="1" applyBorder="1" applyAlignment="1">
      <alignment horizontal="center" vertical="center"/>
    </xf>
    <xf numFmtId="10" fontId="118" fillId="56" borderId="18" xfId="0" applyNumberFormat="1" applyFont="1" applyFill="1">
      <alignment vertical="center"/>
    </xf>
    <xf numFmtId="10" fontId="118" fillId="56" borderId="35" xfId="0" applyNumberFormat="1" applyFont="1" applyFill="1" applyBorder="1">
      <alignment vertical="center"/>
    </xf>
    <xf numFmtId="10" fontId="118" fillId="56" borderId="38" xfId="0" applyNumberFormat="1" applyFont="1" applyFill="1" applyBorder="1">
      <alignment vertical="center"/>
    </xf>
    <xf numFmtId="0" fontId="118" fillId="40" borderId="20" xfId="0" applyFont="1" applyFill="1" applyBorder="1">
      <alignment vertical="center"/>
    </xf>
    <xf numFmtId="3" fontId="118" fillId="29" borderId="21" xfId="0" applyNumberFormat="1" applyFont="1" applyBorder="1">
      <alignment vertical="center"/>
    </xf>
    <xf numFmtId="191" fontId="147" fillId="31" borderId="18" xfId="0" applyNumberFormat="1" applyFont="1" applyFill="1">
      <alignment vertical="center"/>
    </xf>
    <xf numFmtId="191" fontId="229" fillId="41" borderId="18" xfId="0" applyNumberFormat="1" applyFont="1" applyFill="1">
      <alignment vertical="center"/>
    </xf>
    <xf numFmtId="191" fontId="147" fillId="31" borderId="21" xfId="0" applyNumberFormat="1" applyFont="1" applyFill="1" applyBorder="1">
      <alignment vertical="center"/>
    </xf>
    <xf numFmtId="191" fontId="229" fillId="41" borderId="21" xfId="0" applyNumberFormat="1" applyFont="1" applyFill="1" applyBorder="1">
      <alignment vertical="center"/>
    </xf>
    <xf numFmtId="0" fontId="138" fillId="29" borderId="18" xfId="0" applyFont="1" applyAlignment="1">
      <alignment horizontal="left" vertical="center" indent="5"/>
    </xf>
    <xf numFmtId="195" fontId="147" fillId="31" borderId="18" xfId="0" applyNumberFormat="1" applyFont="1" applyFill="1">
      <alignment vertical="center"/>
    </xf>
    <xf numFmtId="195" fontId="228" fillId="41" borderId="18" xfId="0" applyNumberFormat="1" applyFont="1" applyFill="1">
      <alignment vertical="center"/>
    </xf>
    <xf numFmtId="191" fontId="166" fillId="29" borderId="18" xfId="0" applyNumberFormat="1" applyFont="1" applyAlignment="1">
      <alignment vertical="center"/>
    </xf>
    <xf numFmtId="191" fontId="166" fillId="29" borderId="21" xfId="0" applyNumberFormat="1" applyFont="1" applyBorder="1" applyAlignment="1">
      <alignment vertical="center"/>
    </xf>
    <xf numFmtId="0" fontId="230" fillId="29" borderId="18" xfId="0" applyFont="1" applyAlignment="1">
      <alignment horizontal="right" vertical="center" indent="1"/>
    </xf>
    <xf numFmtId="0" fontId="117" fillId="29" borderId="42" xfId="0" applyFont="1" applyBorder="1" applyAlignment="1">
      <alignment horizontal="center" vertical="center"/>
    </xf>
    <xf numFmtId="0" fontId="118" fillId="29" borderId="42" xfId="0" applyFont="1" applyBorder="1" applyAlignment="1">
      <alignment horizontal="center" vertical="center"/>
    </xf>
    <xf numFmtId="0" fontId="150" fillId="42" borderId="20" xfId="0" applyFont="1" applyFill="1" applyBorder="1" applyAlignment="1">
      <alignment horizontal="left" vertical="center" indent="1"/>
    </xf>
    <xf numFmtId="0" fontId="118" fillId="42" borderId="18" xfId="0" applyFont="1" applyFill="1">
      <alignment vertical="center"/>
    </xf>
    <xf numFmtId="0" fontId="232" fillId="42" borderId="18" xfId="0" applyFont="1" applyFill="1" applyAlignment="1"/>
    <xf numFmtId="0" fontId="232" fillId="42" borderId="18" xfId="0" applyFont="1" applyFill="1">
      <alignment vertical="center"/>
    </xf>
    <xf numFmtId="0" fontId="232" fillId="29" borderId="18" xfId="0" applyFont="1">
      <alignment vertical="center"/>
    </xf>
    <xf numFmtId="0" fontId="216" fillId="42" borderId="18" xfId="0" applyFont="1" applyFill="1" applyAlignment="1">
      <alignment horizontal="left" vertical="center" indent="1"/>
    </xf>
    <xf numFmtId="200" fontId="118" fillId="29" borderId="18" xfId="0" applyNumberFormat="1" applyFont="1" applyAlignment="1">
      <alignment horizontal="left" vertical="center" indent="1"/>
    </xf>
    <xf numFmtId="0" fontId="163" fillId="57" borderId="48" xfId="0" applyFont="1" applyFill="1" applyBorder="1">
      <alignment vertical="center"/>
    </xf>
    <xf numFmtId="0" fontId="165" fillId="57" borderId="48" xfId="0" applyFont="1" applyFill="1" applyBorder="1">
      <alignment vertical="center"/>
    </xf>
    <xf numFmtId="0" fontId="140" fillId="29" borderId="18" xfId="0" applyFont="1">
      <alignment vertical="center"/>
    </xf>
    <xf numFmtId="0" fontId="118" fillId="42" borderId="48" xfId="0" applyFont="1" applyFill="1" applyBorder="1">
      <alignment vertical="center"/>
    </xf>
    <xf numFmtId="0" fontId="118" fillId="42" borderId="48" xfId="0" applyFont="1" applyFill="1" applyBorder="1" applyAlignment="1"/>
    <xf numFmtId="0" fontId="118" fillId="42" borderId="49" xfId="0" applyFont="1" applyFill="1" applyBorder="1">
      <alignment vertical="center"/>
    </xf>
    <xf numFmtId="0" fontId="118" fillId="42" borderId="49" xfId="0" applyFont="1" applyFill="1" applyBorder="1" applyAlignment="1"/>
    <xf numFmtId="0" fontId="231" fillId="42" borderId="49" xfId="0" applyFont="1" applyFill="1" applyBorder="1" applyAlignment="1">
      <alignment horizontal="left" vertical="center" indent="1"/>
    </xf>
    <xf numFmtId="0" fontId="230" fillId="29" borderId="18" xfId="0" applyFont="1">
      <alignment vertical="center"/>
    </xf>
    <xf numFmtId="0" fontId="118" fillId="29" borderId="18" xfId="0" applyFont="1" applyAlignment="1">
      <alignment horizontal="left" vertical="center" indent="11"/>
    </xf>
    <xf numFmtId="0" fontId="236" fillId="42" borderId="49" xfId="0" applyFont="1" applyFill="1" applyBorder="1" applyAlignment="1">
      <alignment horizontal="left" vertical="center" indent="1"/>
    </xf>
    <xf numFmtId="0" fontId="138" fillId="29" borderId="18" xfId="0" applyFont="1" applyAlignment="1">
      <alignment horizontal="center" vertical="center"/>
    </xf>
    <xf numFmtId="0" fontId="117" fillId="58" borderId="18" xfId="0" applyFont="1" applyFill="1">
      <alignment vertical="center"/>
    </xf>
    <xf numFmtId="0" fontId="155" fillId="29" borderId="32" xfId="0" applyFont="1" applyBorder="1" applyAlignment="1"/>
    <xf numFmtId="0" fontId="155" fillId="29" borderId="32" xfId="0" applyFont="1" applyBorder="1">
      <alignment vertical="center"/>
    </xf>
    <xf numFmtId="0" fontId="155" fillId="29" borderId="18" xfId="0" applyFont="1">
      <alignment vertical="center"/>
    </xf>
    <xf numFmtId="0" fontId="237" fillId="29" borderId="18" xfId="0" applyFont="1">
      <alignment vertical="center"/>
    </xf>
    <xf numFmtId="0" fontId="238" fillId="29" borderId="18" xfId="0" applyFont="1" applyAlignment="1"/>
    <xf numFmtId="0" fontId="238" fillId="29" borderId="18" xfId="0" applyFont="1">
      <alignment vertical="center"/>
    </xf>
    <xf numFmtId="0" fontId="186" fillId="29" borderId="18" xfId="0" applyFont="1">
      <alignment vertical="center"/>
    </xf>
    <xf numFmtId="191" fontId="239" fillId="41" borderId="18" xfId="0" applyNumberFormat="1" applyFont="1" applyFill="1">
      <alignment vertical="center"/>
    </xf>
    <xf numFmtId="191" fontId="240" fillId="29" borderId="18" xfId="0" applyNumberFormat="1" applyFont="1"/>
    <xf numFmtId="0" fontId="186" fillId="29" borderId="18" xfId="0" applyFont="1" applyAlignment="1">
      <alignment horizontal="right"/>
    </xf>
    <xf numFmtId="198" fontId="186" fillId="29" borderId="18" xfId="0" applyNumberFormat="1" applyFont="1"/>
    <xf numFmtId="198" fontId="186" fillId="29" borderId="18" xfId="0" applyNumberFormat="1" applyFont="1" applyAlignment="1"/>
    <xf numFmtId="0" fontId="118" fillId="48" borderId="49" xfId="0" applyFont="1" applyFill="1" applyBorder="1" applyAlignment="1"/>
    <xf numFmtId="0" fontId="122" fillId="61" borderId="18" xfId="0" applyFont="1" applyFill="1">
      <alignment vertical="center"/>
    </xf>
    <xf numFmtId="190" fontId="111" fillId="52" borderId="49" xfId="0" applyFont="1" applyFill="1" applyBorder="1">
      <alignment vertical="center"/>
    </xf>
    <xf numFmtId="190" fontId="111" fillId="58" borderId="49" xfId="0" applyFont="1" applyFill="1" applyBorder="1">
      <alignment vertical="center"/>
    </xf>
    <xf numFmtId="0" fontId="240" fillId="29" borderId="18" xfId="0" applyFont="1">
      <alignment vertical="center"/>
    </xf>
    <xf numFmtId="0" fontId="238" fillId="52" borderId="18" xfId="0" applyFont="1" applyFill="1">
      <alignment vertical="center"/>
    </xf>
    <xf numFmtId="0" fontId="118" fillId="48" borderId="18" xfId="0" applyFont="1" applyFill="1" applyAlignment="1"/>
    <xf numFmtId="3" fontId="157" fillId="60" borderId="18" xfId="0" applyNumberFormat="1" applyFont="1" applyFill="1">
      <alignment vertical="center"/>
    </xf>
    <xf numFmtId="3" fontId="242" fillId="48" borderId="18" xfId="0" applyNumberFormat="1" applyFont="1" applyFill="1"/>
    <xf numFmtId="3" fontId="210" fillId="48" borderId="18" xfId="0" applyNumberFormat="1" applyFont="1" applyFill="1" applyAlignment="1"/>
    <xf numFmtId="0" fontId="122" fillId="48" borderId="18" xfId="0" applyFont="1" applyFill="1">
      <alignment vertical="center"/>
    </xf>
    <xf numFmtId="3" fontId="122" fillId="59" borderId="18" xfId="0" applyNumberFormat="1" applyFont="1" applyFill="1">
      <alignment vertical="center"/>
    </xf>
    <xf numFmtId="0" fontId="122" fillId="48" borderId="18" xfId="0" applyFont="1" applyFill="1" applyAlignment="1"/>
    <xf numFmtId="0" fontId="238" fillId="48" borderId="18" xfId="0" applyFont="1" applyFill="1" applyAlignment="1"/>
    <xf numFmtId="191" fontId="240" fillId="48" borderId="18" xfId="0" applyNumberFormat="1" applyFont="1" applyFill="1"/>
    <xf numFmtId="3" fontId="182" fillId="48" borderId="18" xfId="0" applyNumberFormat="1" applyFont="1" applyFill="1"/>
    <xf numFmtId="3" fontId="182" fillId="48" borderId="18" xfId="0" applyNumberFormat="1" applyFont="1" applyFill="1" applyAlignment="1"/>
    <xf numFmtId="3" fontId="185" fillId="48" borderId="18" xfId="0" applyNumberFormat="1" applyFont="1" applyFill="1"/>
    <xf numFmtId="3" fontId="185" fillId="48" borderId="18" xfId="0" applyNumberFormat="1" applyFont="1" applyFill="1" applyAlignment="1"/>
    <xf numFmtId="0" fontId="122" fillId="40" borderId="48" xfId="0" applyFont="1" applyFill="1" applyBorder="1">
      <alignment vertical="center"/>
    </xf>
    <xf numFmtId="0" fontId="111" fillId="40" borderId="48" xfId="0" applyFill="1" applyBorder="1">
      <alignment vertical="center"/>
    </xf>
    <xf numFmtId="0" fontId="142" fillId="52" borderId="18" xfId="0" applyFont="1" applyFill="1">
      <alignment vertical="center"/>
    </xf>
    <xf numFmtId="3" fontId="132" fillId="62" borderId="18" xfId="0" applyNumberFormat="1" applyFont="1" applyFill="1">
      <alignment vertical="center"/>
    </xf>
    <xf numFmtId="3" fontId="122" fillId="51" borderId="18" xfId="0" applyNumberFormat="1" applyFont="1" applyFill="1">
      <alignment vertical="center"/>
    </xf>
    <xf numFmtId="0" fontId="139" fillId="52" borderId="18" xfId="0" applyFont="1" applyFill="1" applyAlignment="1"/>
    <xf numFmtId="0" fontId="111" fillId="52" borderId="18" xfId="0" applyFill="1" applyAlignment="1"/>
    <xf numFmtId="191" fontId="241" fillId="52" borderId="18" xfId="0" applyNumberFormat="1" applyFont="1" applyFill="1"/>
    <xf numFmtId="0" fontId="238" fillId="52" borderId="18" xfId="0" applyFont="1" applyFill="1" applyAlignment="1"/>
    <xf numFmtId="191" fontId="240" fillId="52" borderId="18" xfId="0" applyNumberFormat="1" applyFont="1" applyFill="1"/>
    <xf numFmtId="0" fontId="182" fillId="48" borderId="18" xfId="0" applyFont="1" applyFill="1" applyAlignment="1">
      <alignment horizontal="left"/>
    </xf>
    <xf numFmtId="0" fontId="185" fillId="48" borderId="18" xfId="0" applyFont="1" applyFill="1" applyAlignment="1">
      <alignment horizontal="left"/>
    </xf>
    <xf numFmtId="0" fontId="139" fillId="52" borderId="49" xfId="0" applyFont="1" applyFill="1" applyBorder="1" applyAlignment="1"/>
    <xf numFmtId="0" fontId="238" fillId="52" borderId="49" xfId="0" applyFont="1" applyFill="1" applyBorder="1" applyAlignment="1"/>
    <xf numFmtId="191" fontId="240" fillId="52" borderId="49" xfId="0" applyNumberFormat="1" applyFont="1" applyFill="1" applyBorder="1"/>
    <xf numFmtId="0" fontId="111" fillId="48" borderId="18" xfId="0" applyFill="1" applyAlignment="1"/>
    <xf numFmtId="191" fontId="241" fillId="48" borderId="18" xfId="0" applyNumberFormat="1" applyFont="1" applyFill="1"/>
    <xf numFmtId="3" fontId="132" fillId="60" borderId="18" xfId="0" applyNumberFormat="1" applyFont="1" applyFill="1">
      <alignment vertical="center"/>
    </xf>
    <xf numFmtId="0" fontId="122" fillId="29" borderId="18" xfId="0" applyFont="1" applyAlignment="1">
      <alignment horizontal="center" vertical="center"/>
    </xf>
    <xf numFmtId="9" fontId="111" fillId="52" borderId="18" xfId="0" applyNumberFormat="1" applyFill="1" applyAlignment="1">
      <alignment horizontal="center" vertical="center"/>
    </xf>
    <xf numFmtId="202" fontId="122" fillId="52" borderId="18" xfId="0" applyNumberFormat="1" applyFont="1" applyFill="1" applyAlignment="1">
      <alignment horizontal="center" vertical="center"/>
    </xf>
    <xf numFmtId="0" fontId="139" fillId="29" borderId="18" xfId="0" applyFont="1" applyAlignment="1">
      <alignment horizontal="left" vertical="center"/>
    </xf>
    <xf numFmtId="190" fontId="122" fillId="52" borderId="49" xfId="0" applyFont="1" applyFill="1" applyBorder="1">
      <alignment vertical="center"/>
    </xf>
    <xf numFmtId="3" fontId="156" fillId="38" borderId="18" xfId="0" applyNumberFormat="1" applyFont="1" applyFill="1" applyAlignment="1">
      <alignment horizontal="center" vertical="center"/>
    </xf>
    <xf numFmtId="3" fontId="147" fillId="38" borderId="18" xfId="0" applyNumberFormat="1" applyFont="1" applyFill="1">
      <alignment vertical="center"/>
    </xf>
    <xf numFmtId="3" fontId="122" fillId="48" borderId="18" xfId="0" applyNumberFormat="1" applyFont="1" applyFill="1">
      <alignment vertical="center"/>
    </xf>
    <xf numFmtId="0" fontId="240" fillId="29" borderId="18" xfId="0" applyFont="1" applyAlignment="1"/>
    <xf numFmtId="198" fontId="230" fillId="29" borderId="18" xfId="0" applyNumberFormat="1" applyFont="1" applyAlignment="1">
      <alignment horizontal="center" vertical="center"/>
    </xf>
    <xf numFmtId="198" fontId="230" fillId="29" borderId="18" xfId="0" applyNumberFormat="1" applyFont="1">
      <alignment vertical="center"/>
    </xf>
    <xf numFmtId="0" fontId="118" fillId="40" borderId="48" xfId="0" applyFont="1" applyFill="1" applyBorder="1">
      <alignment vertical="center"/>
    </xf>
    <xf numFmtId="198" fontId="243" fillId="29" borderId="18" xfId="0" applyNumberFormat="1" applyFont="1" applyAlignment="1">
      <alignment horizontal="center" vertical="center"/>
    </xf>
    <xf numFmtId="198" fontId="243" fillId="29" borderId="18" xfId="0" applyNumberFormat="1" applyFont="1">
      <alignment vertical="center"/>
    </xf>
    <xf numFmtId="0" fontId="139" fillId="61" borderId="18" xfId="0" applyFont="1" applyFill="1">
      <alignment vertical="center"/>
    </xf>
    <xf numFmtId="198" fontId="243" fillId="48" borderId="18" xfId="0" applyNumberFormat="1" applyFont="1" applyFill="1" applyAlignment="1">
      <alignment horizontal="center" vertical="center"/>
    </xf>
    <xf numFmtId="198" fontId="243" fillId="48" borderId="18" xfId="0" applyNumberFormat="1" applyFont="1" applyFill="1">
      <alignment vertical="center"/>
    </xf>
    <xf numFmtId="3" fontId="182" fillId="48" borderId="18" xfId="0" applyNumberFormat="1" applyFont="1" applyFill="1">
      <alignment vertical="center"/>
    </xf>
    <xf numFmtId="0" fontId="240" fillId="29" borderId="18" xfId="0" applyFont="1" applyAlignment="1">
      <alignment horizontal="right" vertical="center"/>
    </xf>
    <xf numFmtId="0" fontId="182" fillId="48" borderId="18" xfId="0" applyFont="1" applyFill="1">
      <alignment vertical="center"/>
    </xf>
    <xf numFmtId="0" fontId="185" fillId="48" borderId="49" xfId="0" applyFont="1" applyFill="1" applyBorder="1">
      <alignment vertical="center"/>
    </xf>
    <xf numFmtId="198" fontId="243" fillId="48" borderId="49" xfId="0" applyNumberFormat="1" applyFont="1" applyFill="1" applyBorder="1" applyAlignment="1">
      <alignment horizontal="center" vertical="center"/>
    </xf>
    <xf numFmtId="198" fontId="243" fillId="48" borderId="49" xfId="0" applyNumberFormat="1" applyFont="1" applyFill="1" applyBorder="1">
      <alignment vertical="center"/>
    </xf>
    <xf numFmtId="3" fontId="185" fillId="48" borderId="49" xfId="0" applyNumberFormat="1" applyFont="1" applyFill="1" applyBorder="1">
      <alignment vertical="center"/>
    </xf>
    <xf numFmtId="0" fontId="144" fillId="29" borderId="18" xfId="0" applyFont="1">
      <alignment vertical="center"/>
    </xf>
    <xf numFmtId="0" fontId="145" fillId="29" borderId="18" xfId="0" applyFont="1">
      <alignment vertical="center"/>
    </xf>
    <xf numFmtId="0" fontId="244" fillId="29" borderId="32" xfId="0" applyFont="1" applyBorder="1" applyAlignment="1">
      <alignment horizontal="left" vertical="center" indent="1"/>
    </xf>
    <xf numFmtId="0" fontId="247" fillId="29" borderId="18" xfId="0" applyFont="1">
      <alignment vertical="center"/>
    </xf>
    <xf numFmtId="0" fontId="203" fillId="29" borderId="18" xfId="0" quotePrefix="1" applyFont="1" applyAlignment="1">
      <alignment horizontal="left" vertical="center" indent="1"/>
    </xf>
    <xf numFmtId="0" fontId="203" fillId="29" borderId="18" xfId="0" quotePrefix="1" applyFont="1" applyAlignment="1">
      <alignment horizontal="left" vertical="center" indent="2"/>
    </xf>
    <xf numFmtId="0" fontId="203" fillId="29" borderId="18" xfId="0" applyFont="1" applyAlignment="1">
      <alignment horizontal="left" vertical="center" indent="1"/>
    </xf>
    <xf numFmtId="198" fontId="207" fillId="29" borderId="18" xfId="0" applyNumberFormat="1" applyFont="1" applyAlignment="1">
      <alignment horizontal="center" vertical="center"/>
    </xf>
    <xf numFmtId="198" fontId="207" fillId="29" borderId="18" xfId="0" applyNumberFormat="1" applyFont="1">
      <alignment vertical="center"/>
    </xf>
    <xf numFmtId="0" fontId="207" fillId="29" borderId="18" xfId="0" quotePrefix="1" applyFont="1" applyAlignment="1">
      <alignment horizontal="left" vertical="center" indent="2"/>
    </xf>
    <xf numFmtId="0" fontId="207" fillId="29" borderId="18" xfId="0" quotePrefix="1" applyFont="1" applyAlignment="1">
      <alignment horizontal="left" indent="2"/>
    </xf>
    <xf numFmtId="0" fontId="111" fillId="29" borderId="18" xfId="0" applyAlignment="1">
      <alignment wrapText="1"/>
    </xf>
    <xf numFmtId="0" fontId="116" fillId="34" borderId="39" xfId="0" applyFont="1" applyFill="1" applyBorder="1" applyAlignment="1">
      <alignment horizontal="center" vertical="center"/>
    </xf>
    <xf numFmtId="0" fontId="192" fillId="34" borderId="39" xfId="0" applyFont="1" applyFill="1" applyBorder="1" applyAlignment="1">
      <alignment horizontal="center" vertical="center"/>
    </xf>
    <xf numFmtId="0" fontId="116" fillId="34" borderId="50" xfId="0" applyFont="1" applyFill="1" applyBorder="1" applyAlignment="1">
      <alignment horizontal="center" vertical="center"/>
    </xf>
    <xf numFmtId="0" fontId="116" fillId="34" borderId="46" xfId="0" applyFont="1" applyFill="1" applyBorder="1" applyAlignment="1">
      <alignment horizontal="center" vertical="center"/>
    </xf>
    <xf numFmtId="0" fontId="111" fillId="29" borderId="36" xfId="0" applyBorder="1" applyAlignment="1">
      <alignment horizontal="center" vertical="center"/>
    </xf>
    <xf numFmtId="0" fontId="120" fillId="29" borderId="36" xfId="0" applyFont="1" applyBorder="1" applyAlignment="1">
      <alignment horizontal="center" vertical="center"/>
    </xf>
    <xf numFmtId="3" fontId="111" fillId="29" borderId="51" xfId="0" applyNumberFormat="1" applyBorder="1" applyAlignment="1">
      <alignment horizontal="right" vertical="center"/>
    </xf>
    <xf numFmtId="0" fontId="118" fillId="29" borderId="51" xfId="0" applyFont="1" applyBorder="1" applyAlignment="1">
      <alignment horizontal="left" vertical="center" wrapText="1"/>
    </xf>
    <xf numFmtId="0" fontId="119" fillId="29" borderId="51" xfId="0" applyFont="1" applyBorder="1" applyAlignment="1">
      <alignment horizontal="center" vertical="center"/>
    </xf>
    <xf numFmtId="192" fontId="111" fillId="29" borderId="51" xfId="0" applyNumberFormat="1" applyBorder="1" applyAlignment="1">
      <alignment horizontal="right" vertical="center"/>
    </xf>
    <xf numFmtId="191" fontId="111" fillId="29" borderId="51" xfId="0" applyNumberFormat="1" applyBorder="1" applyAlignment="1">
      <alignment horizontal="right" vertical="center"/>
    </xf>
    <xf numFmtId="191" fontId="118" fillId="29" borderId="51" xfId="0" applyNumberFormat="1" applyFont="1" applyBorder="1" applyAlignment="1">
      <alignment horizontal="left" vertical="center" wrapText="1"/>
    </xf>
    <xf numFmtId="0" fontId="122" fillId="38" borderId="51" xfId="0" applyFont="1" applyFill="1" applyBorder="1" applyAlignment="1">
      <alignment horizontal="center" vertical="center"/>
    </xf>
    <xf numFmtId="3" fontId="122" fillId="38" borderId="51" xfId="0" applyNumberFormat="1" applyFont="1" applyFill="1" applyBorder="1" applyAlignment="1">
      <alignment horizontal="right" vertical="center"/>
    </xf>
    <xf numFmtId="0" fontId="122" fillId="38" borderId="51" xfId="0" applyFont="1" applyFill="1" applyBorder="1" applyAlignment="1">
      <alignment vertical="center" wrapText="1"/>
    </xf>
    <xf numFmtId="3" fontId="124" fillId="38" borderId="51" xfId="0" applyNumberFormat="1" applyFont="1" applyFill="1" applyBorder="1" applyAlignment="1">
      <alignment horizontal="right" vertical="center"/>
    </xf>
    <xf numFmtId="0" fontId="119" fillId="29" borderId="51" xfId="0" applyBorder="1" applyAlignment="1">
      <alignment horizontal="center" vertical="center"/>
    </xf>
    <xf numFmtId="3" fontId="249" fillId="29" borderId="51" xfId="0" applyNumberFormat="1" applyFont="1" applyBorder="1" applyAlignment="1">
      <alignment horizontal="right" vertical="center"/>
    </xf>
    <xf numFmtId="4" fontId="249" fillId="29" borderId="51" xfId="0" applyNumberFormat="1" applyFont="1" applyBorder="1" applyAlignment="1">
      <alignment horizontal="right" vertical="center"/>
    </xf>
    <xf numFmtId="191" fontId="249" fillId="29" borderId="51" xfId="0" applyNumberFormat="1" applyFont="1" applyBorder="1" applyAlignment="1">
      <alignment horizontal="right" vertical="center"/>
    </xf>
    <xf numFmtId="0" fontId="230" fillId="29" borderId="21" xfId="0" applyFont="1" applyBorder="1" applyAlignment="1">
      <alignment horizontal="right" vertical="center" indent="1"/>
    </xf>
    <xf numFmtId="0" fontId="181" fillId="29" borderId="18" xfId="0" applyFont="1" applyAlignment="1">
      <alignment horizontal="right"/>
    </xf>
    <xf numFmtId="0" fontId="250" fillId="29" borderId="18" xfId="0" applyFont="1">
      <alignment vertical="center"/>
    </xf>
    <xf numFmtId="192" fontId="111" fillId="29" borderId="33" xfId="0" applyNumberFormat="1" applyBorder="1" applyAlignment="1">
      <alignment horizontal="center" vertical="center"/>
    </xf>
    <xf numFmtId="192" fontId="111" fillId="29" borderId="34" xfId="0" applyNumberFormat="1" applyBorder="1" applyAlignment="1">
      <alignment horizontal="center" vertical="center"/>
    </xf>
    <xf numFmtId="3" fontId="111" fillId="29" borderId="33" xfId="0" applyNumberFormat="1" applyBorder="1" applyAlignment="1">
      <alignment horizontal="center" vertical="center"/>
    </xf>
    <xf numFmtId="3" fontId="111" fillId="29" borderId="34" xfId="0" applyNumberFormat="1" applyBorder="1" applyAlignment="1">
      <alignment horizontal="center" vertical="center"/>
    </xf>
    <xf numFmtId="192" fontId="111" fillId="29" borderId="18" xfId="0" applyNumberFormat="1" applyAlignment="1">
      <alignment horizontal="center" vertical="center"/>
    </xf>
    <xf numFmtId="0" fontId="111" fillId="29" borderId="55" xfId="0" applyBorder="1" applyAlignment="1">
      <alignment horizontal="right" vertical="center"/>
    </xf>
    <xf numFmtId="0" fontId="111" fillId="29" borderId="54" xfId="0" applyBorder="1">
      <alignment vertical="center"/>
    </xf>
    <xf numFmtId="0" fontId="111" fillId="29" borderId="55" xfId="0" applyBorder="1">
      <alignment vertical="center"/>
    </xf>
    <xf numFmtId="0" fontId="251" fillId="29" borderId="54" xfId="0" applyFont="1" applyBorder="1">
      <alignment vertical="center"/>
    </xf>
    <xf numFmtId="0" fontId="131" fillId="49" borderId="54" xfId="0" applyFont="1" applyFill="1" applyBorder="1">
      <alignment vertical="center"/>
    </xf>
    <xf numFmtId="0" fontId="131" fillId="49" borderId="18" xfId="0" applyFont="1" applyFill="1" applyAlignment="1">
      <alignment horizontal="center" vertical="center"/>
    </xf>
    <xf numFmtId="0" fontId="131" fillId="49" borderId="55" xfId="0" applyFont="1" applyFill="1" applyBorder="1" applyAlignment="1">
      <alignment horizontal="center" vertical="center"/>
    </xf>
    <xf numFmtId="0" fontId="183" fillId="50" borderId="54" xfId="0" applyFont="1" applyFill="1" applyBorder="1">
      <alignment vertical="center"/>
    </xf>
    <xf numFmtId="192" fontId="111" fillId="50" borderId="18" xfId="0" applyNumberFormat="1" applyFill="1" applyAlignment="1">
      <alignment horizontal="center" vertical="center"/>
    </xf>
    <xf numFmtId="192" fontId="111" fillId="50" borderId="55" xfId="0" applyNumberFormat="1" applyFill="1" applyBorder="1" applyAlignment="1">
      <alignment horizontal="center" vertical="center"/>
    </xf>
    <xf numFmtId="0" fontId="184" fillId="29" borderId="56" xfId="0" applyFont="1" applyBorder="1">
      <alignment vertical="center"/>
    </xf>
    <xf numFmtId="192" fontId="111" fillId="29" borderId="57" xfId="0" applyNumberFormat="1" applyBorder="1" applyAlignment="1">
      <alignment horizontal="center" vertical="center"/>
    </xf>
    <xf numFmtId="0" fontId="182" fillId="29" borderId="56" xfId="0" applyFont="1" applyBorder="1">
      <alignment vertical="center"/>
    </xf>
    <xf numFmtId="0" fontId="185" fillId="29" borderId="58" xfId="0" applyFont="1" applyBorder="1">
      <alignment vertical="center"/>
    </xf>
    <xf numFmtId="192" fontId="111" fillId="29" borderId="59" xfId="0" applyNumberFormat="1" applyBorder="1" applyAlignment="1">
      <alignment horizontal="center" vertical="center"/>
    </xf>
    <xf numFmtId="0" fontId="185" fillId="29" borderId="54" xfId="0" applyFont="1" applyBorder="1">
      <alignment vertical="center"/>
    </xf>
    <xf numFmtId="192" fontId="111" fillId="29" borderId="55" xfId="0" applyNumberFormat="1" applyBorder="1" applyAlignment="1">
      <alignment horizontal="center" vertical="center"/>
    </xf>
    <xf numFmtId="3" fontId="111" fillId="50" borderId="18" xfId="0" applyNumberFormat="1" applyFill="1" applyAlignment="1">
      <alignment horizontal="center" vertical="center"/>
    </xf>
    <xf numFmtId="3" fontId="111" fillId="50" borderId="55" xfId="0" applyNumberFormat="1" applyFill="1" applyBorder="1" applyAlignment="1">
      <alignment horizontal="center" vertical="center"/>
    </xf>
    <xf numFmtId="3" fontId="111" fillId="29" borderId="57" xfId="0" applyNumberFormat="1" applyBorder="1" applyAlignment="1">
      <alignment horizontal="center" vertical="center"/>
    </xf>
    <xf numFmtId="3" fontId="111" fillId="29" borderId="59" xfId="0" applyNumberFormat="1" applyBorder="1" applyAlignment="1">
      <alignment horizontal="center" vertical="center"/>
    </xf>
    <xf numFmtId="0" fontId="111" fillId="29" borderId="60" xfId="0" applyBorder="1">
      <alignment vertical="center"/>
    </xf>
    <xf numFmtId="0" fontId="111" fillId="29" borderId="61" xfId="0" applyBorder="1">
      <alignment vertical="center"/>
    </xf>
    <xf numFmtId="0" fontId="111" fillId="29" borderId="62" xfId="0" applyBorder="1">
      <alignment vertical="center"/>
    </xf>
    <xf numFmtId="0" fontId="183" fillId="29" borderId="18" xfId="0" applyFont="1">
      <alignment vertical="center"/>
    </xf>
    <xf numFmtId="0" fontId="218" fillId="29" borderId="18" xfId="0" applyFont="1">
      <alignment vertical="center"/>
    </xf>
    <xf numFmtId="0" fontId="183" fillId="29" borderId="18" xfId="0" applyFont="1" applyAlignment="1"/>
    <xf numFmtId="0" fontId="119" fillId="29" borderId="18" xfId="0">
      <alignment vertical="center"/>
    </xf>
    <xf numFmtId="0" fontId="178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 indent="2"/>
    </xf>
    <xf numFmtId="0" fontId="218" fillId="52" borderId="18" xfId="0" applyFont="1" applyFill="1">
      <alignment vertical="center"/>
    </xf>
    <xf numFmtId="0" fontId="122" fillId="52" borderId="18" xfId="0" applyFont="1" applyFill="1">
      <alignment vertical="center"/>
    </xf>
    <xf numFmtId="0" fontId="165" fillId="52" borderId="18" xfId="0" applyFont="1" applyFill="1">
      <alignment vertical="center"/>
    </xf>
    <xf numFmtId="0" fontId="142" fillId="52" borderId="18" xfId="0" applyFont="1" applyFill="1" applyAlignment="1">
      <alignment horizontal="left" vertical="center" indent="1"/>
    </xf>
    <xf numFmtId="0" fontId="142" fillId="52" borderId="63" xfId="0" applyFont="1" applyFill="1" applyBorder="1" applyAlignment="1">
      <alignment horizontal="left" vertical="center" indent="1"/>
    </xf>
    <xf numFmtId="0" fontId="142" fillId="52" borderId="61" xfId="0" applyFont="1" applyFill="1" applyBorder="1" applyAlignment="1">
      <alignment horizontal="left" vertical="center" indent="1"/>
    </xf>
    <xf numFmtId="0" fontId="118" fillId="64" borderId="18" xfId="0" quotePrefix="1" applyFont="1" applyFill="1" applyAlignment="1">
      <alignment horizontal="left" vertical="center" indent="3"/>
    </xf>
    <xf numFmtId="0" fontId="118" fillId="29" borderId="18" xfId="0" quotePrefix="1" applyFont="1" applyAlignment="1">
      <alignment horizontal="left" vertical="center" indent="3"/>
    </xf>
    <xf numFmtId="0" fontId="111" fillId="29" borderId="18" xfId="0" applyAlignment="1">
      <alignment horizontal="left" vertical="center" indent="3"/>
    </xf>
    <xf numFmtId="0" fontId="257" fillId="52" borderId="18" xfId="0" applyFont="1" applyFill="1">
      <alignment vertical="center"/>
    </xf>
    <xf numFmtId="0" fontId="218" fillId="29" borderId="18" xfId="0" applyFont="1" applyAlignment="1">
      <alignment horizontal="left" vertical="center" indent="1"/>
    </xf>
    <xf numFmtId="0" fontId="194" fillId="29" borderId="18" xfId="0" applyFont="1" applyAlignment="1">
      <alignment horizontal="left" vertical="center" indent="1"/>
    </xf>
    <xf numFmtId="0" fontId="258" fillId="52" borderId="61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center" vertical="center"/>
    </xf>
    <xf numFmtId="0" fontId="258" fillId="52" borderId="61" xfId="0" applyFont="1" applyFill="1" applyBorder="1" applyAlignment="1">
      <alignment horizontal="center" vertical="center"/>
    </xf>
    <xf numFmtId="0" fontId="139" fillId="52" borderId="61" xfId="0" applyFont="1" applyFill="1" applyBorder="1" applyAlignment="1">
      <alignment horizontal="center" vertical="center"/>
    </xf>
    <xf numFmtId="0" fontId="258" fillId="52" borderId="65" xfId="0" applyFont="1" applyFill="1" applyBorder="1" applyAlignment="1">
      <alignment horizontal="center" vertical="center"/>
    </xf>
    <xf numFmtId="0" fontId="258" fillId="52" borderId="66" xfId="0" applyFont="1" applyFill="1" applyBorder="1" applyAlignment="1">
      <alignment horizontal="center" vertical="center"/>
    </xf>
    <xf numFmtId="0" fontId="258" fillId="52" borderId="67" xfId="0" applyFont="1" applyFill="1" applyBorder="1" applyAlignment="1">
      <alignment horizontal="center" vertical="center"/>
    </xf>
    <xf numFmtId="0" fontId="258" fillId="65" borderId="64" xfId="0" applyFont="1" applyFill="1" applyBorder="1" applyAlignment="1">
      <alignment horizontal="right" vertical="center"/>
    </xf>
    <xf numFmtId="0" fontId="258" fillId="65" borderId="66" xfId="0" applyFont="1" applyFill="1" applyBorder="1" applyAlignment="1">
      <alignment horizontal="left" vertical="center"/>
    </xf>
    <xf numFmtId="0" fontId="258" fillId="65" borderId="64" xfId="0" applyFont="1" applyFill="1" applyBorder="1" applyAlignment="1">
      <alignment horizontal="left" vertical="center"/>
    </xf>
    <xf numFmtId="0" fontId="139" fillId="65" borderId="64" xfId="0" applyFont="1" applyFill="1" applyBorder="1" applyAlignment="1">
      <alignment horizontal="left" vertical="center"/>
    </xf>
    <xf numFmtId="0" fontId="258" fillId="65" borderId="63" xfId="0" applyFont="1" applyFill="1" applyBorder="1" applyAlignment="1">
      <alignment horizontal="right" vertical="center"/>
    </xf>
    <xf numFmtId="0" fontId="258" fillId="65" borderId="69" xfId="0" applyFont="1" applyFill="1" applyBorder="1" applyAlignment="1">
      <alignment horizontal="center" vertical="center"/>
    </xf>
    <xf numFmtId="0" fontId="258" fillId="65" borderId="63" xfId="0" applyFont="1" applyFill="1" applyBorder="1" applyAlignment="1">
      <alignment horizontal="center" vertical="center"/>
    </xf>
    <xf numFmtId="0" fontId="258" fillId="65" borderId="68" xfId="0" applyFont="1" applyFill="1" applyBorder="1" applyAlignment="1">
      <alignment horizontal="center" vertical="center"/>
    </xf>
    <xf numFmtId="0" fontId="118" fillId="52" borderId="18" xfId="0" applyFont="1" applyFill="1" applyAlignment="1">
      <alignment horizontal="center" vertical="center"/>
    </xf>
    <xf numFmtId="0" fontId="122" fillId="65" borderId="64" xfId="0" applyFont="1" applyFill="1" applyBorder="1" applyAlignment="1">
      <alignment horizontal="center" vertical="center"/>
    </xf>
    <xf numFmtId="0" fontId="118" fillId="65" borderId="64" xfId="0" applyFont="1" applyFill="1" applyBorder="1" applyAlignment="1">
      <alignment horizontal="center" vertical="center"/>
    </xf>
    <xf numFmtId="0" fontId="118" fillId="65" borderId="65" xfId="0" applyFont="1" applyFill="1" applyBorder="1" applyAlignment="1">
      <alignment horizontal="center" vertical="center"/>
    </xf>
    <xf numFmtId="0" fontId="142" fillId="52" borderId="68" xfId="0" applyFont="1" applyFill="1" applyBorder="1">
      <alignment vertical="center"/>
    </xf>
    <xf numFmtId="0" fontId="142" fillId="52" borderId="54" xfId="0" applyFont="1" applyFill="1" applyBorder="1">
      <alignment vertical="center"/>
    </xf>
    <xf numFmtId="0" fontId="142" fillId="52" borderId="60" xfId="0" applyFont="1" applyFill="1" applyBorder="1">
      <alignment vertical="center"/>
    </xf>
    <xf numFmtId="0" fontId="118" fillId="65" borderId="66" xfId="0" applyFont="1" applyFill="1" applyBorder="1" applyAlignment="1">
      <alignment horizontal="center" vertical="center"/>
    </xf>
    <xf numFmtId="0" fontId="142" fillId="52" borderId="69" xfId="0" applyFont="1" applyFill="1" applyBorder="1">
      <alignment vertical="center"/>
    </xf>
    <xf numFmtId="0" fontId="142" fillId="52" borderId="70" xfId="0" applyFont="1" applyFill="1" applyBorder="1">
      <alignment vertical="center"/>
    </xf>
    <xf numFmtId="0" fontId="142" fillId="52" borderId="67" xfId="0" applyFont="1" applyFill="1" applyBorder="1">
      <alignment vertical="center"/>
    </xf>
    <xf numFmtId="0" fontId="142" fillId="52" borderId="63" xfId="0" applyFont="1" applyFill="1" applyBorder="1" applyAlignment="1">
      <alignment horizontal="center" vertical="center"/>
    </xf>
    <xf numFmtId="0" fontId="142" fillId="52" borderId="18" xfId="0" applyFont="1" applyFill="1" applyAlignment="1">
      <alignment horizontal="center" vertical="center"/>
    </xf>
    <xf numFmtId="10" fontId="139" fillId="52" borderId="18" xfId="0" applyNumberFormat="1" applyFont="1" applyFill="1" applyAlignment="1">
      <alignment horizontal="center" vertical="center"/>
    </xf>
    <xf numFmtId="0" fontId="142" fillId="52" borderId="61" xfId="0" applyFont="1" applyFill="1" applyBorder="1" applyAlignment="1">
      <alignment horizontal="center" vertical="center"/>
    </xf>
    <xf numFmtId="9" fontId="139" fillId="52" borderId="69" xfId="0" applyNumberFormat="1" applyFont="1" applyFill="1" applyBorder="1" applyAlignment="1">
      <alignment horizontal="center" vertical="center"/>
    </xf>
    <xf numFmtId="0" fontId="142" fillId="52" borderId="70" xfId="0" applyFont="1" applyFill="1" applyBorder="1" applyAlignment="1">
      <alignment horizontal="center" vertical="center"/>
    </xf>
    <xf numFmtId="10" fontId="139" fillId="52" borderId="70" xfId="0" applyNumberFormat="1" applyFont="1" applyFill="1" applyBorder="1" applyAlignment="1">
      <alignment horizontal="center" vertical="center"/>
    </xf>
    <xf numFmtId="0" fontId="142" fillId="52" borderId="67" xfId="0" applyFont="1" applyFill="1" applyBorder="1" applyAlignment="1">
      <alignment horizontal="center" vertical="center"/>
    </xf>
    <xf numFmtId="9" fontId="139" fillId="52" borderId="63" xfId="0" applyNumberFormat="1" applyFont="1" applyFill="1" applyBorder="1" applyAlignment="1">
      <alignment horizontal="center" vertical="center"/>
    </xf>
    <xf numFmtId="0" fontId="111" fillId="52" borderId="61" xfId="0" applyFill="1" applyBorder="1">
      <alignment vertical="center"/>
    </xf>
    <xf numFmtId="205" fontId="139" fillId="52" borderId="18" xfId="0" applyNumberFormat="1" applyFont="1" applyFill="1">
      <alignment vertical="center"/>
    </xf>
    <xf numFmtId="205" fontId="139" fillId="52" borderId="61" xfId="0" applyNumberFormat="1" applyFont="1" applyFill="1" applyBorder="1">
      <alignment vertical="center"/>
    </xf>
    <xf numFmtId="0" fontId="137" fillId="52" borderId="63" xfId="0" applyFont="1" applyFill="1" applyBorder="1" applyAlignment="1">
      <alignment horizontal="left" vertical="center" indent="1"/>
    </xf>
    <xf numFmtId="205" fontId="137" fillId="52" borderId="63" xfId="0" applyNumberFormat="1" applyFont="1" applyFill="1" applyBorder="1">
      <alignment vertical="center"/>
    </xf>
    <xf numFmtId="0" fontId="122" fillId="65" borderId="64" xfId="0" applyFont="1" applyFill="1" applyBorder="1">
      <alignment vertical="center"/>
    </xf>
    <xf numFmtId="205" fontId="137" fillId="52" borderId="68" xfId="0" applyNumberFormat="1" applyFont="1" applyFill="1" applyBorder="1">
      <alignment vertical="center"/>
    </xf>
    <xf numFmtId="205" fontId="139" fillId="52" borderId="54" xfId="0" applyNumberFormat="1" applyFont="1" applyFill="1" applyBorder="1">
      <alignment vertical="center"/>
    </xf>
    <xf numFmtId="205" fontId="139" fillId="52" borderId="60" xfId="0" applyNumberFormat="1" applyFont="1" applyFill="1" applyBorder="1">
      <alignment vertical="center"/>
    </xf>
    <xf numFmtId="205" fontId="137" fillId="52" borderId="69" xfId="0" applyNumberFormat="1" applyFont="1" applyFill="1" applyBorder="1">
      <alignment vertical="center"/>
    </xf>
    <xf numFmtId="205" fontId="139" fillId="52" borderId="70" xfId="0" applyNumberFormat="1" applyFont="1" applyFill="1" applyBorder="1">
      <alignment vertical="center"/>
    </xf>
    <xf numFmtId="205" fontId="139" fillId="52" borderId="67" xfId="0" applyNumberFormat="1" applyFont="1" applyFill="1" applyBorder="1">
      <alignment vertical="center"/>
    </xf>
    <xf numFmtId="0" fontId="118" fillId="65" borderId="65" xfId="0" applyFont="1" applyFill="1" applyBorder="1" applyAlignment="1">
      <alignment horizontal="left" vertical="center"/>
    </xf>
    <xf numFmtId="206" fontId="111" fillId="29" borderId="18" xfId="0" applyNumberFormat="1">
      <alignment vertical="center"/>
    </xf>
    <xf numFmtId="191" fontId="259" fillId="29" borderId="18" xfId="0" applyNumberFormat="1" applyFont="1"/>
    <xf numFmtId="191" fontId="259" fillId="29" borderId="21" xfId="0" applyNumberFormat="1" applyFont="1" applyBorder="1"/>
    <xf numFmtId="0" fontId="153" fillId="35" borderId="31" xfId="0" applyFont="1" applyFill="1" applyBorder="1" applyAlignment="1">
      <alignment horizontal="center" wrapText="1"/>
    </xf>
    <xf numFmtId="0" fontId="131" fillId="35" borderId="31" xfId="0" applyFont="1" applyFill="1" applyBorder="1" applyAlignment="1">
      <alignment horizontal="center" wrapText="1"/>
    </xf>
    <xf numFmtId="0" fontId="118" fillId="29" borderId="18" xfId="0" applyFont="1" applyAlignment="1">
      <alignment vertical="center" wrapText="1"/>
    </xf>
    <xf numFmtId="0" fontId="178" fillId="64" borderId="18" xfId="0" applyFont="1" applyFill="1" applyAlignment="1">
      <alignment horizontal="left" vertical="center" indent="2"/>
    </xf>
    <xf numFmtId="0" fontId="122" fillId="64" borderId="18" xfId="0" applyFont="1" applyFill="1" applyAlignment="1">
      <alignment horizontal="left" vertical="center" indent="2"/>
    </xf>
    <xf numFmtId="0" fontId="116" fillId="34" borderId="52" xfId="0" applyFont="1" applyFill="1" applyBorder="1" applyAlignment="1">
      <alignment horizontal="center" vertical="center"/>
    </xf>
    <xf numFmtId="0" fontId="116" fillId="34" borderId="53" xfId="0" applyFont="1" applyFill="1" applyBorder="1" applyAlignment="1">
      <alignment horizontal="center" vertical="center"/>
    </xf>
    <xf numFmtId="0" fontId="187" fillId="29" borderId="35" xfId="0" applyFont="1" applyBorder="1" applyAlignment="1">
      <alignment horizontal="center" vertical="center"/>
    </xf>
    <xf numFmtId="0" fontId="116" fillId="35" borderId="19" xfId="0" applyFont="1" applyFill="1" applyBorder="1" applyAlignment="1">
      <alignment horizontal="center" vertical="center"/>
    </xf>
    <xf numFmtId="0" fontId="116" fillId="36" borderId="19" xfId="0" applyFont="1" applyFill="1" applyBorder="1" applyAlignment="1">
      <alignment horizontal="center" vertical="center"/>
    </xf>
    <xf numFmtId="0" fontId="116" fillId="37" borderId="19" xfId="0" applyFont="1" applyFill="1" applyBorder="1" applyAlignment="1">
      <alignment horizontal="center" vertical="center"/>
    </xf>
    <xf numFmtId="0" fontId="116" fillId="63" borderId="19" xfId="0" applyFont="1" applyFill="1" applyBorder="1" applyAlignment="1">
      <alignment horizontal="center" vertical="center"/>
    </xf>
    <xf numFmtId="0" fontId="207" fillId="29" borderId="18" xfId="0" applyFont="1" applyAlignment="1">
      <alignment horizontal="center"/>
    </xf>
    <xf numFmtId="0" fontId="207" fillId="29" borderId="35" xfId="0" applyFont="1" applyBorder="1" applyAlignment="1">
      <alignment horizontal="center"/>
    </xf>
    <xf numFmtId="0" fontId="207" fillId="55" borderId="42" xfId="0" applyFont="1" applyFill="1" applyBorder="1" applyAlignment="1">
      <alignment horizontal="center"/>
    </xf>
    <xf numFmtId="0" fontId="207" fillId="31" borderId="18" xfId="0" applyFont="1" applyFill="1" applyAlignment="1">
      <alignment horizontal="left" vertical="center"/>
    </xf>
    <xf numFmtId="0" fontId="227" fillId="29" borderId="36" xfId="0" applyFont="1" applyBorder="1" applyAlignment="1">
      <alignment horizontal="left" vertical="center"/>
    </xf>
    <xf numFmtId="0" fontId="227" fillId="29" borderId="42" xfId="0" applyFont="1" applyBorder="1" applyAlignment="1">
      <alignment horizontal="left" vertical="center"/>
    </xf>
    <xf numFmtId="0" fontId="207" fillId="55" borderId="37" xfId="0" applyFont="1" applyFill="1" applyBorder="1" applyAlignment="1">
      <alignment horizontal="center"/>
    </xf>
    <xf numFmtId="0" fontId="207" fillId="29" borderId="38" xfId="0" applyFont="1" applyBorder="1" applyAlignment="1">
      <alignment horizontal="center"/>
    </xf>
    <xf numFmtId="0" fontId="207" fillId="29" borderId="46" xfId="0" applyFont="1" applyBorder="1" applyAlignment="1">
      <alignment horizontal="center"/>
    </xf>
    <xf numFmtId="0" fontId="207" fillId="29" borderId="43" xfId="0" applyFont="1" applyBorder="1" applyAlignment="1">
      <alignment horizontal="center"/>
    </xf>
    <xf numFmtId="0" fontId="207" fillId="29" borderId="42" xfId="0" applyFont="1" applyBorder="1" applyAlignment="1">
      <alignment horizontal="center"/>
    </xf>
    <xf numFmtId="0" fontId="180" fillId="52" borderId="18" xfId="0" applyFont="1" applyFill="1" applyAlignment="1">
      <alignment vertical="center"/>
    </xf>
    <xf numFmtId="0" fontId="179" fillId="52" borderId="18" xfId="0" applyFont="1" applyFill="1" applyAlignment="1">
      <alignment vertical="center"/>
    </xf>
    <xf numFmtId="0" fontId="254" fillId="52" borderId="18" xfId="0" applyFont="1" applyFill="1" applyAlignment="1">
      <alignment vertical="center"/>
    </xf>
    <xf numFmtId="0" fontId="255" fillId="52" borderId="18" xfId="0" applyFont="1" applyFill="1" applyAlignment="1">
      <alignment vertical="center"/>
    </xf>
    <xf numFmtId="0" fontId="150" fillId="29" borderId="18" xfId="0" applyFont="1">
      <alignment vertical="center"/>
    </xf>
    <xf numFmtId="0" fontId="150" fillId="42" borderId="48" xfId="0" applyFont="1" applyFill="1" applyBorder="1" applyAlignment="1">
      <alignment horizontal="left" vertical="center" indent="1"/>
    </xf>
    <xf numFmtId="0" fontId="150" fillId="31" borderId="18" xfId="0" applyFont="1" applyFill="1">
      <alignment vertical="center"/>
    </xf>
    <xf numFmtId="0" fontId="152" fillId="29" borderId="32" xfId="0" applyFont="1" applyBorder="1" applyAlignment="1"/>
    <xf numFmtId="0" fontId="152" fillId="29" borderId="18" xfId="0" applyFont="1">
      <alignment vertical="center"/>
    </xf>
    <xf numFmtId="0" fontId="152" fillId="29" borderId="18" xfId="0" applyFont="1" applyAlignment="1"/>
    <xf numFmtId="0" fontId="152" fillId="29" borderId="18" xfId="0" applyFont="1" applyAlignment="1">
      <alignment horizontal="left" vertical="center"/>
    </xf>
    <xf numFmtId="0" fontId="152" fillId="29" borderId="31" xfId="0" applyFont="1" applyBorder="1" applyAlignment="1">
      <alignment horizontal="center"/>
    </xf>
    <xf numFmtId="191" fontId="152" fillId="29" borderId="31" xfId="0" applyNumberFormat="1" applyFont="1" applyBorder="1" applyAlignment="1">
      <alignment horizontal="right"/>
    </xf>
    <xf numFmtId="0" fontId="152" fillId="29" borderId="18" xfId="0" applyFont="1" applyAlignment="1">
      <alignment horizontal="center" vertical="center"/>
    </xf>
    <xf numFmtId="0" fontId="152" fillId="29" borderId="31" xfId="0" applyFont="1" applyBorder="1" applyAlignment="1"/>
    <xf numFmtId="0" fontId="152" fillId="29" borderId="31" xfId="0" applyFont="1" applyBorder="1">
      <alignment vertical="center"/>
    </xf>
    <xf numFmtId="0" fontId="152" fillId="29" borderId="31" xfId="0" applyFont="1" applyBorder="1" applyAlignment="1">
      <alignment horizontal="center" vertical="center"/>
    </xf>
    <xf numFmtId="191" fontId="152" fillId="29" borderId="31" xfId="0" applyNumberFormat="1" applyFont="1" applyBorder="1">
      <alignment vertical="center"/>
    </xf>
    <xf numFmtId="191" fontId="152" fillId="29" borderId="18" xfId="0" applyNumberFormat="1" applyFont="1">
      <alignment vertical="center"/>
    </xf>
    <xf numFmtId="0" fontId="152" fillId="29" borderId="18" xfId="0" applyFont="1" applyAlignment="1">
      <alignment wrapText="1"/>
    </xf>
    <xf numFmtId="194" fontId="152" fillId="29" borderId="31" xfId="0" applyNumberFormat="1" applyFont="1" applyBorder="1">
      <alignment vertical="center"/>
    </xf>
    <xf numFmtId="0" fontId="131" fillId="46" borderId="18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7588;&#52636;!A1"/><Relationship Id="rId3" Type="http://schemas.openxmlformats.org/officeDocument/2006/relationships/hyperlink" Target="#'FCST FLOW'!A1"/><Relationship Id="rId7" Type="http://schemas.openxmlformats.org/officeDocument/2006/relationships/hyperlink" Target="#'&#44540;&#44144;_NSA&#49688;&#47049;(IQVIA&#44592;&#51456;)'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Ramosetron &#49884;&#51109; &#49688;&#47049;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&#51333;&#48324;&#51204;&#49888;&#47560;&#52712;&#54872;&#51088;&#49688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&#44540;&#44144;_&#48124;&#44048;&#46020;!A1"/><Relationship Id="rId12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종별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Ramosetron 시장 수량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NSA 수량 · MS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27</xdr:row>
      <xdr:rowOff>54610</xdr:rowOff>
    </xdr:from>
    <xdr:to>
      <xdr:col>1</xdr:col>
      <xdr:colOff>772160</xdr:colOff>
      <xdr:row>28</xdr:row>
      <xdr:rowOff>112395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27</xdr:row>
      <xdr:rowOff>16510</xdr:rowOff>
    </xdr:from>
    <xdr:to>
      <xdr:col>6</xdr:col>
      <xdr:colOff>772160</xdr:colOff>
      <xdr:row>28</xdr:row>
      <xdr:rowOff>163195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30</xdr:row>
      <xdr:rowOff>63500</xdr:rowOff>
    </xdr:from>
    <xdr:to>
      <xdr:col>5</xdr:col>
      <xdr:colOff>850900</xdr:colOff>
      <xdr:row>31</xdr:row>
      <xdr:rowOff>31115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31</xdr:row>
      <xdr:rowOff>146050</xdr:rowOff>
    </xdr:from>
    <xdr:to>
      <xdr:col>1</xdr:col>
      <xdr:colOff>772160</xdr:colOff>
      <xdr:row>32</xdr:row>
      <xdr:rowOff>90170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31</xdr:row>
      <xdr:rowOff>107950</xdr:rowOff>
    </xdr:from>
    <xdr:to>
      <xdr:col>6</xdr:col>
      <xdr:colOff>772160</xdr:colOff>
      <xdr:row>32</xdr:row>
      <xdr:rowOff>140970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32</xdr:row>
      <xdr:rowOff>179070</xdr:rowOff>
    </xdr:from>
    <xdr:to>
      <xdr:col>8</xdr:col>
      <xdr:colOff>859790</xdr:colOff>
      <xdr:row>33</xdr:row>
      <xdr:rowOff>154940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  <xdr:twoCellAnchor>
    <xdr:from>
      <xdr:col>1</xdr:col>
      <xdr:colOff>607060</xdr:colOff>
      <xdr:row>25</xdr:row>
      <xdr:rowOff>186690</xdr:rowOff>
    </xdr:from>
    <xdr:to>
      <xdr:col>1</xdr:col>
      <xdr:colOff>772160</xdr:colOff>
      <xdr:row>26</xdr:row>
      <xdr:rowOff>46990</xdr:rowOff>
    </xdr:to>
    <xdr:sp macro="" textlink="">
      <xdr:nvSpPr>
        <xdr:cNvPr id="95" name="타원 34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147955</xdr:rowOff>
    </xdr:from>
    <xdr:to>
      <xdr:col>6</xdr:col>
      <xdr:colOff>772160</xdr:colOff>
      <xdr:row>26</xdr:row>
      <xdr:rowOff>98425</xdr:rowOff>
    </xdr:to>
    <xdr:sp macro="" textlink="">
      <xdr:nvSpPr>
        <xdr:cNvPr id="96" name="직사각형 35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7  CALC (산출 엔진)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63" customFormat="1" ht="23.45" customHeight="1">
      <c r="B2" s="928" t="inlineStr">
        <is>
          <t xml:space="preserve"> </t>
          <phoneticPr fontId="64" type="noConversion"/>
        </is>
      </c>
      <c r="C2" s="929"/>
      <c r="D2" s="929"/>
      <c r="E2" s="929"/>
      <c r="F2" s="929"/>
      <c r="G2" s="929"/>
    </row>
    <row r="3" spans="2:16" ht="30" customHeight="1">
      <c r="B3" s="930" t="inlineStr">
        <is>
          <t xml:space="preserve">NSA SALES FORECAST</t>
        </is>
      </c>
      <c r="C3" s="931"/>
      <c r="D3" s="931"/>
      <c r="E3" s="931"/>
      <c r="F3" s="931"/>
      <c r="G3" s="931"/>
    </row>
    <row r="4" spans="2:16" ht="25.9" customHeight="1">
      <c r="G4" s="810"/>
      <c r="P4">
        <v>2026</v>
      </c>
    </row>
    <row r="5" spans="2:16" ht="7.9" customHeight="1">
      <c r="B5" s="811"/>
      <c r="G5" s="812"/>
    </row>
    <row r="6" spans="2:16" ht="19.899999999999999" customHeight="1">
      <c r="B6" s="813" t="inlineStr">
        <is>
          <t xml:space="preserve">1. 매출수량 (백만 A)</t>
        </is>
      </c>
      <c r="G6" s="812"/>
    </row>
    <row r="7" spans="2:16" ht="15" customHeight="1">
      <c r="B7" s="811"/>
      <c r="G7" s="812"/>
    </row>
    <row r="8" spans="2:16" ht="15" customHeight="1">
      <c r="B8" s="811"/>
      <c r="G8" s="812"/>
    </row>
    <row r="9" spans="2:16" ht="15" customHeight="1">
      <c r="B9" s="811"/>
      <c r="G9" s="812"/>
    </row>
    <row r="10" spans="2:16" ht="15" customHeight="1">
      <c r="B10" s="811"/>
      <c r="G10" s="812"/>
    </row>
    <row r="11" spans="2:16" ht="15" customHeight="1">
      <c r="B11" s="811"/>
      <c r="G11" s="812"/>
    </row>
    <row r="12" spans="2:16" ht="15" customHeight="1">
      <c r="B12" s="811"/>
      <c r="G12" s="812"/>
    </row>
    <row r="13" spans="2:16" ht="15" customHeight="1">
      <c r="B13" s="811"/>
      <c r="G13" s="812"/>
    </row>
    <row r="14" spans="2:16" ht="15" customHeight="1">
      <c r="B14" s="811"/>
      <c r="G14" s="812"/>
    </row>
    <row r="15" spans="2:16" ht="15" customHeight="1">
      <c r="B15" s="811"/>
      <c r="G15" s="812"/>
    </row>
    <row r="16" spans="2:16" ht="15" customHeight="1">
      <c r="B16" s="811"/>
      <c r="G16" s="812"/>
    </row>
    <row r="17" spans="2:7" ht="15" customHeight="1">
      <c r="B17" s="811"/>
      <c r="G17" s="812"/>
    </row>
    <row r="18" spans="2:7" ht="15" customHeight="1">
      <c r="B18" s="811"/>
      <c r="G18" s="812"/>
    </row>
    <row r="19" spans="2:7" ht="15" customHeight="1">
      <c r="B19" s="811"/>
      <c r="G19" s="812"/>
    </row>
    <row r="20" spans="2:7" ht="2.4500000000000002" customHeight="1">
      <c r="B20" s="811"/>
      <c r="G20" s="812"/>
    </row>
    <row r="21" spans="2:7" ht="19.899999999999999" customHeight="1">
      <c r="B21" s="814" t="inlineStr">
        <is>
          <t>구분</t>
        </is>
      </c>
      <c r="C21" s="815" t="inlineStr">
        <is>
          <t>FY2026</t>
        </is>
      </c>
      <c r="D21" s="815" t="inlineStr">
        <is>
          <t>FY2027</t>
        </is>
      </c>
      <c r="E21" s="815" t="inlineStr">
        <is>
          <t>FY2028</t>
        </is>
      </c>
      <c r="F21" s="815" t="inlineStr">
        <is>
          <t>FY2029</t>
        </is>
      </c>
      <c r="G21" s="816" t="inlineStr">
        <is>
          <t>FY2030</t>
        </is>
      </c>
    </row>
    <row r="22" spans="2:7" ht="19.899999999999999" customHeight="1">
      <c r="B22" s="817" t="inlineStr">
        <is>
          <t>Model Base</t>
        </is>
      </c>
      <c r="C22" s="818">
        <f ca="1">근거_매출!J10/1000000</f>
      </c>
      <c r="D22" s="818">
        <f ca="1">근거_매출!K10/1000000</f>
      </c>
      <c r="E22" s="818">
        <f ca="1">근거_매출!L10/1000000</f>
      </c>
      <c r="F22" s="818">
        <f ca="1">근거_매출!M10/1000000</f>
      </c>
      <c r="G22" s="819">
        <f ca="1">근거_매출!N10/1000000</f>
      </c>
    </row>
    <row r="23" spans="2:7" ht="19.899999999999999" customHeight="1">
      <c r="B23" s="820" t="inlineStr">
        <is>
          <t>MKT Base</t>
        </is>
      </c>
      <c r="C23" s="806">
        <f>IF(근거_매출!$J$12="",NA(),근거_매출!J12/1000000)</f>
      </c>
      <c r="D23" s="806">
        <f>IF(근거_매출!$J$12="",NA(),근거_매출!K12/1000000)</f>
      </c>
      <c r="E23" s="806">
        <f>IF(근거_매출!$J$12="",NA(),근거_매출!L12/1000000)</f>
      </c>
      <c r="F23" s="806">
        <f>IF(근거_매출!$J$12="",NA(),근거_매출!M12/1000000)</f>
      </c>
      <c r="G23" s="821">
        <f>IF(근거_매출!$J$12="",NA(),근거_매출!N12/1000000)</f>
      </c>
    </row>
    <row r="24" spans="2:7" ht="19.899999999999999" customHeight="1">
      <c r="B24" s="822" t="inlineStr">
        <is>
          <t xml:space="preserve">Best (MS +10%p)</t>
        </is>
      </c>
      <c r="C24" s="806">
        <f ca="1">근거_매출!J14/1000000</f>
      </c>
      <c r="D24" s="806">
        <f ca="1">근거_매출!K14/1000000</f>
      </c>
      <c r="E24" s="806">
        <f ca="1">근거_매출!L14/1000000</f>
      </c>
      <c r="F24" s="806">
        <f ca="1">근거_매출!M14/1000000</f>
      </c>
      <c r="G24" s="821">
        <f ca="1">근거_매출!N14/1000000</f>
      </c>
    </row>
    <row r="25" spans="2:7" ht="19.899999999999999" customHeight="1">
      <c r="B25" s="823" t="inlineStr">
        <is>
          <t xml:space="preserve">Worst (MS -10%p)</t>
        </is>
      </c>
      <c r="C25" s="805">
        <f ca="1">근거_매출!J16/1000000</f>
      </c>
      <c r="D25" s="805">
        <f ca="1">근거_매출!K16/1000000</f>
      </c>
      <c r="E25" s="805">
        <f ca="1">근거_매출!L16/1000000</f>
      </c>
      <c r="F25" s="805">
        <f ca="1">근거_매출!M16/1000000</f>
      </c>
      <c r="G25" s="824">
        <f ca="1">근거_매출!N16/1000000</f>
      </c>
    </row>
    <row r="26" spans="2:7" ht="19.899999999999999" customHeight="1">
      <c r="B26" s="822" t="inlineStr">
        <is>
          <t xml:space="preserve">Best (MS +5%p)</t>
        </is>
      </c>
      <c r="C26" s="806">
        <f ca="1">근거_매출!J18/1000000</f>
      </c>
      <c r="D26" s="806">
        <f ca="1">근거_매출!K18/1000000</f>
      </c>
      <c r="E26" s="806">
        <f ca="1">근거_매출!L18/1000000</f>
      </c>
      <c r="F26" s="806">
        <f ca="1">근거_매출!M18/1000000</f>
      </c>
      <c r="G26" s="821">
        <f ca="1">근거_매출!N18/1000000</f>
      </c>
    </row>
    <row r="27" spans="2:7" ht="19.899999999999999" customHeight="1">
      <c r="B27" s="823" t="inlineStr">
        <is>
          <t xml:space="preserve">Worst (MS -5%p)</t>
        </is>
      </c>
      <c r="C27" s="805">
        <f ca="1">근거_매출!J20/1000000</f>
      </c>
      <c r="D27" s="805">
        <f ca="1">근거_매출!K20/1000000</f>
      </c>
      <c r="E27" s="805">
        <f ca="1">근거_매출!L20/1000000</f>
      </c>
      <c r="F27" s="805">
        <f ca="1">근거_매출!M20/1000000</f>
      </c>
      <c r="G27" s="824">
        <f ca="1">근거_매출!N20/1000000</f>
      </c>
    </row>
    <row r="28" spans="2:7" ht="7.9" customHeight="1">
      <c r="B28" s="811"/>
      <c r="G28" s="812"/>
    </row>
    <row r="29" spans="2:7" ht="15" customHeight="1">
      <c r="B29" s="813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812"/>
    </row>
    <row r="30" spans="2:7" ht="15" customHeight="1">
      <c r="B30" s="811"/>
      <c r="G30" s="812"/>
    </row>
    <row r="31" spans="2:7" ht="15" customHeight="1">
      <c r="B31" s="811"/>
      <c r="G31" s="812"/>
    </row>
    <row r="32" spans="2:7" ht="15" customHeight="1">
      <c r="B32" s="811"/>
      <c r="G32" s="812"/>
    </row>
    <row r="33" spans="2:7" ht="15" customHeight="1">
      <c r="B33" s="811"/>
      <c r="G33" s="812"/>
    </row>
    <row r="34" spans="2:7" ht="15" customHeight="1">
      <c r="B34" s="811"/>
      <c r="G34" s="812"/>
    </row>
    <row r="35" spans="2:7" ht="15" customHeight="1">
      <c r="B35" s="811"/>
      <c r="G35" s="812"/>
    </row>
    <row r="36" spans="2:7" ht="15" customHeight="1">
      <c r="B36" s="811"/>
      <c r="G36" s="812"/>
    </row>
    <row r="37" spans="2:7" ht="15" customHeight="1">
      <c r="B37" s="811"/>
      <c r="G37" s="812"/>
    </row>
    <row r="38" spans="2:7" ht="15" customHeight="1">
      <c r="B38" s="811"/>
      <c r="G38" s="812"/>
    </row>
    <row r="39" spans="2:7" ht="15" customHeight="1">
      <c r="B39" s="811"/>
      <c r="G39" s="812"/>
    </row>
    <row r="40" spans="2:7" ht="15" customHeight="1">
      <c r="B40" s="811"/>
      <c r="G40" s="812"/>
    </row>
    <row r="41" spans="2:7" ht="15" customHeight="1">
      <c r="B41" s="811"/>
      <c r="G41" s="812"/>
    </row>
    <row r="42" spans="2:7" ht="15" customHeight="1">
      <c r="B42" s="811"/>
      <c r="G42" s="812"/>
    </row>
    <row r="43" spans="2:7" ht="15" customHeight="1">
      <c r="B43" s="811"/>
      <c r="G43" s="812"/>
    </row>
    <row r="44" spans="2:7" ht="19.899999999999999" customHeight="1">
      <c r="B44" s="814" t="inlineStr">
        <is>
          <t>구분</t>
        </is>
      </c>
      <c r="C44" s="815" t="inlineStr">
        <is>
          <t>FY2026</t>
        </is>
      </c>
      <c r="D44" s="815" t="inlineStr">
        <is>
          <t>FY2027</t>
        </is>
      </c>
      <c r="E44" s="815" t="inlineStr">
        <is>
          <t>FY2028</t>
        </is>
      </c>
      <c r="F44" s="815" t="inlineStr">
        <is>
          <t>FY2029</t>
        </is>
      </c>
      <c r="G44" s="816" t="inlineStr">
        <is>
          <t>FY2030</t>
        </is>
      </c>
    </row>
    <row r="45" spans="2:7" ht="19.899999999999999" customHeight="1">
      <c r="B45" s="817" t="inlineStr">
        <is>
          <t>Model Base</t>
        </is>
      </c>
      <c r="C45" s="827">
        <f ca="1">근거_매출!J32</f>
      </c>
      <c r="D45" s="827">
        <f ca="1">근거_매출!K32</f>
      </c>
      <c r="E45" s="827">
        <f ca="1">근거_매출!L32</f>
      </c>
      <c r="F45" s="827">
        <f ca="1">근거_매출!M32</f>
      </c>
      <c r="G45" s="828">
        <f ca="1">근거_매출!N32</f>
      </c>
    </row>
    <row r="46" spans="2:7" ht="19.899999999999999" customHeight="1">
      <c r="B46" s="820" t="inlineStr">
        <is>
          <t>MKT Base</t>
        </is>
      </c>
      <c r="C46" s="808">
        <f>IF(근거_매출!$J$12="",NA(),근거_매출!J34)</f>
      </c>
      <c r="D46" s="808">
        <f>IF(근거_매출!$J$12="",NA(),근거_매출!K34)</f>
      </c>
      <c r="E46" s="808">
        <f>IF(근거_매출!$J$12="",NA(),근거_매출!L34)</f>
      </c>
      <c r="F46" s="808">
        <f>IF(근거_매출!$J$12="",NA(),근거_매출!M34)</f>
      </c>
      <c r="G46" s="829">
        <f>IF(근거_매출!$J$12="",NA(),근거_매출!N34)</f>
      </c>
    </row>
    <row r="47" spans="2:7" ht="19.899999999999999" customHeight="1">
      <c r="B47" s="822" t="inlineStr">
        <is>
          <t xml:space="preserve">Best (MS +10%p)</t>
        </is>
      </c>
      <c r="C47" s="808">
        <f ca="1">근거_매출!J35</f>
      </c>
      <c r="D47" s="808">
        <f ca="1">근거_매출!K35</f>
      </c>
      <c r="E47" s="808">
        <f ca="1">근거_매출!L35</f>
      </c>
      <c r="F47" s="808">
        <f ca="1">근거_매출!M35</f>
      </c>
      <c r="G47" s="829">
        <f ca="1">근거_매출!N35</f>
      </c>
    </row>
    <row r="48" spans="2:7" ht="19.899999999999999" customHeight="1">
      <c r="B48" s="823" t="inlineStr">
        <is>
          <t xml:space="preserve">Worst (MS -10%p)</t>
        </is>
      </c>
      <c r="C48" s="807">
        <f ca="1">근거_매출!J36</f>
      </c>
      <c r="D48" s="807">
        <f ca="1">근거_매출!K36</f>
      </c>
      <c r="E48" s="807">
        <f ca="1">근거_매출!L36</f>
      </c>
      <c r="F48" s="807">
        <f ca="1">근거_매출!M36</f>
      </c>
      <c r="G48" s="830">
        <f ca="1">근거_매출!N36</f>
      </c>
    </row>
    <row r="49" spans="2:7" ht="19.899999999999999" customHeight="1">
      <c r="B49" s="822" t="inlineStr">
        <is>
          <t xml:space="preserve">Best (MS +5%p)</t>
        </is>
      </c>
      <c r="C49" s="808">
        <f ca="1">근거_매출!J37</f>
      </c>
      <c r="D49" s="808">
        <f ca="1">근거_매출!K37</f>
      </c>
      <c r="E49" s="808">
        <f ca="1">근거_매출!L37</f>
      </c>
      <c r="F49" s="808">
        <f ca="1">근거_매출!M37</f>
      </c>
      <c r="G49" s="829">
        <f ca="1">근거_매출!N37</f>
      </c>
    </row>
    <row r="50" spans="2:7" ht="19.899999999999999" customHeight="1">
      <c r="B50" s="823" t="inlineStr">
        <is>
          <t xml:space="preserve">Worst (MS -5%p)</t>
        </is>
      </c>
      <c r="C50" s="807">
        <f ca="1">근거_매출!J38</f>
      </c>
      <c r="D50" s="807">
        <f ca="1">근거_매출!K38</f>
      </c>
      <c r="E50" s="807">
        <f ca="1">근거_매출!L38</f>
      </c>
      <c r="F50" s="807">
        <f ca="1">근거_매출!M38</f>
      </c>
      <c r="G50" s="830">
        <f ca="1">근거_매출!N38</f>
      </c>
    </row>
    <row r="51" spans="2:7">
      <c r="B51" s="804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551" t="inlineStr">
        <is>
          <t xml:space="preserve">NSA FCST 변동 요인 분석과 시뮬레이션</t>
        </is>
      </c>
      <c r="B2" s="551"/>
      <c r="C2" s="551"/>
      <c r="D2" s="551"/>
      <c r="E2" s="551"/>
      <c r="F2" s="551"/>
    </row>
    <row r="4" spans="1:6" s="563" customFormat="1" ht="19.899999999999999" customHeight="1">
      <c r="A4" s="908" t="inlineStr">
        <is>
          <t xml:space="preserve">① 변동 요인 분석  </t>
          <phoneticPr fontId="64" type="noConversion"/>
        </is>
      </c>
      <c r="B4" s="909"/>
      <c r="C4" s="909"/>
      <c r="D4" s="909"/>
    </row>
    <row r="5" spans="1:6" s="563" customFormat="1" ht="19.899999999999999" customHeight="1">
      <c r="A5" s="847" t="inlineStr">
        <is>
          <t xml:space="preserve">- 핵심 변동 요인 : NSA MS (Ramosetron 시장 내 점유율) (매출 변동성 ±18.9%로, 타 요인 대비 압도적인 영향력을 행사함)</t>
        </is>
      </c>
      <c r="C5" s="839"/>
      <c r="D5" s="839"/>
    </row>
    <row r="6" spans="1:6" s="563" customFormat="1" ht="19.899999999999999" customHeight="1">
      <c r="A6" s="848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839"/>
      <c r="D6" s="839"/>
    </row>
    <row r="7" spans="1:6" s="563" customFormat="1" ht="19.899999999999999" customHeight="1">
      <c r="A7" s="848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839"/>
      <c r="D7" s="839"/>
    </row>
    <row r="8" spans="1:6" s="563" customFormat="1" ht="19.899999999999999" customHeight="1">
      <c r="A8" s="838"/>
      <c r="B8" s="839"/>
      <c r="C8" s="839"/>
      <c r="D8" s="839"/>
    </row>
    <row r="9" spans="1:6" s="563" customFormat="1" ht="19.899999999999999" customHeight="1">
      <c r="A9" s="838"/>
      <c r="B9" s="839"/>
      <c r="C9" s="839"/>
      <c r="D9" s="839"/>
    </row>
    <row r="25" spans="1:4">
      <c r="A25" s="908" t="inlineStr">
        <is>
          <t xml:space="preserve">② 시뮬레이션 : NSA MS 변동의 재무적 가치 </t>
        </is>
      </c>
      <c r="B25" s="909"/>
      <c r="C25" s="909"/>
      <c r="D25" s="909"/>
    </row>
    <row r="26" spans="1:4">
      <c r="A26" s="847" t="inlineStr">
        <is>
          <t xml:space="preserve">- Best (MS 확대): NSA MS +10%p 시 → FY2030 매출 437억 (상단) · +5%p 시 402억</t>
        </is>
      </c>
      <c r="B26" s="840"/>
      <c r="C26" s="840"/>
      <c r="D26" s="840"/>
    </row>
    <row r="27" spans="1:4">
      <c r="A27" s="847" t="inlineStr">
        <is>
          <t xml:space="preserve">- Worst (MS 잠식): NSA MS -10%p 시 → FY2030 매출 298억 (하단) · -5%p 시 332억</t>
        </is>
      </c>
      <c r="B27" s="840"/>
      <c r="C27" s="840"/>
      <c r="D27" s="840"/>
    </row>
    <row r="28" spans="1:4">
      <c r="A28" s="849" t="inlineStr">
        <is>
          <t xml:space="preserve">(※ 기준선 Base: 367억 · 세일즈 포캐스트 밴드는 FY2027부터 적용)</t>
        </is>
      </c>
    </row>
    <row r="47" spans="1:1">
      <c r="A47" s="851" t="inlineStr">
        <is>
          <t xml:space="preserve">  · 근거: 근거_민감도 참조</t>
          <phoneticPr fontId="64" type="noConversion"/>
        </is>
      </c>
    </row>
    <row r="48" spans="1:1">
      <c r="A48" s="851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88" customWidth="1"/>
    <col min="2" max="2" width="31" style="388" customWidth="1"/>
    <col min="3" max="3" width="16.75" style="388" customWidth="1"/>
    <col min="4" max="4" width="64.75" style="388" customWidth="1"/>
    <col min="5" max="9" width="14.75" style="388" customWidth="1"/>
    <col min="10" max="10" width="11.125" style="389" customWidth="1"/>
  </cols>
  <sheetData>
    <row r="1" spans="1:10" ht="19.899999999999999" customHeight="1"/>
    <row r="2" spans="1:10" ht="21.75" customHeight="1">
      <c r="A2" s="550" t="inlineStr">
        <is>
          <t xml:space="preserve">NSA Sales FCST FLOW  </t>
        </is>
      </c>
    </row>
    <row r="3" spans="1:10" ht="16.5" customHeight="1">
      <c r="J3" s="549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90"/>
      <c r="D4" s="390"/>
      <c r="E4" s="390"/>
      <c r="F4" s="546"/>
      <c r="G4" s="912"/>
      <c r="H4" s="912"/>
      <c r="I4" s="912"/>
    </row>
    <row r="5" spans="1:10" ht="16.5" customHeight="1">
      <c r="A5" s="386" t="inlineStr">
        <is>
          <t>단계</t>
        </is>
      </c>
      <c r="B5" s="386" t="inlineStr">
        <is>
          <t>항목</t>
        </is>
      </c>
      <c r="C5" s="783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84" t="inlineStr">
        <is>
          <t>모델 방법</t>
        </is>
      </c>
      <c r="E5" s="542" t="inlineStr">
        <is>
          <t>FY2026E</t>
          <phoneticPr fontId="64" type="noConversion"/>
        </is>
      </c>
      <c r="F5" s="785" t="inlineStr">
        <is>
          <t>FY2027</t>
          <phoneticPr fontId="64" type="noConversion"/>
        </is>
      </c>
      <c r="G5" s="782" t="inlineStr">
        <is>
          <t>FY2028</t>
        </is>
      </c>
      <c r="H5" s="782" t="inlineStr">
        <is>
          <t>FY2029</t>
        </is>
      </c>
      <c r="I5" s="782" t="inlineStr">
        <is>
          <t>FY2030</t>
          <phoneticPr fontId="64" type="noConversion"/>
        </is>
      </c>
      <c r="J5" s="782" t="inlineStr">
        <is>
          <t>근거</t>
        </is>
      </c>
    </row>
    <row r="6" ht="16.5" customHeight="1">
      <c r="A6" s="913" t="inlineStr">
        <is>
          <t xml:space="preserve">① 환자 현황</t>
        </is>
      </c>
      <c r="B6" s="786" t="inlineStr">
        <is>
          <t xml:space="preserve">전신마취 환자수</t>
        </is>
      </c>
      <c r="C6" s="788">
        <f>CALC!C20</f>
      </c>
      <c r="D6" s="789" t="inlineStr">
        <is>
          <t xml:space="preserve"> · 추계인구(통계청 중위) × 연령별 전신마취 비율 (30~50대 선형회귀 연장, 그 외 최근 5개년 평균)</t>
        </is>
      </c>
      <c r="E6" s="799">
        <f>INDEX(CALC!$C$5:$C$25,MATCH(표시연도,CALC!$B$5:$B$25,0))</f>
      </c>
      <c r="F6" s="799">
        <f>INDEX(CALC!$C$5:$C$25,MATCH(2027,CALC!$B$5:$B$25,0))</f>
      </c>
      <c r="G6" s="799">
        <f>INDEX(CALC!$C$5:$C$25,MATCH(2028,CALC!$B$5:$B$25,0))</f>
      </c>
      <c r="H6" s="799">
        <f>INDEX(CALC!$C$5:$C$25,MATCH(2029,CALC!$B$5:$B$25,0))</f>
      </c>
      <c r="I6" s="799">
        <f>INDEX(CALC!$C$5:$C$25,MATCH(2030,CALC!$B$5:$B$25,0))</f>
      </c>
      <c r="J6" s="790" t="inlineStr">
        <is>
          <t xml:space="preserve">▶ 근거</t>
        </is>
      </c>
    </row>
    <row r="7" ht="16.5" customHeight="1">
      <c r="A7" s="913"/>
      <c r="B7" s="787" t="inlineStr">
        <is>
          <t xml:space="preserve">종별 환자비율 (상급종합병원)</t>
        </is>
      </c>
      <c r="C7" s="792">
        <f>'근거_종별전신마취환자수'!Q10</f>
      </c>
      <c r="D7" s="789" t="inlineStr">
        <is>
          <t xml:space="preserve"> · HIRA 분기 실측(~2026Q1) 기반 회복모형 — 상급종합 상한 41%·종합 하한 40%·병원 하한 10%·의원 S-curve, 4종별 정규화</t>
        </is>
      </c>
      <c r="E7" s="801">
        <f>'근거_종별전신마취환자수'!R10</f>
      </c>
      <c r="F7" s="801">
        <f>'근거_종별전신마취환자수'!S10</f>
      </c>
      <c r="G7" s="801">
        <f>'근거_종별전신마취환자수'!T10</f>
      </c>
      <c r="H7" s="801">
        <f>'근거_종별전신마취환자수'!U10</f>
      </c>
      <c r="I7" s="801">
        <f>'근거_종별전신마취환자수'!V10</f>
      </c>
      <c r="J7" s="790" t="inlineStr">
        <is>
          <t xml:space="preserve">▶ 근거</t>
        </is>
      </c>
    </row>
    <row r="8" ht="16.5" customHeight="1">
      <c r="A8" s="914" t="inlineStr">
        <is>
          <t xml:space="preserve">② 시장 구조</t>
        </is>
      </c>
      <c r="B8" s="787" t="inlineStr">
        <is>
          <t xml:space="preserve">환자당 Ramosetron 사용량 (상급종합, A/명)</t>
        </is>
      </c>
      <c r="C8" s="791">
        <f>'근거_Ramosetron 시장 수량'!Q16</f>
      </c>
      <c r="D8" s="789" t="inlineStr">
        <is>
          <t xml:space="preserve"> · 연간 선형회귀(상한 5A) / 종합 상한 4A / 병원·의원 최근값 flat — 4개 분기 동일 적용</t>
        </is>
      </c>
      <c r="E8" s="800">
        <f>'근거_Ramosetron 시장 수량'!R16</f>
      </c>
      <c r="F8" s="800">
        <f>'근거_Ramosetron 시장 수량'!S16</f>
      </c>
      <c r="G8" s="800">
        <f>'근거_Ramosetron 시장 수량'!T16</f>
      </c>
      <c r="H8" s="800">
        <f>'근거_Ramosetron 시장 수량'!U16</f>
      </c>
      <c r="I8" s="800">
        <f>'근거_Ramosetron 시장 수량'!V16</f>
      </c>
      <c r="J8" s="790" t="inlineStr">
        <is>
          <t xml:space="preserve">▶ 근거</t>
        </is>
      </c>
    </row>
    <row r="9" ht="16.5" customHeight="1">
      <c r="A9" s="914"/>
      <c r="B9" s="786" t="inlineStr">
        <is>
          <t xml:space="preserve">Ramosetron 시장 수량 (A)</t>
        </is>
      </c>
      <c r="C9" s="788">
        <f>CALC!E20</f>
      </c>
      <c r="D9" s="789" t="inlineStr">
        <is>
          <t xml:space="preserve"> · Σ 종별 전신마취환자수 × 종별 환자당 사용량 (CY 분기 → FY 재구성)</t>
        </is>
      </c>
      <c r="E9" s="799">
        <f>INDEX(CALC!$E$5:$E$25,MATCH(표시연도,CALC!$B$5:$B$25,0))</f>
      </c>
      <c r="F9" s="799">
        <f>INDEX(CALC!$E$5:$E$25,MATCH(2027,CALC!$B$5:$B$25,0))</f>
      </c>
      <c r="G9" s="799">
        <f>INDEX(CALC!$E$5:$E$25,MATCH(2028,CALC!$B$5:$B$25,0))</f>
      </c>
      <c r="H9" s="799">
        <f>INDEX(CALC!$E$5:$E$25,MATCH(2029,CALC!$B$5:$B$25,0))</f>
      </c>
      <c r="I9" s="799">
        <f>INDEX(CALC!$E$5:$E$25,MATCH(2030,CALC!$B$5:$B$25,0))</f>
      </c>
      <c r="J9" s="790" t="inlineStr">
        <is>
          <t xml:space="preserve">▶ 근거</t>
        </is>
      </c>
    </row>
    <row r="10" ht="16.5" customHeight="1">
      <c r="A10" s="915" t="inlineStr">
        <is>
          <t xml:space="preserve">③ 경쟁 현황</t>
        </is>
      </c>
      <c r="B10" s="787" t="inlineStr">
        <is>
          <t xml:space="preserve">NSA MS (상급종합병원)</t>
        </is>
      </c>
      <c r="C10" s="792">
        <f>'근거_NSA수량(IQVIA기준)'!I16</f>
      </c>
      <c r="D10" s="793" t="inlineStr">
        <is>
          <t xml:space="preserve"> · 전체기간 선형(레벨보정, 하한 55%) — 백테스트 MAPE 2.9%</t>
        </is>
      </c>
      <c r="E10" s="801">
        <f>'근거_NSA수량(IQVIA기준)'!J16</f>
      </c>
      <c r="F10" s="801">
        <f>'근거_NSA수량(IQVIA기준)'!K16</f>
      </c>
      <c r="G10" s="801">
        <f>'근거_NSA수량(IQVIA기준)'!L16</f>
      </c>
      <c r="H10" s="801">
        <f>'근거_NSA수량(IQVIA기준)'!M16</f>
      </c>
      <c r="I10" s="801">
        <f>'근거_NSA수량(IQVIA기준)'!N16</f>
      </c>
      <c r="J10" s="790" t="inlineStr">
        <is>
          <t xml:space="preserve">▶ 근거</t>
        </is>
      </c>
    </row>
    <row r="11" ht="16.5" customHeight="1">
      <c r="A11" s="915"/>
      <c r="B11" s="787" t="inlineStr">
        <is>
          <t xml:space="preserve">NSA MS (종합병원)</t>
        </is>
      </c>
      <c r="C11" s="792">
        <f>'근거_NSA수량(IQVIA기준)'!I17</f>
      </c>
      <c r="D11" s="793" t="inlineStr">
        <is>
          <t xml:space="preserve"> · S-curve(로짓변환+저점앵커, 상한 56%) — 백테스트 MAPE 3.8%</t>
        </is>
      </c>
      <c r="E11" s="801">
        <f>'근거_NSA수량(IQVIA기준)'!J17</f>
      </c>
      <c r="F11" s="801">
        <f>'근거_NSA수량(IQVIA기준)'!K17</f>
      </c>
      <c r="G11" s="801">
        <f>'근거_NSA수량(IQVIA기준)'!L17</f>
      </c>
      <c r="H11" s="801">
        <f>'근거_NSA수량(IQVIA기준)'!M17</f>
      </c>
      <c r="I11" s="801">
        <f>'근거_NSA수량(IQVIA기준)'!N17</f>
      </c>
      <c r="J11" s="790" t="inlineStr">
        <is>
          <t xml:space="preserve">▶ 근거</t>
        </is>
      </c>
    </row>
    <row r="12" ht="16.5" customHeight="1">
      <c r="A12" s="915"/>
      <c r="B12" s="787" t="inlineStr">
        <is>
          <t xml:space="preserve">NSA MS (병원·의원)</t>
        </is>
      </c>
      <c r="C12" s="792">
        <f>'근거_NSA수량(IQVIA기준)'!I18</f>
      </c>
      <c r="D12" s="793" t="inlineStr">
        <is>
          <t xml:space="preserve"> · 병원 롤링 4분기 평균 / 의원 EWMA(α=0.3) flat — MAPE 8.9~10.3% (표시값은 병원)</t>
        </is>
      </c>
      <c r="E12" s="801">
        <f>'근거_NSA수량(IQVIA기준)'!J18</f>
      </c>
      <c r="F12" s="801">
        <f>'근거_NSA수량(IQVIA기준)'!K18</f>
      </c>
      <c r="G12" s="801">
        <f>'근거_NSA수량(IQVIA기준)'!L18</f>
      </c>
      <c r="H12" s="801">
        <f>'근거_NSA수량(IQVIA기준)'!M18</f>
      </c>
      <c r="I12" s="801">
        <f>'근거_NSA수량(IQVIA기준)'!N18</f>
      </c>
      <c r="J12" s="790" t="inlineStr">
        <is>
          <t xml:space="preserve">▶ 근거</t>
        </is>
      </c>
    </row>
    <row r="13" ht="16.5" customHeight="1">
      <c r="A13" s="915"/>
      <c r="B13" s="787" t="inlineStr">
        <is>
          <t xml:space="preserve">NSA MS (전체)</t>
        </is>
      </c>
      <c r="C13" s="792">
        <f>CALC!I20</f>
      </c>
      <c r="D13" s="793" t="inlineStr">
        <is>
          <t xml:space="preserve"> · Σ 종별 NSA 수량 ÷ Ramosetron 시장 수량</t>
        </is>
      </c>
      <c r="E13" s="801">
        <f>INDEX(CALC!$I$5:$I$25,MATCH(표시연도,CALC!$B$5:$B$25,0))</f>
      </c>
      <c r="F13" s="801">
        <f>INDEX(CALC!$I$5:$I$25,MATCH(2027,CALC!$B$5:$B$25,0))</f>
      </c>
      <c r="G13" s="801">
        <f>INDEX(CALC!$I$5:$I$25,MATCH(2028,CALC!$B$5:$B$25,0))</f>
      </c>
      <c r="H13" s="801">
        <f>INDEX(CALC!$I$5:$I$25,MATCH(2029,CALC!$B$5:$B$25,0))</f>
      </c>
      <c r="I13" s="801">
        <f>INDEX(CALC!$I$5:$I$25,MATCH(2030,CALC!$B$5:$B$25,0))</f>
      </c>
      <c r="J13" s="790" t="inlineStr">
        <is>
          <t xml:space="preserve">▶ 근거</t>
        </is>
      </c>
    </row>
    <row r="14" ht="16.5" customHeight="1">
      <c r="A14" s="916" t="inlineStr">
        <is>
          <t xml:space="preserve">④ 시장매출</t>
        </is>
      </c>
      <c r="B14" s="787" t="inlineStr">
        <is>
          <t xml:space="preserve">DSKR 매출수량 (A)</t>
        </is>
      </c>
      <c r="C14" s="788">
        <f>INDEX(근거_매출!$B$10:$N$10,표시연도-1-2017)</f>
      </c>
      <c r="D14" s="789" t="inlineStr">
        <is>
          <t xml:space="preserve"> · NSA 수량(IQVIA, A) ÷ 전환비율(FY24~25 평균 1.044) → SAP 판매 수량 환산</t>
        </is>
      </c>
      <c r="E14" s="799">
        <f>INDEX(근거_매출!$B$10:$N$10,표시연도-2017)</f>
      </c>
      <c r="F14" s="799">
        <f>INDEX(근거_매출!$B$10:$N$10,2027-2017)</f>
      </c>
      <c r="G14" s="799">
        <f>INDEX(근거_매출!$B$10:$N$10,2028-2017)</f>
      </c>
      <c r="H14" s="799">
        <f>INDEX(근거_매출!$B$10:$N$10,2029-2017)</f>
      </c>
      <c r="I14" s="799">
        <f>INDEX(근거_매출!$B$10:$N$10,2030-2017)</f>
      </c>
      <c r="J14" s="798" t="inlineStr">
        <is>
          <t xml:space="preserve">▶ 근거</t>
        </is>
      </c>
    </row>
    <row r="15" ht="16.5" customHeight="1">
      <c r="A15" s="916"/>
      <c r="B15" s="786" t="inlineStr">
        <is>
          <t xml:space="preserve">연도별 단가 (원/A)</t>
        </is>
      </c>
      <c r="C15" s="788">
        <f>근거_매출!B27</f>
      </c>
      <c r="D15" s="789" t="inlineStr">
        <is>
          <t xml:space="preserve"> · FY2026 목표단가 69,056원/5A ÷ 5 = 13,811원/A × 약가 배율 (인하 고시 없음 → 100% 유지, 근거_매출 28행에서 조정)</t>
        </is>
      </c>
      <c r="E15" s="799">
        <f>INDEX(근거_매출!$B$29:$N$29,표시연도-2017)</f>
      </c>
      <c r="F15" s="799">
        <f>INDEX(근거_매출!$B$29:$N$29,2027-2017)</f>
      </c>
      <c r="G15" s="799">
        <f>INDEX(근거_매출!$B$29:$N$29,2028-2017)</f>
      </c>
      <c r="H15" s="799">
        <f>INDEX(근거_매출!$B$29:$N$29,2029-2017)</f>
      </c>
      <c r="I15" s="799">
        <f>INDEX(근거_매출!$B$29:$N$29,2030-2017)</f>
      </c>
      <c r="J15" s="798" t="inlineStr">
        <is>
          <t xml:space="preserve">▶ 근거</t>
        </is>
      </c>
    </row>
    <row r="17" ht="19.5" customHeight="1">
      <c r="A17" s="910" t="inlineStr">
        <is>
          <t xml:space="preserve">▶ 결과</t>
        </is>
      </c>
      <c r="B17" s="794" t="inlineStr">
        <is>
          <t xml:space="preserve">Ramosetron 시장 (수량, A)</t>
        </is>
      </c>
      <c r="C17" s="795">
        <f>CALC!E20</f>
      </c>
      <c r="D17" s="796" t="inlineStr">
        <is>
          <t xml:space="preserve">Σ 종별 전신마취환자수 × 종별 환자당 사용량</t>
        </is>
      </c>
      <c r="E17" s="797">
        <f>INDEX(CALC!$E$5:$E$25,MATCH(표시연도,CALC!$B$5:$B$25,0))</f>
      </c>
      <c r="F17" s="797">
        <f>INDEX(CALC!$E$5:$E$25,MATCH(2027,CALC!$B$5:$B$25,0))</f>
      </c>
      <c r="G17" s="797">
        <f>INDEX(CALC!$E$5:$E$25,MATCH(2028,CALC!$B$5:$B$25,0))</f>
      </c>
      <c r="H17" s="797">
        <f>INDEX(CALC!$E$5:$E$25,MATCH(2029,CALC!$B$5:$B$25,0))</f>
      </c>
      <c r="I17" s="797">
        <f>INDEX(CALC!$E$5:$E$25,MATCH(2030,CALC!$B$5:$B$25,0))</f>
      </c>
      <c r="J17" s="790" t="inlineStr">
        <is>
          <t xml:space="preserve">▶ 근거</t>
        </is>
      </c>
    </row>
    <row r="18" ht="19.5" customHeight="1">
      <c r="A18" s="911"/>
      <c r="B18" s="794" t="inlineStr">
        <is>
          <t xml:space="preserve">NSA 수량 (IQVIA, A)</t>
        </is>
      </c>
      <c r="C18" s="795">
        <f>CALC!H20</f>
      </c>
      <c r="D18" s="796" t="inlineStr">
        <is>
          <t xml:space="preserve">Σ 종별 Ramosetron 수량 × 종별 NSA MS</t>
        </is>
      </c>
      <c r="E18" s="797">
        <f>INDEX(CALC!$H$5:$H$25,MATCH(표시연도,CALC!$B$5:$B$25,0))</f>
      </c>
      <c r="F18" s="797">
        <f>INDEX(CALC!$H$5:$H$25,MATCH(2027,CALC!$B$5:$B$25,0))</f>
      </c>
      <c r="G18" s="797">
        <f>INDEX(CALC!$H$5:$H$25,MATCH(2028,CALC!$B$5:$B$25,0))</f>
      </c>
      <c r="H18" s="797">
        <f>INDEX(CALC!$H$5:$H$25,MATCH(2029,CALC!$B$5:$B$25,0))</f>
      </c>
      <c r="I18" s="797">
        <f>INDEX(CALC!$H$5:$H$25,MATCH(2030,CALC!$B$5:$B$25,0))</f>
      </c>
      <c r="J18" s="790" t="inlineStr">
        <is>
          <t xml:space="preserve">▶ 근거</t>
        </is>
      </c>
    </row>
    <row r="19" ht="19.5" customHeight="1">
      <c r="A19" s="911"/>
      <c r="B19" s="794" t="inlineStr">
        <is>
          <t xml:space="preserve">NSA SAP매출 (백만원)</t>
        </is>
      </c>
      <c r="C19" s="795">
        <f>INDEX(근거_매출!$B$32:$N$32,표시연도-1-2017)</f>
      </c>
      <c r="D19" s="796" t="inlineStr">
        <is>
          <t xml:space="preserve">DSKR 매출수량 × 연도별 단가</t>
        </is>
      </c>
      <c r="E19" s="797">
        <f>INDEX(근거_매출!$B$32:$N$32,표시연도-2017)</f>
      </c>
      <c r="F19" s="797">
        <f>INDEX(근거_매출!$B$32:$N$32,2027-2017)</f>
      </c>
      <c r="G19" s="797">
        <f>INDEX(근거_매출!$B$32:$N$32,2028-2017)</f>
      </c>
      <c r="H19" s="797">
        <f>INDEX(근거_매출!$B$32:$N$32,2029-2017)</f>
      </c>
      <c r="I19" s="797">
        <f>INDEX(근거_매출!$B$32:$N$32,2030-2017)</f>
      </c>
      <c r="J19" s="798" t="inlineStr">
        <is>
          <t xml:space="preserve">▶ 근거</t>
        </is>
      </c>
    </row>
    <row r="20">
      <c r="H20" s="803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837" t="str">
        <f>HYPERLINK("#'FCST RESULT'!A1","상세: FCST RESULT ▶")</f>
      </c>
    </row>
    <row r="22" ht="16.5" customHeight="1">
      <c r="B22" s="393" t="inlineStr">
        <is>
          <t xml:space="preserve">※ 기준 수치 - 출처 및 기준연도</t>
        </is>
      </c>
      <c r="C22" s="394"/>
      <c r="D22" s="394"/>
      <c r="E22" s="394"/>
      <c r="F22" s="394"/>
      <c r="G22" s="394"/>
      <c r="H22" s="394"/>
      <c r="I22" s="394"/>
    </row>
    <row r="23" ht="16.5" customHeight="1">
      <c r="B23" s="395" t="inlineStr">
        <is>
          <t xml:space="preserve">① 환자 현황 (연령별 전신마취환자수): NHIS 진료행위 통계 L1211·L1212, CY2025 · 행위별 청구분 기준(포괄수가 DRG 제외 → 실제보다 약 15% 적음, 모델 내 배분 기준으로만 사용)</t>
        </is>
      </c>
      <c r="C23" s="394"/>
      <c r="D23" s="394"/>
      <c r="E23" s="394"/>
      <c r="F23" s="394"/>
      <c r="G23" s="394"/>
      <c r="H23" s="394"/>
      <c r="I23" s="394"/>
    </row>
    <row r="24" ht="16.5" customHeight="1">
      <c r="B24" s="395" t="inlineStr">
        <is>
          <t xml:space="preserve">② 시장 구조: 종별 환자비율 HIRA 분기 실측(~2026Q1) / Ramosetron 시장 수량 IQVIA, CY2025 / 흡입마취제 종별 비율 NHIS N01AB, CY2025</t>
        </is>
      </c>
      <c r="C24" s="394"/>
      <c r="D24" s="394"/>
      <c r="E24" s="394"/>
      <c r="F24" s="394"/>
      <c r="G24" s="394"/>
      <c r="H24" s="394"/>
      <c r="I24" s="394"/>
    </row>
    <row r="25" ht="16.5" customHeight="1">
      <c r="B25" s="395" t="inlineStr">
        <is>
          <t xml:space="preserve">③ 경쟁 현황 (종별 NSA MS): IQVIA NASEA 수량 × SS-Chart 종별 비율 ÷ 종별 Ramosetron 수량, 2026Q1</t>
        </is>
      </c>
      <c r="C25" s="394"/>
      <c r="D25" s="394"/>
      <c r="E25" s="394"/>
      <c r="F25" s="394"/>
      <c r="G25" s="394"/>
      <c r="H25" s="394"/>
      <c r="I25" s="394"/>
    </row>
    <row r="26" ht="16.5" customHeight="1">
      <c r="B26" s="395" t="inlineStr">
        <is>
          <t xml:space="preserve">④ 시장매출(수량·단가): SAP 실측 FY2025 / 단가: FY2026 목표단가 (NASEA Inj. 0.3mg/5A)</t>
        </is>
      </c>
      <c r="C26" s="394"/>
      <c r="D26" s="394"/>
      <c r="E26" s="394"/>
      <c r="F26" s="394"/>
      <c r="G26" s="394"/>
      <c r="H26" s="394"/>
      <c r="I26" s="394"/>
    </row>
    <row r="29" hidden="1">
      <c r="B29" s="836" t="inlineStr">
        <is>
          <t xml:space="preserve">■ 부록 — 백테스트 (종별 NSA MS 예측방식 walk-forward, 2020Q1~2026Q1)</t>
        </is>
      </c>
    </row>
    <row r="30" hidden="1">
      <c r="B30" s="388" t="inlineStr">
        <is>
          <t xml:space="preserve">종별 NSA MS</t>
        </is>
      </c>
      <c r="C30" s="388" t="inlineStr">
        <is>
          <t xml:space="preserve">예측 방식</t>
        </is>
      </c>
      <c r="D30" s="388" t="inlineStr">
        <is>
          <t xml:space="preserve">백테스트 MAPE</t>
        </is>
      </c>
      <c r="E30" s="388" t="inlineStr">
        <is>
          <t xml:space="preserve">판정</t>
        </is>
      </c>
    </row>
    <row r="31" hidden="1">
      <c r="B31" s="388" t="inlineStr">
        <is>
          <t xml:space="preserve">상급종합병원 MS</t>
        </is>
      </c>
      <c r="C31" s="388" t="inlineStr">
        <is>
          <t xml:space="preserve">전체기간선형(레벨보정)</t>
        </is>
      </c>
      <c r="D31" s="388" t="inlineStr">
        <is>
          <t xml:space="preserve">2.92%</t>
        </is>
      </c>
      <c r="E31" s="388" t="inlineStr">
        <is>
          <t xml:space="preserve">채택</t>
        </is>
      </c>
    </row>
    <row r="32" hidden="1">
      <c r="B32" s="388" t="inlineStr">
        <is>
          <t xml:space="preserve">종합병원 MS</t>
        </is>
      </c>
      <c r="C32" s="388" t="inlineStr">
        <is>
          <t xml:space="preserve">S-curve(로짓+저점앵커)</t>
        </is>
      </c>
      <c r="D32" s="388" t="inlineStr">
        <is>
          <t xml:space="preserve">3.83%</t>
        </is>
      </c>
      <c r="E32" s="388" t="inlineStr">
        <is>
          <t xml:space="preserve">채택</t>
        </is>
      </c>
    </row>
    <row r="33" hidden="1">
      <c r="B33" s="388" t="inlineStr">
        <is>
          <t xml:space="preserve">병원 MS</t>
        </is>
      </c>
      <c r="C33" s="388" t="inlineStr">
        <is>
          <t xml:space="preserve">롤링 4분기 평균</t>
        </is>
      </c>
      <c r="D33" s="388" t="inlineStr">
        <is>
          <t xml:space="preserve">8.89%</t>
        </is>
      </c>
      <c r="E33" s="388" t="inlineStr">
        <is>
          <t xml:space="preserve">채택 (표본 소)</t>
        </is>
      </c>
    </row>
    <row r="34" hidden="1">
      <c r="B34" s="388" t="inlineStr">
        <is>
          <t xml:space="preserve">의원 MS</t>
        </is>
      </c>
      <c r="C34" s="388" t="inlineStr">
        <is>
          <t xml:space="preserve">EWMA(α=0.3)</t>
        </is>
      </c>
      <c r="D34" s="388" t="inlineStr">
        <is>
          <t xml:space="preserve">10.30%</t>
        </is>
      </c>
      <c r="E34" s="388" t="inlineStr">
        <is>
          <t xml:space="preserve">채택 (표본 소)</t>
        </is>
      </c>
    </row>
    <row r="35" hidden="1">
      <c r="B35" s="605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605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7"/>
    <mergeCell ref="A8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근거_종별전신마취환자수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6"/>
  <sheetViews>
    <sheetView showGridLines="0" tabSelected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640625" customWidth="1" style="217" min="1" max="1"/>
    <col width="10.28515625" customWidth="1" style="217" min="2" max="2"/>
    <col width="10.640625" customWidth="1" style="217" min="3" max="3"/>
    <col width="9.78515625" customWidth="1" style="217" min="4" max="4"/>
  </cols>
  <sheetData>
    <row r="1"/>
    <row r="2" ht="20.25" customHeight="1" s="217">
      <c r="A2" s="333" t="inlineStr">
        <is>
          <t xml:space="preserve">전신마취 환자수 산출  :   NHIS 데이터 기반 예측 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            [통계청 장래인구추계, 중위]</t>
        </is>
      </c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</row>
    <row r="7" ht="16.5" customHeight="1" s="217">
      <c r="A7" s="335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335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335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335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335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335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335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335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335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Height="1" s="217">
      <c r="A16" s="33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</row>
    <row r="17" ht="16.5" customHeight="1" s="217">
      <c r="A17" s="214" t="inlineStr">
        <is>
          <t xml:space="preserve">  전체 인구</t>
        </is>
      </c>
      <c r="B17" s="213">
        <f>SUM(B7:B15)</f>
        <v/>
      </c>
      <c r="C17" s="213">
        <f>SUM(C7:C15)</f>
        <v/>
      </c>
      <c r="D17" s="213">
        <f>SUM(D7:D15)</f>
        <v/>
      </c>
      <c r="E17" s="213">
        <f>SUM(E7:E15)</f>
        <v/>
      </c>
      <c r="F17" s="213">
        <f>SUM(F7:F15)</f>
        <v/>
      </c>
      <c r="G17" s="213">
        <f>SUM(G7:G15)</f>
        <v/>
      </c>
      <c r="H17" s="213">
        <f>SUM(H7:H15)</f>
        <v/>
      </c>
      <c r="I17" s="213">
        <f>SUM(I7:I15)</f>
        <v/>
      </c>
      <c r="J17" s="213">
        <f>SUM(J7:J15)</f>
        <v/>
      </c>
      <c r="K17" s="213">
        <f>SUM(K7:K15)</f>
        <v/>
      </c>
      <c r="L17" s="213">
        <f>SUM(L7:L15)</f>
        <v/>
      </c>
      <c r="M17" s="213">
        <f>SUM(M7:M15)</f>
        <v/>
      </c>
      <c r="N17" s="213">
        <f>SUM(N7:N15)</f>
        <v/>
      </c>
      <c r="O17" s="213">
        <f>SUM(O7:O15)</f>
        <v/>
      </c>
      <c r="P17" s="213">
        <f>SUM(P7:P15)</f>
        <v/>
      </c>
      <c r="Q17" s="213">
        <f>SUM(Q7:Q15)</f>
        <v/>
      </c>
      <c r="R17" s="213">
        <f>SUM(R7:R15)</f>
        <v/>
      </c>
      <c r="S17" s="213">
        <f>SUM(S7:S15)</f>
        <v/>
      </c>
      <c r="T17" s="213">
        <f>SUM(T7:T15)</f>
        <v/>
      </c>
      <c r="U17" s="213">
        <f>SUM(U7:U15)</f>
        <v/>
      </c>
      <c r="V17" s="213">
        <f>SUM(V7:V15)</f>
        <v/>
      </c>
    </row>
    <row r="18"/>
    <row r="19" ht="16.5" customHeight="1" s="217">
      <c r="A19" s="336" t="inlineStr">
        <is>
          <t>■ B. 전신마취 환자 연령별 비율 (%)  [2010~2024 : 환자수(C) ÷ 인구(A) |  2026~2030 : 연령대별 추세에 따른 차별화된(선형회귀·평균)1 추정 방식 적용]</t>
        </is>
      </c>
      <c r="B19" s="337" t="n"/>
      <c r="C19" s="337" t="n"/>
      <c r="D19" s="337" t="n"/>
      <c r="E19" s="337" t="n"/>
      <c r="F19" s="337" t="n"/>
      <c r="G19" s="337" t="n"/>
      <c r="H19" s="337" t="n"/>
      <c r="I19" s="337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</row>
    <row r="20" ht="16.5" customHeight="1" s="217">
      <c r="A20" s="335" t="inlineStr">
        <is>
          <t xml:space="preserve">  0-9세</t>
        </is>
      </c>
      <c r="B20" s="221">
        <f>B33/B7</f>
        <v/>
      </c>
      <c r="C20" s="221">
        <f>C33/C7</f>
        <v/>
      </c>
      <c r="D20" s="221">
        <f>D33/D7</f>
        <v/>
      </c>
      <c r="E20" s="221">
        <f>E33/E7</f>
        <v/>
      </c>
      <c r="F20" s="221">
        <f>F33/F7</f>
        <v/>
      </c>
      <c r="G20" s="221">
        <f>G33/G7</f>
        <v/>
      </c>
      <c r="H20" s="221">
        <f>H33/H7</f>
        <v/>
      </c>
      <c r="I20" s="221">
        <f>I33/I7</f>
        <v/>
      </c>
      <c r="J20" s="221">
        <f>J33/J7</f>
        <v/>
      </c>
      <c r="K20" s="221">
        <f>K33/K7</f>
        <v/>
      </c>
      <c r="L20" s="221">
        <f>L33/L7</f>
        <v/>
      </c>
      <c r="M20" s="221">
        <f>M33/M7</f>
        <v/>
      </c>
      <c r="N20" s="221">
        <f>N33/N7</f>
        <v/>
      </c>
      <c r="O20" s="221">
        <f>O33/O7</f>
        <v/>
      </c>
      <c r="P20" s="221">
        <f>P33/P7</f>
        <v/>
      </c>
      <c r="Q20" s="221">
        <f>Q33/Q7</f>
        <v/>
      </c>
      <c r="R20" s="222">
        <f>$L54</f>
        <v/>
      </c>
      <c r="S20" s="222">
        <f>$L54</f>
        <v/>
      </c>
      <c r="T20" s="222">
        <f>$L54</f>
        <v/>
      </c>
      <c r="U20" s="222">
        <f>$L54</f>
        <v/>
      </c>
      <c r="V20" s="222">
        <f>$L54</f>
        <v/>
      </c>
    </row>
    <row r="21" ht="16.5" customHeight="1" s="217">
      <c r="A21" s="335" t="inlineStr">
        <is>
          <t xml:space="preserve">  10-19세</t>
        </is>
      </c>
      <c r="B21" s="221">
        <f>B34/B8</f>
        <v/>
      </c>
      <c r="C21" s="221">
        <f>C34/C8</f>
        <v/>
      </c>
      <c r="D21" s="221">
        <f>D34/D8</f>
        <v/>
      </c>
      <c r="E21" s="221">
        <f>E34/E8</f>
        <v/>
      </c>
      <c r="F21" s="221">
        <f>F34/F8</f>
        <v/>
      </c>
      <c r="G21" s="221">
        <f>G34/G8</f>
        <v/>
      </c>
      <c r="H21" s="221">
        <f>H34/H8</f>
        <v/>
      </c>
      <c r="I21" s="221">
        <f>I34/I8</f>
        <v/>
      </c>
      <c r="J21" s="221">
        <f>J34/J8</f>
        <v/>
      </c>
      <c r="K21" s="221">
        <f>K34/K8</f>
        <v/>
      </c>
      <c r="L21" s="221">
        <f>L34/L8</f>
        <v/>
      </c>
      <c r="M21" s="221">
        <f>M34/M8</f>
        <v/>
      </c>
      <c r="N21" s="221">
        <f>N34/N8</f>
        <v/>
      </c>
      <c r="O21" s="221">
        <f>O34/O8</f>
        <v/>
      </c>
      <c r="P21" s="221">
        <f>P34/P8</f>
        <v/>
      </c>
      <c r="Q21" s="221">
        <f>Q34/Q8</f>
        <v/>
      </c>
      <c r="R21" s="222">
        <f>$L55</f>
        <v/>
      </c>
      <c r="S21" s="222">
        <f>$L55</f>
        <v/>
      </c>
      <c r="T21" s="222">
        <f>$L55</f>
        <v/>
      </c>
      <c r="U21" s="222">
        <f>$L55</f>
        <v/>
      </c>
      <c r="V21" s="222">
        <f>$L55</f>
        <v/>
      </c>
    </row>
    <row r="22" ht="16.5" customHeight="1" s="217">
      <c r="A22" s="335" t="inlineStr">
        <is>
          <t xml:space="preserve">  20-29세</t>
        </is>
      </c>
      <c r="B22" s="221">
        <f>B35/B9</f>
        <v/>
      </c>
      <c r="C22" s="221">
        <f>C35/C9</f>
        <v/>
      </c>
      <c r="D22" s="221">
        <f>D35/D9</f>
        <v/>
      </c>
      <c r="E22" s="221">
        <f>E35/E9</f>
        <v/>
      </c>
      <c r="F22" s="221">
        <f>F35/F9</f>
        <v/>
      </c>
      <c r="G22" s="221">
        <f>G35/G9</f>
        <v/>
      </c>
      <c r="H22" s="221">
        <f>H35/H9</f>
        <v/>
      </c>
      <c r="I22" s="221">
        <f>I35/I9</f>
        <v/>
      </c>
      <c r="J22" s="221">
        <f>J35/J9</f>
        <v/>
      </c>
      <c r="K22" s="221">
        <f>K35/K9</f>
        <v/>
      </c>
      <c r="L22" s="221">
        <f>L35/L9</f>
        <v/>
      </c>
      <c r="M22" s="221">
        <f>M35/M9</f>
        <v/>
      </c>
      <c r="N22" s="221">
        <f>N35/N9</f>
        <v/>
      </c>
      <c r="O22" s="221">
        <f>O35/O9</f>
        <v/>
      </c>
      <c r="P22" s="221">
        <f>P35/P9</f>
        <v/>
      </c>
      <c r="Q22" s="221">
        <f>Q35/Q9</f>
        <v/>
      </c>
      <c r="R22" s="222">
        <f>$L56</f>
        <v/>
      </c>
      <c r="S22" s="222">
        <f>$L56</f>
        <v/>
      </c>
      <c r="T22" s="222">
        <f>$L56</f>
        <v/>
      </c>
      <c r="U22" s="222">
        <f>$L56</f>
        <v/>
      </c>
      <c r="V22" s="222">
        <f>$L56</f>
        <v/>
      </c>
    </row>
    <row r="23" ht="16.5" customHeight="1" s="217">
      <c r="A23" s="335" t="inlineStr">
        <is>
          <t xml:space="preserve">  30-39세</t>
        </is>
      </c>
      <c r="B23" s="221">
        <f>B36/B10</f>
        <v/>
      </c>
      <c r="C23" s="221">
        <f>C36/C10</f>
        <v/>
      </c>
      <c r="D23" s="221">
        <f>D36/D10</f>
        <v/>
      </c>
      <c r="E23" s="221">
        <f>E36/E10</f>
        <v/>
      </c>
      <c r="F23" s="221">
        <f>F36/F10</f>
        <v/>
      </c>
      <c r="G23" s="221">
        <f>G36/G10</f>
        <v/>
      </c>
      <c r="H23" s="221">
        <f>H36/H10</f>
        <v/>
      </c>
      <c r="I23" s="221">
        <f>I36/I10</f>
        <v/>
      </c>
      <c r="J23" s="221">
        <f>J36/J10</f>
        <v/>
      </c>
      <c r="K23" s="221">
        <f>K36/K10</f>
        <v/>
      </c>
      <c r="L23" s="221">
        <f>L36/L10</f>
        <v/>
      </c>
      <c r="M23" s="221">
        <f>M36/M10</f>
        <v/>
      </c>
      <c r="N23" s="221">
        <f>N36/N10</f>
        <v/>
      </c>
      <c r="O23" s="221">
        <f>O36/O10</f>
        <v/>
      </c>
      <c r="P23" s="221">
        <f>P36/P10</f>
        <v/>
      </c>
      <c r="Q23" s="221">
        <f>Q36/Q10</f>
        <v/>
      </c>
      <c r="R23" s="222">
        <f>$C$57*R$5+$D$57</f>
        <v/>
      </c>
      <c r="S23" s="222">
        <f>$C$57*S$5+$D$57</f>
        <v/>
      </c>
      <c r="T23" s="222">
        <f>$C$57*T$5+$D$57</f>
        <v/>
      </c>
      <c r="U23" s="222">
        <f>$C$57*U$5+$D$57</f>
        <v/>
      </c>
      <c r="V23" s="222">
        <f>$C$57*V$5+$D$57</f>
        <v/>
      </c>
    </row>
    <row r="24" ht="16.5" customHeight="1" s="217">
      <c r="A24" s="335" t="inlineStr">
        <is>
          <t xml:space="preserve">  40-49세</t>
        </is>
      </c>
      <c r="B24" s="221">
        <f>B37/B11</f>
        <v/>
      </c>
      <c r="C24" s="221">
        <f>C37/C11</f>
        <v/>
      </c>
      <c r="D24" s="221">
        <f>D37/D11</f>
        <v/>
      </c>
      <c r="E24" s="221">
        <f>E37/E11</f>
        <v/>
      </c>
      <c r="F24" s="221">
        <f>F37/F11</f>
        <v/>
      </c>
      <c r="G24" s="221">
        <f>G37/G11</f>
        <v/>
      </c>
      <c r="H24" s="221">
        <f>H37/H11</f>
        <v/>
      </c>
      <c r="I24" s="221">
        <f>I37/I11</f>
        <v/>
      </c>
      <c r="J24" s="221">
        <f>J37/J11</f>
        <v/>
      </c>
      <c r="K24" s="221">
        <f>K37/K11</f>
        <v/>
      </c>
      <c r="L24" s="221">
        <f>L37/L11</f>
        <v/>
      </c>
      <c r="M24" s="221">
        <f>M37/M11</f>
        <v/>
      </c>
      <c r="N24" s="221">
        <f>N37/N11</f>
        <v/>
      </c>
      <c r="O24" s="221">
        <f>O37/O11</f>
        <v/>
      </c>
      <c r="P24" s="221">
        <f>P37/P11</f>
        <v/>
      </c>
      <c r="Q24" s="221">
        <f>Q37/Q11</f>
        <v/>
      </c>
      <c r="R24" s="222">
        <f>$C$58*R$5+$D$58</f>
        <v/>
      </c>
      <c r="S24" s="222">
        <f>$C$58*S$5+$D$58</f>
        <v/>
      </c>
      <c r="T24" s="222">
        <f>$C$58*T$5+$D$58</f>
        <v/>
      </c>
      <c r="U24" s="222">
        <f>$C$58*U$5+$D$58</f>
        <v/>
      </c>
      <c r="V24" s="222">
        <f>$C$58*V$5+$D$58</f>
        <v/>
      </c>
    </row>
    <row r="25" ht="16.5" customHeight="1" s="217">
      <c r="A25" s="335" t="inlineStr">
        <is>
          <t xml:space="preserve">  50-59세</t>
        </is>
      </c>
      <c r="B25" s="221">
        <f>B38/B12</f>
        <v/>
      </c>
      <c r="C25" s="221">
        <f>C38/C12</f>
        <v/>
      </c>
      <c r="D25" s="221">
        <f>D38/D12</f>
        <v/>
      </c>
      <c r="E25" s="221">
        <f>E38/E12</f>
        <v/>
      </c>
      <c r="F25" s="221">
        <f>F38/F12</f>
        <v/>
      </c>
      <c r="G25" s="221">
        <f>G38/G12</f>
        <v/>
      </c>
      <c r="H25" s="221">
        <f>H38/H12</f>
        <v/>
      </c>
      <c r="I25" s="221">
        <f>I38/I12</f>
        <v/>
      </c>
      <c r="J25" s="221">
        <f>J38/J12</f>
        <v/>
      </c>
      <c r="K25" s="221">
        <f>K38/K12</f>
        <v/>
      </c>
      <c r="L25" s="221">
        <f>L38/L12</f>
        <v/>
      </c>
      <c r="M25" s="221">
        <f>M38/M12</f>
        <v/>
      </c>
      <c r="N25" s="221">
        <f>N38/N12</f>
        <v/>
      </c>
      <c r="O25" s="221">
        <f>O38/O12</f>
        <v/>
      </c>
      <c r="P25" s="221">
        <f>P38/P12</f>
        <v/>
      </c>
      <c r="Q25" s="221">
        <f>Q38/Q12</f>
        <v/>
      </c>
      <c r="R25" s="222">
        <f>$C$59*R$5+$D$59</f>
        <v/>
      </c>
      <c r="S25" s="222">
        <f>$C$59*S$5+$D$59</f>
        <v/>
      </c>
      <c r="T25" s="222">
        <f>$C$59*T$5+$D$59</f>
        <v/>
      </c>
      <c r="U25" s="222">
        <f>$C$59*U$5+$D$59</f>
        <v/>
      </c>
      <c r="V25" s="222">
        <f>$C$59*V$5+$D$59</f>
        <v/>
      </c>
    </row>
    <row r="26" ht="16.5" customHeight="1" s="217">
      <c r="A26" s="335" t="inlineStr">
        <is>
          <t xml:space="preserve">  60-69세</t>
        </is>
      </c>
      <c r="B26" s="221">
        <f>B39/B13</f>
        <v/>
      </c>
      <c r="C26" s="221">
        <f>C39/C13</f>
        <v/>
      </c>
      <c r="D26" s="221">
        <f>D39/D13</f>
        <v/>
      </c>
      <c r="E26" s="221">
        <f>E39/E13</f>
        <v/>
      </c>
      <c r="F26" s="221">
        <f>F39/F13</f>
        <v/>
      </c>
      <c r="G26" s="221">
        <f>G39/G13</f>
        <v/>
      </c>
      <c r="H26" s="221">
        <f>H39/H13</f>
        <v/>
      </c>
      <c r="I26" s="221">
        <f>I39/I13</f>
        <v/>
      </c>
      <c r="J26" s="221">
        <f>J39/J13</f>
        <v/>
      </c>
      <c r="K26" s="221">
        <f>K39/K13</f>
        <v/>
      </c>
      <c r="L26" s="221">
        <f>L39/L13</f>
        <v/>
      </c>
      <c r="M26" s="221">
        <f>M39/M13</f>
        <v/>
      </c>
      <c r="N26" s="221">
        <f>N39/N13</f>
        <v/>
      </c>
      <c r="O26" s="221">
        <f>O39/O13</f>
        <v/>
      </c>
      <c r="P26" s="221">
        <f>P39/P13</f>
        <v/>
      </c>
      <c r="Q26" s="221">
        <f>Q39/Q13</f>
        <v/>
      </c>
      <c r="R26" s="222">
        <f>$L60</f>
        <v/>
      </c>
      <c r="S26" s="222">
        <f>$L60</f>
        <v/>
      </c>
      <c r="T26" s="222">
        <f>$L60</f>
        <v/>
      </c>
      <c r="U26" s="222">
        <f>$L60</f>
        <v/>
      </c>
      <c r="V26" s="222">
        <f>$L60</f>
        <v/>
      </c>
    </row>
    <row r="27" ht="16.5" customHeight="1" s="217">
      <c r="A27" s="335" t="inlineStr">
        <is>
          <t xml:space="preserve">  70-79세</t>
        </is>
      </c>
      <c r="B27" s="221">
        <f>B40/B14</f>
        <v/>
      </c>
      <c r="C27" s="221">
        <f>C40/C14</f>
        <v/>
      </c>
      <c r="D27" s="221">
        <f>D40/D14</f>
        <v/>
      </c>
      <c r="E27" s="221">
        <f>E40/E14</f>
        <v/>
      </c>
      <c r="F27" s="221">
        <f>F40/F14</f>
        <v/>
      </c>
      <c r="G27" s="221">
        <f>G40/G14</f>
        <v/>
      </c>
      <c r="H27" s="221">
        <f>H40/H14</f>
        <v/>
      </c>
      <c r="I27" s="221">
        <f>I40/I14</f>
        <v/>
      </c>
      <c r="J27" s="221">
        <f>J40/J14</f>
        <v/>
      </c>
      <c r="K27" s="221">
        <f>K40/K14</f>
        <v/>
      </c>
      <c r="L27" s="221">
        <f>L40/L14</f>
        <v/>
      </c>
      <c r="M27" s="221">
        <f>M40/M14</f>
        <v/>
      </c>
      <c r="N27" s="221">
        <f>N40/N14</f>
        <v/>
      </c>
      <c r="O27" s="221">
        <f>O40/O14</f>
        <v/>
      </c>
      <c r="P27" s="221">
        <f>P40/P14</f>
        <v/>
      </c>
      <c r="Q27" s="221">
        <f>Q40/Q14</f>
        <v/>
      </c>
      <c r="R27" s="222">
        <f>$L61</f>
        <v/>
      </c>
      <c r="S27" s="222">
        <f>$L61</f>
        <v/>
      </c>
      <c r="T27" s="222">
        <f>$L61</f>
        <v/>
      </c>
      <c r="U27" s="222">
        <f>$L61</f>
        <v/>
      </c>
      <c r="V27" s="222">
        <f>$L61</f>
        <v/>
      </c>
    </row>
    <row r="28" ht="16.5" customHeight="1" s="217">
      <c r="A28" s="335" t="inlineStr">
        <is>
          <t xml:space="preserve">  80세 이상</t>
        </is>
      </c>
      <c r="B28" s="221">
        <f>B41/B15</f>
        <v/>
      </c>
      <c r="C28" s="221">
        <f>C41/C15</f>
        <v/>
      </c>
      <c r="D28" s="221">
        <f>D41/D15</f>
        <v/>
      </c>
      <c r="E28" s="221">
        <f>E41/E15</f>
        <v/>
      </c>
      <c r="F28" s="221">
        <f>F41/F15</f>
        <v/>
      </c>
      <c r="G28" s="221">
        <f>G41/G15</f>
        <v/>
      </c>
      <c r="H28" s="221">
        <f>H41/H15</f>
        <v/>
      </c>
      <c r="I28" s="221">
        <f>I41/I15</f>
        <v/>
      </c>
      <c r="J28" s="221">
        <f>J41/J15</f>
        <v/>
      </c>
      <c r="K28" s="221">
        <f>K41/K15</f>
        <v/>
      </c>
      <c r="L28" s="221">
        <f>L41/L15</f>
        <v/>
      </c>
      <c r="M28" s="221">
        <f>M41/M15</f>
        <v/>
      </c>
      <c r="N28" s="221">
        <f>N41/N15</f>
        <v/>
      </c>
      <c r="O28" s="221">
        <f>O41/O15</f>
        <v/>
      </c>
      <c r="P28" s="221">
        <f>P41/P15</f>
        <v/>
      </c>
      <c r="Q28" s="221">
        <f>Q41/Q15</f>
        <v/>
      </c>
      <c r="R28" s="222">
        <f>$L62</f>
        <v/>
      </c>
      <c r="S28" s="222">
        <f>$L62</f>
        <v/>
      </c>
      <c r="T28" s="222">
        <f>$L62</f>
        <v/>
      </c>
      <c r="U28" s="222">
        <f>$L62</f>
        <v/>
      </c>
      <c r="V28" s="222">
        <f>$L62</f>
        <v/>
      </c>
    </row>
    <row r="29" ht="16.5" customHeight="1" s="217">
      <c r="A29" s="335" t="n"/>
      <c r="B29" s="221" t="n"/>
      <c r="C29" s="221" t="n"/>
      <c r="D29" s="221" t="n"/>
      <c r="E29" s="221" t="n"/>
      <c r="F29" s="221" t="n"/>
      <c r="G29" s="221" t="n"/>
      <c r="H29" s="221" t="n"/>
      <c r="I29" s="221" t="n"/>
      <c r="J29" s="221" t="n"/>
      <c r="K29" s="221" t="n"/>
      <c r="L29" s="221" t="n"/>
      <c r="M29" s="221" t="n"/>
      <c r="N29" s="221" t="n"/>
      <c r="O29" s="221" t="n"/>
      <c r="P29" s="221" t="n"/>
      <c r="Q29" s="221" t="n"/>
      <c r="R29" s="222" t="n"/>
      <c r="S29" s="222" t="n"/>
      <c r="T29" s="222" t="n"/>
      <c r="U29" s="222" t="n"/>
      <c r="V29" s="222" t="n"/>
    </row>
    <row r="30" ht="16.5" customHeight="1" s="217">
      <c r="A30" s="338" t="inlineStr">
        <is>
          <t xml:space="preserve">  전체 비율</t>
        </is>
      </c>
      <c r="B30" s="339">
        <f>B42/B17</f>
        <v/>
      </c>
      <c r="C30" s="339">
        <f>C42/C17</f>
        <v/>
      </c>
      <c r="D30" s="339">
        <f>D42/D17</f>
        <v/>
      </c>
      <c r="E30" s="339">
        <f>E42/E17</f>
        <v/>
      </c>
      <c r="F30" s="339">
        <f>F42/F17</f>
        <v/>
      </c>
      <c r="G30" s="339">
        <f>G42/G17</f>
        <v/>
      </c>
      <c r="H30" s="339">
        <f>H42/H17</f>
        <v/>
      </c>
      <c r="I30" s="339">
        <f>I42/I17</f>
        <v/>
      </c>
      <c r="J30" s="339">
        <f>J42/J17</f>
        <v/>
      </c>
      <c r="K30" s="339">
        <f>K42/K17</f>
        <v/>
      </c>
      <c r="L30" s="339">
        <f>L42/L17</f>
        <v/>
      </c>
      <c r="M30" s="339">
        <f>M42/M17</f>
        <v/>
      </c>
      <c r="N30" s="339">
        <f>N42/N17</f>
        <v/>
      </c>
      <c r="O30" s="339">
        <f>O42/O17</f>
        <v/>
      </c>
      <c r="P30" s="339">
        <f>P42/P17</f>
        <v/>
      </c>
      <c r="Q30" s="339">
        <f>Q42/Q17</f>
        <v/>
      </c>
      <c r="R30" s="339">
        <f>R42/R17</f>
        <v/>
      </c>
      <c r="S30" s="339">
        <f>S42/S17</f>
        <v/>
      </c>
      <c r="T30" s="339">
        <f>T42/T17</f>
        <v/>
      </c>
      <c r="U30" s="339">
        <f>U42/U17</f>
        <v/>
      </c>
      <c r="V30" s="339">
        <f>V42/V17</f>
        <v/>
      </c>
    </row>
    <row r="31"/>
    <row r="32" ht="16.5" customHeight="1" s="217">
      <c r="A32" s="336" t="inlineStr">
        <is>
          <t>■ C. 전신마취 환자수 (명)                [2010~2025 : NHIS L1211+1212 실측 |  2026~2030 : 인구(A) ×유병률(B)]</t>
        </is>
      </c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</row>
    <row r="33" ht="16.5" customHeight="1" s="217">
      <c r="A33" s="335" t="inlineStr">
        <is>
          <t xml:space="preserve">  0-9세</t>
        </is>
      </c>
      <c r="B33" s="48" t="n">
        <v>91549</v>
      </c>
      <c r="C33" s="48" t="n">
        <v>94141</v>
      </c>
      <c r="D33" s="48" t="n">
        <v>91485</v>
      </c>
      <c r="E33" s="48" t="n">
        <v>81220</v>
      </c>
      <c r="F33" s="48" t="n">
        <v>69973</v>
      </c>
      <c r="G33" s="48" t="n">
        <v>68365</v>
      </c>
      <c r="H33" s="48" t="n">
        <v>69178</v>
      </c>
      <c r="I33" s="48" t="n">
        <v>66073</v>
      </c>
      <c r="J33" s="48" t="n">
        <v>63030</v>
      </c>
      <c r="K33" s="48" t="n">
        <v>65230</v>
      </c>
      <c r="L33" s="48" t="n">
        <v>60427</v>
      </c>
      <c r="M33" s="48" t="n">
        <v>60799</v>
      </c>
      <c r="N33" s="48" t="n">
        <v>52238</v>
      </c>
      <c r="O33" s="48" t="n">
        <v>56676</v>
      </c>
      <c r="P33" s="48" t="n">
        <v>51839</v>
      </c>
      <c r="Q33" s="48" t="n">
        <v>50130</v>
      </c>
      <c r="R33" s="49">
        <f>R7*R20</f>
        <v/>
      </c>
      <c r="S33" s="49">
        <f>S7*S20</f>
        <v/>
      </c>
      <c r="T33" s="49">
        <f>T7*T20</f>
        <v/>
      </c>
      <c r="U33" s="49">
        <f>U7*U20</f>
        <v/>
      </c>
      <c r="V33" s="49">
        <f>V7*V20</f>
        <v/>
      </c>
    </row>
    <row r="34" ht="16.5" customHeight="1" s="217">
      <c r="A34" s="335" t="inlineStr">
        <is>
          <t xml:space="preserve">  10-19세</t>
        </is>
      </c>
      <c r="B34" s="48" t="n">
        <v>85028</v>
      </c>
      <c r="C34" s="48" t="n">
        <v>85974</v>
      </c>
      <c r="D34" s="48" t="n">
        <v>83270</v>
      </c>
      <c r="E34" s="48" t="n">
        <v>68438</v>
      </c>
      <c r="F34" s="48" t="n">
        <v>59440</v>
      </c>
      <c r="G34" s="48" t="n">
        <v>57229</v>
      </c>
      <c r="H34" s="48" t="n">
        <v>54783</v>
      </c>
      <c r="I34" s="48" t="n">
        <v>52126</v>
      </c>
      <c r="J34" s="48" t="n">
        <v>50607</v>
      </c>
      <c r="K34" s="48" t="n">
        <v>52324</v>
      </c>
      <c r="L34" s="48" t="n">
        <v>46041</v>
      </c>
      <c r="M34" s="48" t="n">
        <v>48668</v>
      </c>
      <c r="N34" s="48" t="n">
        <v>47831</v>
      </c>
      <c r="O34" s="48" t="n">
        <v>54607</v>
      </c>
      <c r="P34" s="48" t="n">
        <v>50925</v>
      </c>
      <c r="Q34" s="48" t="n">
        <v>48269</v>
      </c>
      <c r="R34" s="49">
        <f>R8*R21</f>
        <v/>
      </c>
      <c r="S34" s="49">
        <f>S8*S21</f>
        <v/>
      </c>
      <c r="T34" s="49">
        <f>T8*T21</f>
        <v/>
      </c>
      <c r="U34" s="49">
        <f>U8*U21</f>
        <v/>
      </c>
      <c r="V34" s="49">
        <f>V8*V21</f>
        <v/>
      </c>
    </row>
    <row r="35" ht="16.5" customHeight="1" s="217">
      <c r="A35" s="335" t="inlineStr">
        <is>
          <t xml:space="preserve">  20-29세</t>
        </is>
      </c>
      <c r="B35" s="48" t="n">
        <v>106295</v>
      </c>
      <c r="C35" s="48" t="n">
        <v>104595</v>
      </c>
      <c r="D35" s="48" t="n">
        <v>96499</v>
      </c>
      <c r="E35" s="48" t="n">
        <v>79774</v>
      </c>
      <c r="F35" s="48" t="n">
        <v>71919</v>
      </c>
      <c r="G35" s="48" t="n">
        <v>70926</v>
      </c>
      <c r="H35" s="48" t="n">
        <v>72683</v>
      </c>
      <c r="I35" s="48" t="n">
        <v>72896</v>
      </c>
      <c r="J35" s="48" t="n">
        <v>73407</v>
      </c>
      <c r="K35" s="48" t="n">
        <v>76718</v>
      </c>
      <c r="L35" s="48" t="n">
        <v>80056</v>
      </c>
      <c r="M35" s="48" t="n">
        <v>83325</v>
      </c>
      <c r="N35" s="48" t="n">
        <v>73269</v>
      </c>
      <c r="O35" s="48" t="n">
        <v>79137</v>
      </c>
      <c r="P35" s="48" t="n">
        <v>68668</v>
      </c>
      <c r="Q35" s="48" t="n">
        <v>63263</v>
      </c>
      <c r="R35" s="49">
        <f>R9*R22</f>
        <v/>
      </c>
      <c r="S35" s="49">
        <f>S9*S22</f>
        <v/>
      </c>
      <c r="T35" s="49">
        <f>T9*T22</f>
        <v/>
      </c>
      <c r="U35" s="49">
        <f>U9*U22</f>
        <v/>
      </c>
      <c r="V35" s="49">
        <f>V9*V22</f>
        <v/>
      </c>
    </row>
    <row r="36" ht="16.5" customHeight="1" s="217">
      <c r="A36" s="335" t="inlineStr">
        <is>
          <t xml:space="preserve">  30-39세</t>
        </is>
      </c>
      <c r="B36" s="48" t="n">
        <v>160278</v>
      </c>
      <c r="C36" s="48" t="n">
        <v>164919</v>
      </c>
      <c r="D36" s="48" t="n">
        <v>155026</v>
      </c>
      <c r="E36" s="48" t="n">
        <v>128602</v>
      </c>
      <c r="F36" s="48" t="n">
        <v>111068</v>
      </c>
      <c r="G36" s="48" t="n">
        <v>105403</v>
      </c>
      <c r="H36" s="48" t="n">
        <v>108007</v>
      </c>
      <c r="I36" s="48" t="n">
        <v>109215</v>
      </c>
      <c r="J36" s="48" t="n">
        <v>115054</v>
      </c>
      <c r="K36" s="48" t="n">
        <v>121341</v>
      </c>
      <c r="L36" s="48" t="n">
        <v>128162</v>
      </c>
      <c r="M36" s="48" t="n">
        <v>136317</v>
      </c>
      <c r="N36" s="48" t="n">
        <v>124795</v>
      </c>
      <c r="O36" s="48" t="n">
        <v>141642</v>
      </c>
      <c r="P36" s="48" t="n">
        <v>143729</v>
      </c>
      <c r="Q36" s="48" t="n">
        <v>146765</v>
      </c>
      <c r="R36" s="49">
        <f>R10*R23</f>
        <v/>
      </c>
      <c r="S36" s="49">
        <f>S10*S23</f>
        <v/>
      </c>
      <c r="T36" s="49">
        <f>T10*T23</f>
        <v/>
      </c>
      <c r="U36" s="49">
        <f>U10*U23</f>
        <v/>
      </c>
      <c r="V36" s="49">
        <f>V10*V23</f>
        <v/>
      </c>
    </row>
    <row r="37" ht="16.5" customHeight="1" s="217">
      <c r="A37" s="335" t="inlineStr">
        <is>
          <t xml:space="preserve">  40-49세</t>
        </is>
      </c>
      <c r="B37" s="48" t="n">
        <v>186193</v>
      </c>
      <c r="C37" s="48" t="n">
        <v>194364</v>
      </c>
      <c r="D37" s="48" t="n">
        <v>197341</v>
      </c>
      <c r="E37" s="48" t="n">
        <v>179260</v>
      </c>
      <c r="F37" s="48" t="n">
        <v>160846</v>
      </c>
      <c r="G37" s="48" t="n">
        <v>155333</v>
      </c>
      <c r="H37" s="48" t="n">
        <v>159218</v>
      </c>
      <c r="I37" s="48" t="n">
        <v>163077</v>
      </c>
      <c r="J37" s="48" t="n">
        <v>164682</v>
      </c>
      <c r="K37" s="48" t="n">
        <v>172066</v>
      </c>
      <c r="L37" s="48" t="n">
        <v>177078</v>
      </c>
      <c r="M37" s="48" t="n">
        <v>188877</v>
      </c>
      <c r="N37" s="48" t="n">
        <v>176764</v>
      </c>
      <c r="O37" s="48" t="n">
        <v>200802</v>
      </c>
      <c r="P37" s="48" t="n">
        <v>193171</v>
      </c>
      <c r="Q37" s="48" t="n">
        <v>189380</v>
      </c>
      <c r="R37" s="49">
        <f>R11*R24</f>
        <v/>
      </c>
      <c r="S37" s="49">
        <f>S11*S24</f>
        <v/>
      </c>
      <c r="T37" s="49">
        <f>T11*T24</f>
        <v/>
      </c>
      <c r="U37" s="49">
        <f>U11*U24</f>
        <v/>
      </c>
      <c r="V37" s="49">
        <f>V11*V24</f>
        <v/>
      </c>
    </row>
    <row r="38" ht="16.5" customHeight="1" s="217">
      <c r="A38" s="335" t="inlineStr">
        <is>
          <t xml:space="preserve">  50-59세</t>
        </is>
      </c>
      <c r="B38" s="48" t="n">
        <v>183476</v>
      </c>
      <c r="C38" s="48" t="n">
        <v>210154</v>
      </c>
      <c r="D38" s="48" t="n">
        <v>228633</v>
      </c>
      <c r="E38" s="48" t="n">
        <v>226930</v>
      </c>
      <c r="F38" s="48" t="n">
        <v>216983</v>
      </c>
      <c r="G38" s="48" t="n">
        <v>212264</v>
      </c>
      <c r="H38" s="48" t="n">
        <v>220085</v>
      </c>
      <c r="I38" s="48" t="n">
        <v>224670</v>
      </c>
      <c r="J38" s="48" t="n">
        <v>226503</v>
      </c>
      <c r="K38" s="48" t="n">
        <v>235230</v>
      </c>
      <c r="L38" s="48" t="n">
        <v>229149</v>
      </c>
      <c r="M38" s="48" t="n">
        <v>233720</v>
      </c>
      <c r="N38" s="48" t="n">
        <v>209986</v>
      </c>
      <c r="O38" s="48" t="n">
        <v>233718</v>
      </c>
      <c r="P38" s="48" t="n">
        <v>216988</v>
      </c>
      <c r="Q38" s="48" t="n">
        <v>208245</v>
      </c>
      <c r="R38" s="49">
        <f>R12*R25</f>
        <v/>
      </c>
      <c r="S38" s="49">
        <f>S12*S25</f>
        <v/>
      </c>
      <c r="T38" s="49">
        <f>T12*T25</f>
        <v/>
      </c>
      <c r="U38" s="49">
        <f>U12*U25</f>
        <v/>
      </c>
      <c r="V38" s="49">
        <f>V12*V25</f>
        <v/>
      </c>
    </row>
    <row r="39" ht="16.5" customHeight="1" s="217">
      <c r="A39" s="335" t="inlineStr">
        <is>
          <t xml:space="preserve">  60-69세</t>
        </is>
      </c>
      <c r="B39" s="48" t="n">
        <v>142696</v>
      </c>
      <c r="C39" s="48" t="n">
        <v>151713</v>
      </c>
      <c r="D39" s="48" t="n">
        <v>162479</v>
      </c>
      <c r="E39" s="48" t="n">
        <v>161483</v>
      </c>
      <c r="F39" s="48" t="n">
        <v>160733</v>
      </c>
      <c r="G39" s="48" t="n">
        <v>166083</v>
      </c>
      <c r="H39" s="48" t="n">
        <v>184401</v>
      </c>
      <c r="I39" s="48" t="n">
        <v>195728</v>
      </c>
      <c r="J39" s="48" t="n">
        <v>208663</v>
      </c>
      <c r="K39" s="48" t="n">
        <v>227810</v>
      </c>
      <c r="L39" s="48" t="n">
        <v>235289</v>
      </c>
      <c r="M39" s="48" t="n">
        <v>264146</v>
      </c>
      <c r="N39" s="48" t="n">
        <v>245410</v>
      </c>
      <c r="O39" s="48" t="n">
        <v>285692</v>
      </c>
      <c r="P39" s="48" t="n">
        <v>263680</v>
      </c>
      <c r="Q39" s="48" t="n">
        <v>256213</v>
      </c>
      <c r="R39" s="49">
        <f>R13*R26</f>
        <v/>
      </c>
      <c r="S39" s="49">
        <f>S13*S26</f>
        <v/>
      </c>
      <c r="T39" s="49">
        <f>T13*T26</f>
        <v/>
      </c>
      <c r="U39" s="49">
        <f>U13*U26</f>
        <v/>
      </c>
      <c r="V39" s="49">
        <f>V13*V26</f>
        <v/>
      </c>
    </row>
    <row r="40" ht="16.5" customHeight="1" s="217">
      <c r="A40" s="335" t="inlineStr">
        <is>
          <t xml:space="preserve">  70-79세</t>
        </is>
      </c>
      <c r="B40" s="48" t="n">
        <v>85079</v>
      </c>
      <c r="C40" s="48" t="n">
        <v>94253</v>
      </c>
      <c r="D40" s="48" t="n">
        <v>107145</v>
      </c>
      <c r="E40" s="48" t="n">
        <v>112868</v>
      </c>
      <c r="F40" s="48" t="n">
        <v>112731</v>
      </c>
      <c r="G40" s="48" t="n">
        <v>115519</v>
      </c>
      <c r="H40" s="48" t="n">
        <v>124513</v>
      </c>
      <c r="I40" s="48" t="n">
        <v>131691</v>
      </c>
      <c r="J40" s="48" t="n">
        <v>141224</v>
      </c>
      <c r="K40" s="48" t="n">
        <v>154468</v>
      </c>
      <c r="L40" s="48" t="n">
        <v>154805</v>
      </c>
      <c r="M40" s="48" t="n">
        <v>168787</v>
      </c>
      <c r="N40" s="48" t="n">
        <v>157255</v>
      </c>
      <c r="O40" s="48" t="n">
        <v>182283</v>
      </c>
      <c r="P40" s="48" t="n">
        <v>171560</v>
      </c>
      <c r="Q40" s="48" t="n">
        <v>176851</v>
      </c>
      <c r="R40" s="49">
        <f>R14*R27</f>
        <v/>
      </c>
      <c r="S40" s="49">
        <f>S14*S27</f>
        <v/>
      </c>
      <c r="T40" s="49">
        <f>T14*T27</f>
        <v/>
      </c>
      <c r="U40" s="49">
        <f>U14*U27</f>
        <v/>
      </c>
      <c r="V40" s="49">
        <f>V14*V27</f>
        <v/>
      </c>
    </row>
    <row r="41" ht="16.5" customHeight="1" s="217">
      <c r="A41" s="335" t="inlineStr">
        <is>
          <t xml:space="preserve">  80세 이상</t>
        </is>
      </c>
      <c r="B41" s="48" t="n">
        <v>16600</v>
      </c>
      <c r="C41" s="48" t="n">
        <v>19224</v>
      </c>
      <c r="D41" s="48" t="n">
        <v>22599</v>
      </c>
      <c r="E41" s="48" t="n">
        <v>24942</v>
      </c>
      <c r="F41" s="48" t="n">
        <v>26737</v>
      </c>
      <c r="G41" s="48" t="n">
        <v>30632</v>
      </c>
      <c r="H41" s="48" t="n">
        <v>35933</v>
      </c>
      <c r="I41" s="48" t="n">
        <v>41037</v>
      </c>
      <c r="J41" s="48" t="n">
        <v>46209</v>
      </c>
      <c r="K41" s="48" t="n">
        <v>52818</v>
      </c>
      <c r="L41" s="48" t="n">
        <v>56532</v>
      </c>
      <c r="M41" s="48" t="n">
        <v>64359</v>
      </c>
      <c r="N41" s="48" t="n">
        <v>64234</v>
      </c>
      <c r="O41" s="48" t="n">
        <v>77794</v>
      </c>
      <c r="P41" s="48" t="n">
        <v>71940</v>
      </c>
      <c r="Q41" s="48" t="n">
        <v>72465</v>
      </c>
      <c r="R41" s="49">
        <f>R15*R28</f>
        <v/>
      </c>
      <c r="S41" s="49">
        <f>S15*S28</f>
        <v/>
      </c>
      <c r="T41" s="49">
        <f>T15*T28</f>
        <v/>
      </c>
      <c r="U41" s="49">
        <f>U15*U28</f>
        <v/>
      </c>
      <c r="V41" s="49">
        <f>V15*V28</f>
        <v/>
      </c>
    </row>
    <row r="42" ht="16.5" customHeight="1" s="217">
      <c r="A42" s="50" t="inlineStr">
        <is>
          <t xml:space="preserve">  ▶ 전체 전신마취 환자수</t>
        </is>
      </c>
      <c r="B42" s="51">
        <f>SUM(B33:B41)</f>
        <v/>
      </c>
      <c r="C42" s="51">
        <f>SUM(C33:C41)</f>
        <v/>
      </c>
      <c r="D42" s="51">
        <f>SUM(D33:D41)</f>
        <v/>
      </c>
      <c r="E42" s="51">
        <f>SUM(E33:E41)</f>
        <v/>
      </c>
      <c r="F42" s="51">
        <f>SUM(F33:F41)</f>
        <v/>
      </c>
      <c r="G42" s="51">
        <f>SUM(G33:G41)</f>
        <v/>
      </c>
      <c r="H42" s="51">
        <f>SUM(H33:H41)</f>
        <v/>
      </c>
      <c r="I42" s="51">
        <f>SUM(I33:I41)</f>
        <v/>
      </c>
      <c r="J42" s="51">
        <f>SUM(J33:J41)</f>
        <v/>
      </c>
      <c r="K42" s="51">
        <f>SUM(K33:K41)</f>
        <v/>
      </c>
      <c r="L42" s="51">
        <f>SUM(L33:L41)</f>
        <v/>
      </c>
      <c r="M42" s="51">
        <f>SUM(M33:M41)</f>
        <v/>
      </c>
      <c r="N42" s="51">
        <f>SUM(N33:N41)</f>
        <v/>
      </c>
      <c r="O42" s="51">
        <f>SUM(O33:O41)</f>
        <v/>
      </c>
      <c r="P42" s="51">
        <f>SUM(P33:P41)</f>
        <v/>
      </c>
      <c r="Q42" s="51">
        <f>SUM(Q33:Q41)</f>
        <v/>
      </c>
      <c r="R42" s="51">
        <f>SUM(R33:R41)</f>
        <v/>
      </c>
      <c r="S42" s="51">
        <f>SUM(S33:S41)</f>
        <v/>
      </c>
      <c r="T42" s="51">
        <f>SUM(T33:T41)</f>
        <v/>
      </c>
      <c r="U42" s="51">
        <f>SUM(U33:U41)</f>
        <v/>
      </c>
      <c r="V42" s="51">
        <f>SUM(V33:V41)</f>
        <v/>
      </c>
    </row>
    <row r="43">
      <c r="A43" s="338" t="inlineStr">
        <is>
          <t>성장률(YoY)</t>
        </is>
      </c>
      <c r="B43" s="340" t="inlineStr">
        <is>
          <t xml:space="preserve"> </t>
        </is>
      </c>
      <c r="C43" s="340">
        <f>C42/B42-1</f>
        <v/>
      </c>
      <c r="D43" s="340">
        <f>D42/C42-1</f>
        <v/>
      </c>
      <c r="E43" s="340">
        <f>E42/D42-1</f>
        <v/>
      </c>
      <c r="F43" s="340">
        <f>F42/E42-1</f>
        <v/>
      </c>
      <c r="G43" s="340">
        <f>G42/F42-1</f>
        <v/>
      </c>
      <c r="H43" s="340">
        <f>H42/G42-1</f>
        <v/>
      </c>
      <c r="I43" s="340">
        <f>I42/H42-1</f>
        <v/>
      </c>
      <c r="J43" s="340">
        <f>J42/I42-1</f>
        <v/>
      </c>
      <c r="K43" s="340">
        <f>K42/J42-1</f>
        <v/>
      </c>
      <c r="L43" s="340">
        <f>L42/K42-1</f>
        <v/>
      </c>
      <c r="M43" s="340">
        <f>M42/L42-1</f>
        <v/>
      </c>
      <c r="N43" s="340">
        <f>N42/M42-1</f>
        <v/>
      </c>
      <c r="O43" s="340">
        <f>O42/N42-1</f>
        <v/>
      </c>
      <c r="P43" s="340">
        <f>P42/O42-1</f>
        <v/>
      </c>
      <c r="Q43" s="340">
        <f>Q42/P42-1</f>
        <v/>
      </c>
      <c r="R43" s="340">
        <f>R42/Q42-1</f>
        <v/>
      </c>
      <c r="S43" s="340">
        <f>S42/R42-1</f>
        <v/>
      </c>
      <c r="T43" s="340">
        <f>T42/S42-1</f>
        <v/>
      </c>
      <c r="U43" s="340">
        <f>U42/T42-1</f>
        <v/>
      </c>
      <c r="V43" s="340">
        <f>V42/U42-1</f>
        <v/>
      </c>
    </row>
    <row r="44"/>
    <row r="45">
      <c r="B45" s="335" t="inlineStr">
        <is>
          <t xml:space="preserve">[참고] </t>
        </is>
      </c>
    </row>
    <row r="46">
      <c r="B46" s="341" t="inlineStr">
        <is>
          <t>1)연령대별 전신마취 환자 비율 추정 방법</t>
        </is>
      </c>
      <c r="C46" s="342" t="n"/>
    </row>
    <row r="47">
      <c r="B47" s="212" t="inlineStr">
        <is>
          <t xml:space="preserve">*분석 데이터: </t>
        </is>
      </c>
      <c r="C47" s="341" t="inlineStr">
        <is>
          <t>2010~2024년 실측 데이터 (50대 미만에서는 2013년 데이터 구조적 변화 확인으로 이후 구간 적용)</t>
        </is>
      </c>
      <c r="D47" s="343" t="n"/>
      <c r="E47" s="343" t="n"/>
      <c r="F47" s="343" t="n"/>
      <c r="G47" s="343" t="n"/>
      <c r="H47" s="343" t="n"/>
      <c r="I47" s="343" t="n"/>
      <c r="J47" s="343" t="n"/>
      <c r="K47" s="343" t="n"/>
    </row>
    <row r="48">
      <c r="B48" s="341" t="inlineStr">
        <is>
          <t>*추정 방식:</t>
        </is>
      </c>
      <c r="C48" s="344" t="inlineStr">
        <is>
          <t>• 추세 유 (30~50대): 선형회귀 연장 (비율 = 기울기 × 연도 + 절편)</t>
        </is>
      </c>
      <c r="D48" s="343" t="n"/>
      <c r="E48" s="343" t="n"/>
      <c r="F48" s="343" t="n"/>
      <c r="G48" s="343" t="n"/>
      <c r="H48" s="343" t="n"/>
      <c r="I48" s="343" t="n"/>
      <c r="J48" s="343" t="n"/>
      <c r="K48" s="343" t="n"/>
    </row>
    <row r="49">
      <c r="B49" s="341" t="n"/>
      <c r="C49" s="341" t="inlineStr">
        <is>
          <t>• 추세 무 (기타 연령대): 최근 5개년(21~25년) 평균값 적용</t>
        </is>
      </c>
      <c r="D49" s="343" t="n"/>
      <c r="E49" s="343" t="n"/>
      <c r="F49" s="343" t="n"/>
      <c r="G49" s="343" t="n"/>
      <c r="H49" s="343" t="n"/>
      <c r="I49" s="343" t="n"/>
      <c r="J49" s="343" t="n"/>
      <c r="K49" s="343" t="n"/>
    </row>
    <row r="50">
      <c r="B50" s="212" t="inlineStr">
        <is>
          <t xml:space="preserve">*주의사항: </t>
        </is>
      </c>
      <c r="C50" s="344" t="inlineStr">
        <is>
          <t>NHIS 진료행위 통계 집계 시, 포괄수가 청구건은 마취행위(L1211, L1212)에 별도 누적·집계되지 않음</t>
        </is>
      </c>
      <c r="D50" s="343" t="n"/>
      <c r="E50" s="343" t="n"/>
      <c r="F50" s="343" t="n"/>
      <c r="G50" s="343" t="n"/>
      <c r="H50" s="343" t="n"/>
      <c r="I50" s="343" t="n"/>
      <c r="J50" s="343" t="n"/>
      <c r="K50" s="343" t="n"/>
    </row>
    <row r="51" ht="16.5" customHeight="1" s="217">
      <c r="B51" s="212" t="inlineStr">
        <is>
          <t>*방법 적합성은 2021~2025년 실제 데이터(walk-forward 백테스트, MAPE 기준)로 사전 검증 후 채택</t>
        </is>
      </c>
      <c r="C51" s="342" t="n"/>
    </row>
    <row r="52" ht="4.75" customHeight="1" s="217">
      <c r="B52" s="341" t="n"/>
      <c r="C52" s="342" t="n"/>
    </row>
    <row r="53" ht="16.5" customHeight="1" s="217">
      <c r="B53" s="345" t="inlineStr">
        <is>
          <t>연령대</t>
        </is>
      </c>
      <c r="C53" s="345" t="inlineStr">
        <is>
          <t>기울기(slope)</t>
        </is>
      </c>
      <c r="D53" s="345" t="inlineStr">
        <is>
          <t>절편(intercept)</t>
        </is>
      </c>
      <c r="E53" s="345" t="inlineStr">
        <is>
          <t>R²</t>
        </is>
      </c>
      <c r="F53" s="345" t="inlineStr">
        <is>
          <t>적합구간</t>
        </is>
      </c>
      <c r="G53" s="346" t="n"/>
      <c r="H53" s="346" t="n"/>
      <c r="I53" s="345" t="inlineStr">
        <is>
          <t>적용방법</t>
        </is>
      </c>
      <c r="J53" s="346" t="n"/>
      <c r="K53" s="346" t="n"/>
      <c r="L53" s="347" t="inlineStr">
        <is>
          <t>적용값(%, 평균법만 해당)</t>
        </is>
      </c>
      <c r="M53" s="348" t="n"/>
    </row>
    <row r="54" ht="16.5" customHeight="1" s="217">
      <c r="B54" s="349" t="inlineStr">
        <is>
          <t xml:space="preserve">  0-9세</t>
        </is>
      </c>
      <c r="C54" s="350">
        <f>SLOPE(E20:Q20,$E$5:$Q$5)</f>
        <v/>
      </c>
      <c r="D54" s="350">
        <f>INTERCEPT(E20:Q20,$E$5:$Q$5)</f>
        <v/>
      </c>
      <c r="E54" s="350">
        <f>RSQ(E20:Q20,$E$5:$Q$5)</f>
        <v/>
      </c>
      <c r="F54" s="351" t="inlineStr">
        <is>
          <t xml:space="preserve">2013-2025 (12개년, 단절이후); 참고용 </t>
        </is>
      </c>
      <c r="G54" s="352" t="n"/>
      <c r="H54" s="352" t="n"/>
      <c r="I54" s="212" t="inlineStr">
        <is>
          <t>평균(최근5개년 2021-2025)</t>
        </is>
      </c>
      <c r="J54" s="352" t="n"/>
      <c r="K54" s="352" t="n"/>
      <c r="L54" s="353">
        <f>AVERAGE(M20:Q20)</f>
        <v/>
      </c>
      <c r="M54" s="352" t="n"/>
      <c r="N54" s="352" t="n"/>
    </row>
    <row r="55" ht="16.5" customHeight="1" s="217">
      <c r="B55" s="349" t="inlineStr">
        <is>
          <t xml:space="preserve">  10-19세</t>
        </is>
      </c>
      <c r="C55" s="350">
        <f>SLOPE(E21:Q21,$E$5:$Q$5)</f>
        <v/>
      </c>
      <c r="D55" s="350">
        <f>INTERCEPT(E21:Q21,$E$5:$Q$5)</f>
        <v/>
      </c>
      <c r="E55" s="350">
        <f>RSQ(E21:Q21,$E$5:$Q$5)</f>
        <v/>
      </c>
      <c r="F55" s="351" t="inlineStr">
        <is>
          <t xml:space="preserve">2013-2025 (12개년, 단절이후); 참고용 </t>
        </is>
      </c>
      <c r="G55" s="352" t="n"/>
      <c r="H55" s="352" t="n"/>
      <c r="I55" s="212" t="inlineStr">
        <is>
          <t>평균(최근5개년 2021-2025)</t>
        </is>
      </c>
      <c r="J55" s="352" t="n"/>
      <c r="K55" s="352" t="n"/>
      <c r="L55" s="353">
        <f>AVERAGE(M21:Q21)</f>
        <v/>
      </c>
      <c r="M55" s="352" t="n"/>
      <c r="N55" s="352" t="n"/>
    </row>
    <row r="56" ht="16.5" customHeight="1" s="217">
      <c r="B56" s="349" t="inlineStr">
        <is>
          <t xml:space="preserve">  20-29세</t>
        </is>
      </c>
      <c r="C56" s="350">
        <f>SLOPE(E22:Q22,$E$5:$Q$5)</f>
        <v/>
      </c>
      <c r="D56" s="350">
        <f>INTERCEPT(E22:Q22,$E$5:$Q$5)</f>
        <v/>
      </c>
      <c r="E56" s="350">
        <f>RSQ(E22:Q22,$E$5:$Q$5)</f>
        <v/>
      </c>
      <c r="F56" s="351" t="inlineStr">
        <is>
          <t xml:space="preserve">2013-2025 (12개년, 단절이후); 참고용 </t>
        </is>
      </c>
      <c r="G56" s="352" t="n"/>
      <c r="H56" s="352" t="n"/>
      <c r="I56" s="212" t="inlineStr">
        <is>
          <t>평균(최근5개년 2021-2025)</t>
        </is>
      </c>
      <c r="J56" s="352" t="n"/>
      <c r="K56" s="352" t="n"/>
      <c r="L56" s="353">
        <f>AVERAGE(M22:Q22)</f>
        <v/>
      </c>
      <c r="M56" s="352" t="n"/>
      <c r="N56" s="352" t="n"/>
    </row>
    <row r="57" ht="16.5" customHeight="1" s="217">
      <c r="B57" s="131" t="inlineStr">
        <is>
          <t xml:space="preserve">  30-39세</t>
        </is>
      </c>
      <c r="C57" s="354">
        <f>SLOPE(E23:Q23,$E$5:$Q$5)</f>
        <v/>
      </c>
      <c r="D57" s="354">
        <f>INTERCEPT(E23:Q23,$E$5:$Q$5)</f>
        <v/>
      </c>
      <c r="E57" s="354">
        <f>RSQ(E23:Q23,$E$5:$Q$5)</f>
        <v/>
      </c>
      <c r="F57" s="355" t="inlineStr">
        <is>
          <t xml:space="preserve">2013-2025 (12개년, 단절이후) </t>
        </is>
      </c>
      <c r="G57" s="139" t="n"/>
      <c r="H57" s="139" t="n"/>
      <c r="I57" s="356" t="inlineStr">
        <is>
          <t>선형회귀(추세 유의, p&lt;0.05)</t>
        </is>
      </c>
      <c r="J57" s="139" t="n"/>
      <c r="K57" s="139" t="n"/>
      <c r="L57" s="357" t="inlineStr">
        <is>
          <t>-</t>
        </is>
      </c>
      <c r="M57" s="139" t="n"/>
      <c r="N57" s="352" t="n"/>
    </row>
    <row r="58" ht="16.5" customHeight="1" s="217">
      <c r="B58" s="131" t="inlineStr">
        <is>
          <t xml:space="preserve">  40-49세</t>
        </is>
      </c>
      <c r="C58" s="354">
        <f>SLOPE(E24:Q24,$E$5:$Q$5)</f>
        <v/>
      </c>
      <c r="D58" s="354">
        <f>INTERCEPT(E24:Q24,$E$5:$Q$5)</f>
        <v/>
      </c>
      <c r="E58" s="354">
        <f>RSQ(E24:Q24,$E$5:$Q$5)</f>
        <v/>
      </c>
      <c r="F58" s="355" t="inlineStr">
        <is>
          <t xml:space="preserve">2013-2025 (12개년, 단절이후) </t>
        </is>
      </c>
      <c r="G58" s="139" t="n"/>
      <c r="H58" s="139" t="n"/>
      <c r="I58" s="356" t="inlineStr">
        <is>
          <t>선형회귀(추세 유의, p&lt;0.05)</t>
        </is>
      </c>
      <c r="J58" s="139" t="n"/>
      <c r="K58" s="139" t="n"/>
      <c r="L58" s="357" t="inlineStr">
        <is>
          <t>-</t>
        </is>
      </c>
      <c r="M58" s="139" t="n"/>
      <c r="N58" s="352" t="n"/>
    </row>
    <row r="59" ht="16.5" customHeight="1" s="217">
      <c r="B59" s="131" t="inlineStr">
        <is>
          <t xml:space="preserve">  50-59세</t>
        </is>
      </c>
      <c r="C59" s="354">
        <f>SLOPE(B25:Q25,$B$5:$Q$5)</f>
        <v/>
      </c>
      <c r="D59" s="354">
        <f>INTERCEPT(B25:Q25,$B$5:$Q$5)</f>
        <v/>
      </c>
      <c r="E59" s="354">
        <f>RSQ(B25:Q25,$B$5:$Q$5)</f>
        <v/>
      </c>
      <c r="F59" s="355" t="inlineStr">
        <is>
          <t>2010-2025 (15개년, 전체)</t>
        </is>
      </c>
      <c r="G59" s="139" t="n"/>
      <c r="H59" s="139" t="n"/>
      <c r="I59" s="356" t="inlineStr">
        <is>
          <t>선형회귀(추세 유의, p&lt;0.05)</t>
        </is>
      </c>
      <c r="J59" s="139" t="n"/>
      <c r="K59" s="139" t="n"/>
      <c r="L59" s="357" t="inlineStr">
        <is>
          <t>-</t>
        </is>
      </c>
      <c r="M59" s="139" t="n"/>
      <c r="N59" s="352" t="n"/>
    </row>
    <row r="60" ht="16.5" customHeight="1" s="217">
      <c r="B60" s="349" t="inlineStr">
        <is>
          <t xml:space="preserve">  60-69세</t>
        </is>
      </c>
      <c r="C60" s="350">
        <f>SLOPE(B26:Q26,$B$5:$Q$5)</f>
        <v/>
      </c>
      <c r="D60" s="350">
        <f>INTERCEPT(B26:Q26,$B$5:$Q$5)</f>
        <v/>
      </c>
      <c r="E60" s="350">
        <f>RSQ(B26:Q26,$B$5:$Q$5)</f>
        <v/>
      </c>
      <c r="F60" s="351" t="inlineStr">
        <is>
          <t>2010-2025 (15개년, 전체); 참고용</t>
        </is>
      </c>
      <c r="G60" s="352" t="n"/>
      <c r="H60" s="352" t="n"/>
      <c r="I60" s="212" t="inlineStr">
        <is>
          <t>평균(최근5개년 2021-2025)</t>
        </is>
      </c>
      <c r="J60" s="352" t="n"/>
      <c r="K60" s="352" t="n"/>
      <c r="L60" s="353">
        <f>AVERAGE(M26:Q26)</f>
        <v/>
      </c>
      <c r="M60" s="352" t="n"/>
      <c r="N60" s="352" t="n"/>
    </row>
    <row r="61" ht="16.5" customHeight="1" s="217">
      <c r="B61" s="349" t="inlineStr">
        <is>
          <t xml:space="preserve">  70-79세</t>
        </is>
      </c>
      <c r="C61" s="350">
        <f>SLOPE(B27:Q27,$B$5:$Q$5)</f>
        <v/>
      </c>
      <c r="D61" s="350">
        <f>INTERCEPT(B27:Q27,$B$5:$Q$5)</f>
        <v/>
      </c>
      <c r="E61" s="350">
        <f>RSQ(B27:Q27,$B$5:$Q$5)</f>
        <v/>
      </c>
      <c r="F61" s="351" t="inlineStr">
        <is>
          <t>2010-2025 (15개년, 전체); 참고용</t>
        </is>
      </c>
      <c r="G61" s="352" t="n"/>
      <c r="H61" s="352" t="n"/>
      <c r="I61" s="212" t="inlineStr">
        <is>
          <t>평균(최근5개년 2021-2025)</t>
        </is>
      </c>
      <c r="J61" s="352" t="n"/>
      <c r="K61" s="352" t="n"/>
      <c r="L61" s="353">
        <f>AVERAGE(M27:Q27)</f>
        <v/>
      </c>
      <c r="M61" s="352" t="n"/>
      <c r="N61" s="352" t="n"/>
    </row>
    <row r="62" ht="16.5" customHeight="1" s="217">
      <c r="B62" s="358" t="inlineStr">
        <is>
          <t xml:space="preserve">  80세 이상</t>
        </is>
      </c>
      <c r="C62" s="359">
        <f>SLOPE(B28:Q28,$B$5:$Q$5)</f>
        <v/>
      </c>
      <c r="D62" s="359">
        <f>INTERCEPT(B28:Q28,$B$5:$Q$5)</f>
        <v/>
      </c>
      <c r="E62" s="359">
        <f>RSQ(B28:Q28,$B$5:$Q$5)</f>
        <v/>
      </c>
      <c r="F62" s="360" t="inlineStr">
        <is>
          <t>2010-2025 (15개년, 전체); 참고용</t>
        </is>
      </c>
      <c r="G62" s="361" t="n"/>
      <c r="H62" s="361" t="n"/>
      <c r="I62" s="362" t="inlineStr">
        <is>
          <t>평균(최근5개년 2021-2025)</t>
        </is>
      </c>
      <c r="J62" s="361" t="n"/>
      <c r="K62" s="361" t="n"/>
      <c r="L62" s="363">
        <f>AVERAGE(M28:Q28)</f>
        <v/>
      </c>
      <c r="M62" s="361" t="n"/>
      <c r="N62" s="352" t="n"/>
    </row>
    <row r="63" ht="42.75" customHeight="1" s="217"/>
    <row r="64" ht="16.5" customHeight="1" s="217">
      <c r="B64" s="364" t="inlineStr">
        <is>
          <t>※ 출처 : 통계청, NHIS</t>
        </is>
      </c>
    </row>
    <row r="65" ht="16.5" customHeight="1" s="217">
      <c r="B65" s="365" t="inlineStr">
        <is>
          <t>※ 범례</t>
        </is>
      </c>
    </row>
    <row r="66" ht="16.5" customHeight="1" s="217">
      <c r="B66" s="366" t="inlineStr">
        <is>
          <t>· 외부 입력 데이터: 청색(Blue) 표기</t>
        </is>
      </c>
    </row>
    <row r="67" ht="16.5" customHeight="1" s="217">
      <c r="B67" s="366" t="inlineStr">
        <is>
          <t>· 예측 변수(또는 예측치): 녹색(Green) 표기</t>
        </is>
      </c>
    </row>
    <row r="68" ht="16.5" customHeight="1" s="217">
      <c r="B68" s="366" t="inlineStr">
        <is>
          <t>· 최종 산출 결과: 황색(Yellow) 음영 행</t>
        </is>
      </c>
    </row>
    <row r="69"/>
    <row r="70"/>
    <row r="71">
      <c r="B71" s="367" t="inlineStr">
        <is>
          <t>■ 데이터 유의사항 — 포괄수가(DRG) 청구분 제외</t>
        </is>
      </c>
    </row>
    <row r="72">
      <c r="B72" s="368" t="inlineStr">
        <is>
          <t xml:space="preserve">  ① 본 환자수는 행위별 청구분만 집계된 수치(7개 질병군 포괄수가(DRG) 청구건은 마취 행위코드(L1211·L1212)가 집계되지 않아 제외 (심평원 진료행위 통계 산출기준: "서면청구건과 DRG 청구건은 통계에서 제외"))</t>
        </is>
      </c>
    </row>
    <row r="73">
      <c r="B73" s="368" t="inlineStr">
        <is>
          <t xml:space="preserve">  ② 2013~2014년 꺾임은 실제 수술 감소가 아니라 청구 범위 변화. (2012.7 병·의원 의무화 → 2013.7 종합병원·상급종합 확대. 0~49세 -3%(2012) / -14%(2013) / -12%(2014), 50세 이상은 변동 없음(편도·충수·탈장·제왕절개·자궁부속기·항문 = 젊은 층 수술))</t>
        </is>
      </c>
    </row>
    <row r="74">
      <c r="B74" s="368" t="inlineStr">
        <is>
          <t xml:space="preserve">  ③ 시장 규모로 인용 금지: 실제 전신마취 환자는 본 수치보다 약 15% 이상 많음. 본 데이터는 "행위별 청구 기준(포괄수가 제외)"임</t>
        </is>
      </c>
    </row>
    <row r="75">
      <c r="B75" s="368" t="inlineStr">
        <is>
          <t xml:space="preserve">  ④ 모델 내 용도: 종별 배분 기준으로만 사용함 (근거_Ramosetron 시장 수량 C(환자당 사용량)에서 같은 분모로 나눈 뒤 다시 곱하므로, 포괄수가 몫이 빠져 있어도 라모세트론 수량·매출 예측치에는 영향이 없습니다(포괄수가 수량을 별도로 더하면 이중 계산이 되므로 주의))</t>
        </is>
      </c>
    </row>
    <row r="76">
      <c r="B76" s="368" t="inlineStr">
        <is>
          <t xml:space="preserve">  ⑤ 예측 회귀는 단절 이후(2013~2025) 구간을 사용했으며, 빠지는 비중이 다시 바뀌면(신포괄수가 확대·질병군 추가) 환자수가 아닌 종별 사용량을 재산정 필요→ 모니터링_분기별 하단 "청구 범위 변화 점검" 참조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AT6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종별 전신마취 환자수  :   HIRA 종별 분기 실측 기반 회복모형 (2026년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369" t="n"/>
      <c r="C6" s="369" t="n"/>
      <c r="D6" s="369" t="n"/>
      <c r="E6" s="369" t="n"/>
      <c r="F6" s="369" t="n"/>
      <c r="G6" s="369" t="n"/>
      <c r="H6" s="369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  <c r="S6" s="369" t="n"/>
      <c r="T6" s="369" t="n"/>
      <c r="U6" s="369" t="n"/>
      <c r="V6" s="369" t="n"/>
    </row>
    <row r="7" ht="16.5" customHeight="1" s="217">
      <c r="A7" s="58" t="inlineStr">
        <is>
          <t xml:space="preserve">  전신마취환자수 (전체)</t>
        </is>
      </c>
      <c r="B7" s="370">
        <f>'근거_전신마취환자수'!B42</f>
        <v/>
      </c>
      <c r="C7" s="370">
        <f>'근거_전신마취환자수'!C42</f>
        <v/>
      </c>
      <c r="D7" s="370">
        <f>'근거_전신마취환자수'!D42</f>
        <v/>
      </c>
      <c r="E7" s="370">
        <f>'근거_전신마취환자수'!E42</f>
        <v/>
      </c>
      <c r="F7" s="370">
        <f>'근거_전신마취환자수'!F42</f>
        <v/>
      </c>
      <c r="G7" s="370">
        <f>'근거_전신마취환자수'!G42</f>
        <v/>
      </c>
      <c r="H7" s="370">
        <f>'근거_전신마취환자수'!H42</f>
        <v/>
      </c>
      <c r="I7" s="370">
        <f>'근거_전신마취환자수'!I42</f>
        <v/>
      </c>
      <c r="J7" s="370">
        <f>'근거_전신마취환자수'!J42</f>
        <v/>
      </c>
      <c r="K7" s="370">
        <f>'근거_전신마취환자수'!K42</f>
        <v/>
      </c>
      <c r="L7" s="370">
        <f>'근거_전신마취환자수'!L42</f>
        <v/>
      </c>
      <c r="M7" s="370">
        <f>'근거_전신마취환자수'!M42</f>
        <v/>
      </c>
      <c r="N7" s="370">
        <f>'근거_전신마취환자수'!N42</f>
        <v/>
      </c>
      <c r="O7" s="370">
        <f>'근거_전신마취환자수'!O42</f>
        <v/>
      </c>
      <c r="P7" s="370">
        <f>'근거_전신마취환자수'!P42</f>
        <v/>
      </c>
      <c r="Q7" s="370">
        <f>'근거_전신마취환자수'!Q42</f>
        <v/>
      </c>
      <c r="R7" s="370">
        <f>'근거_전신마취환자수'!R42</f>
        <v/>
      </c>
      <c r="S7" s="370">
        <f>'근거_전신마취환자수'!S42</f>
        <v/>
      </c>
      <c r="T7" s="370">
        <f>'근거_전신마취환자수'!T42</f>
        <v/>
      </c>
      <c r="U7" s="370">
        <f>'근거_전신마취환자수'!U42</f>
        <v/>
      </c>
      <c r="V7" s="370">
        <f>'근거_전신마취환자수'!V42</f>
        <v/>
      </c>
    </row>
    <row r="8"/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S9" s="369" t="n"/>
      <c r="T9" s="369" t="n"/>
      <c r="U9" s="369" t="n"/>
      <c r="V9" s="369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(Z56+AA56+AB56+AC56)/R7</f>
        <v/>
      </c>
      <c r="S10" s="222">
        <f>(AD56+AE56+AF56+AG56)/S7</f>
        <v/>
      </c>
      <c r="T10" s="222">
        <f>(AH56+AI56+AJ56+AK56)/T7</f>
        <v/>
      </c>
      <c r="U10" s="222">
        <f>(AL56+AM56+AN56+AO56)/U7</f>
        <v/>
      </c>
      <c r="V10" s="222">
        <f>(AP56+AQ56+AR56+AS56)/V7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(Z57+AA57+AB57+AC57)/R7</f>
        <v/>
      </c>
      <c r="S11" s="222">
        <f>(AD57+AE57+AF57+AG57)/S7</f>
        <v/>
      </c>
      <c r="T11" s="222">
        <f>(AH57+AI57+AJ57+AK57)/T7</f>
        <v/>
      </c>
      <c r="U11" s="222">
        <f>(AL57+AM57+AN57+AO57)/U7</f>
        <v/>
      </c>
      <c r="V11" s="222">
        <f>(AP57+AQ57+AR57+AS57)/V7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(Z58+AA58+AB58+AC58)/R7</f>
        <v/>
      </c>
      <c r="S12" s="222">
        <f>(AD58+AE58+AF58+AG58)/S7</f>
        <v/>
      </c>
      <c r="T12" s="222">
        <f>(AH58+AI58+AJ58+AK58)/T7</f>
        <v/>
      </c>
      <c r="U12" s="222">
        <f>(AL58+AM58+AN58+AO58)/U7</f>
        <v/>
      </c>
      <c r="V12" s="222">
        <f>(AP58+AQ58+AR58+AS58)/V7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(Z59+AA59+AB59+AC59)/R7</f>
        <v/>
      </c>
      <c r="S13" s="222">
        <f>(AD59+AE59+AF59+AG59)/S7</f>
        <v/>
      </c>
      <c r="T13" s="222">
        <f>(AH59+AI59+AJ59+AK59)/T7</f>
        <v/>
      </c>
      <c r="U13" s="222">
        <f>(AL59+AM59+AN59+AO59)/U7</f>
        <v/>
      </c>
      <c r="V13" s="222">
        <f>(AP59+AQ59+AR59+AS59)/V7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5"/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369" t="n"/>
      <c r="C16" s="369" t="n"/>
      <c r="D16" s="369" t="n"/>
      <c r="E16" s="369" t="n"/>
      <c r="F16" s="369" t="n"/>
      <c r="G16" s="369" t="n"/>
      <c r="H16" s="369" t="n"/>
      <c r="I16" s="369" t="n"/>
      <c r="J16" s="369" t="n"/>
      <c r="K16" s="369" t="n"/>
      <c r="L16" s="369" t="n"/>
      <c r="M16" s="369" t="n"/>
      <c r="N16" s="369" t="n"/>
      <c r="O16" s="369" t="n"/>
      <c r="P16" s="369" t="n"/>
      <c r="Q16" s="369" t="n"/>
      <c r="R16" s="369" t="n"/>
      <c r="S16" s="369" t="n"/>
      <c r="T16" s="369" t="n"/>
      <c r="U16" s="369" t="n"/>
      <c r="V16" s="369" t="n"/>
    </row>
    <row r="17" ht="16.5" customHeight="1" s="217">
      <c r="A17" s="58" t="inlineStr">
        <is>
          <t xml:space="preserve">  상급종합병원</t>
        </is>
      </c>
      <c r="B17" s="371">
        <f>B$7*B10</f>
        <v/>
      </c>
      <c r="C17" s="371">
        <f>C$7*C10</f>
        <v/>
      </c>
      <c r="D17" s="371">
        <f>D$7*D10</f>
        <v/>
      </c>
      <c r="E17" s="371">
        <f>E$7*E10</f>
        <v/>
      </c>
      <c r="F17" s="371">
        <f>F$7*F10</f>
        <v/>
      </c>
      <c r="G17" s="371">
        <f>G$7*G10</f>
        <v/>
      </c>
      <c r="H17" s="371">
        <f>H$7*H10</f>
        <v/>
      </c>
      <c r="I17" s="371">
        <f>I$7*I10</f>
        <v/>
      </c>
      <c r="J17" s="371">
        <f>J$7*J10</f>
        <v/>
      </c>
      <c r="K17" s="371">
        <f>K$7*K10</f>
        <v/>
      </c>
      <c r="L17" s="371">
        <f>L$7*L10</f>
        <v/>
      </c>
      <c r="M17" s="371">
        <f>M$7*M10</f>
        <v/>
      </c>
      <c r="N17" s="371">
        <f>N$7*N10</f>
        <v/>
      </c>
      <c r="O17" s="371">
        <f>O$7*O10</f>
        <v/>
      </c>
      <c r="P17" s="371">
        <f>P$7*P10</f>
        <v/>
      </c>
      <c r="Q17" s="371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371">
        <f>B$7*B11</f>
        <v/>
      </c>
      <c r="C18" s="371">
        <f>C$7*C11</f>
        <v/>
      </c>
      <c r="D18" s="371">
        <f>D$7*D11</f>
        <v/>
      </c>
      <c r="E18" s="371">
        <f>E$7*E11</f>
        <v/>
      </c>
      <c r="F18" s="371">
        <f>F$7*F11</f>
        <v/>
      </c>
      <c r="G18" s="371">
        <f>G$7*G11</f>
        <v/>
      </c>
      <c r="H18" s="371">
        <f>H$7*H11</f>
        <v/>
      </c>
      <c r="I18" s="371">
        <f>I$7*I11</f>
        <v/>
      </c>
      <c r="J18" s="371">
        <f>J$7*J11</f>
        <v/>
      </c>
      <c r="K18" s="371">
        <f>K$7*K11</f>
        <v/>
      </c>
      <c r="L18" s="371">
        <f>L$7*L11</f>
        <v/>
      </c>
      <c r="M18" s="371">
        <f>M$7*M11</f>
        <v/>
      </c>
      <c r="N18" s="371">
        <f>N$7*N11</f>
        <v/>
      </c>
      <c r="O18" s="371">
        <f>O$7*O11</f>
        <v/>
      </c>
      <c r="P18" s="371">
        <f>P$7*P11</f>
        <v/>
      </c>
      <c r="Q18" s="371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371">
        <f>B$7*B12</f>
        <v/>
      </c>
      <c r="C19" s="371">
        <f>C$7*C12</f>
        <v/>
      </c>
      <c r="D19" s="371">
        <f>D$7*D12</f>
        <v/>
      </c>
      <c r="E19" s="371">
        <f>E$7*E12</f>
        <v/>
      </c>
      <c r="F19" s="371">
        <f>F$7*F12</f>
        <v/>
      </c>
      <c r="G19" s="371">
        <f>G$7*G12</f>
        <v/>
      </c>
      <c r="H19" s="371">
        <f>H$7*H12</f>
        <v/>
      </c>
      <c r="I19" s="371">
        <f>I$7*I12</f>
        <v/>
      </c>
      <c r="J19" s="371">
        <f>J$7*J12</f>
        <v/>
      </c>
      <c r="K19" s="371">
        <f>K$7*K12</f>
        <v/>
      </c>
      <c r="L19" s="371">
        <f>L$7*L12</f>
        <v/>
      </c>
      <c r="M19" s="371">
        <f>M$7*M12</f>
        <v/>
      </c>
      <c r="N19" s="371">
        <f>N$7*N12</f>
        <v/>
      </c>
      <c r="O19" s="371">
        <f>O$7*O12</f>
        <v/>
      </c>
      <c r="P19" s="371">
        <f>P$7*P12</f>
        <v/>
      </c>
      <c r="Q19" s="371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371">
        <f>B$7*B13</f>
        <v/>
      </c>
      <c r="C20" s="371">
        <f>C$7*C13</f>
        <v/>
      </c>
      <c r="D20" s="371">
        <f>D$7*D13</f>
        <v/>
      </c>
      <c r="E20" s="371">
        <f>E$7*E13</f>
        <v/>
      </c>
      <c r="F20" s="371">
        <f>F$7*F13</f>
        <v/>
      </c>
      <c r="G20" s="371">
        <f>G$7*G13</f>
        <v/>
      </c>
      <c r="H20" s="371">
        <f>H$7*H13</f>
        <v/>
      </c>
      <c r="I20" s="371">
        <f>I$7*I13</f>
        <v/>
      </c>
      <c r="J20" s="371">
        <f>J$7*J13</f>
        <v/>
      </c>
      <c r="K20" s="371">
        <f>K$7*K13</f>
        <v/>
      </c>
      <c r="L20" s="371">
        <f>L$7*L13</f>
        <v/>
      </c>
      <c r="M20" s="371">
        <f>M$7*M13</f>
        <v/>
      </c>
      <c r="N20" s="371">
        <f>N$7*N13</f>
        <v/>
      </c>
      <c r="O20" s="371">
        <f>O$7*O13</f>
        <v/>
      </c>
      <c r="P20" s="371">
        <f>P$7*P13</f>
        <v/>
      </c>
      <c r="Q20" s="371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371">
        <f>B$7*B14</f>
        <v/>
      </c>
      <c r="C21" s="371">
        <f>C$7*C14</f>
        <v/>
      </c>
      <c r="D21" s="371">
        <f>D$7*D14</f>
        <v/>
      </c>
      <c r="E21" s="371">
        <f>E$7*E14</f>
        <v/>
      </c>
      <c r="F21" s="371">
        <f>F$7*F14</f>
        <v/>
      </c>
      <c r="G21" s="371">
        <f>G$7*G14</f>
        <v/>
      </c>
      <c r="H21" s="371">
        <f>H$7*H14</f>
        <v/>
      </c>
      <c r="I21" s="371">
        <f>I$7*I14</f>
        <v/>
      </c>
      <c r="J21" s="371">
        <f>J$7*J14</f>
        <v/>
      </c>
      <c r="K21" s="371">
        <f>K$7*K14</f>
        <v/>
      </c>
      <c r="L21" s="371">
        <f>L$7*L14</f>
        <v/>
      </c>
      <c r="M21" s="371">
        <f>M$7*M14</f>
        <v/>
      </c>
      <c r="N21" s="371">
        <f>N$7*N14</f>
        <v/>
      </c>
      <c r="O21" s="371">
        <f>O$7*O14</f>
        <v/>
      </c>
      <c r="P21" s="371">
        <f>P$7*P14</f>
        <v/>
      </c>
      <c r="Q21" s="371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/>
    <row r="23">
      <c r="A23" s="372" t="inlineStr">
        <is>
          <t>■ D. 종별 비율 회복모형 파라미터            [분기 실측(2025Q1~2025Q4) 선형추세 · 상한/하한 · 의원 S-curve]</t>
        </is>
      </c>
    </row>
    <row r="24">
      <c r="A24" s="131" t="n"/>
      <c r="B24" s="123" t="inlineStr">
        <is>
          <t>연령대</t>
        </is>
      </c>
      <c r="C24" s="123" t="inlineStr">
        <is>
          <t>상한/하한</t>
        </is>
      </c>
      <c r="D24" s="123" t="inlineStr">
        <is>
          <t>기울기(slope)</t>
        </is>
      </c>
      <c r="E24" s="123" t="inlineStr">
        <is>
          <t>절편(intercept)</t>
        </is>
      </c>
      <c r="F24" s="123" t="inlineStr">
        <is>
          <t>기울기(logit,S-curve)</t>
        </is>
      </c>
      <c r="G24" s="238" t="n"/>
    </row>
    <row r="25">
      <c r="A25" s="131" t="n"/>
      <c r="B25" s="225" t="inlineStr">
        <is>
          <t xml:space="preserve">  상급종합병원 환자비율</t>
        </is>
      </c>
      <c r="C25" s="186" t="n">
        <v>0.41</v>
      </c>
      <c r="D25" s="239">
        <f>SLOPE(S44:Y44,$S$40:$Y$40)</f>
        <v/>
      </c>
      <c r="E25" s="240">
        <f>INTERCEPT(S44:Y44,$S$40:$Y$40)</f>
        <v/>
      </c>
      <c r="F25" s="240" t="n"/>
      <c r="G25" s="238" t="n"/>
    </row>
    <row r="26">
      <c r="A26" s="131" t="n"/>
      <c r="B26" s="225" t="inlineStr">
        <is>
          <t xml:space="preserve">  종합병원 환자비율 (분기)</t>
        </is>
      </c>
      <c r="C26" s="186" t="n">
        <v>0.4</v>
      </c>
      <c r="D26" s="239">
        <f>SLOPE(S45:Y45,$S$40:$Y$40)</f>
        <v/>
      </c>
      <c r="E26" s="240">
        <f>INTERCEPT(S45:Y45,$S$40:$Y$40)</f>
        <v/>
      </c>
      <c r="F26" s="240" t="n"/>
      <c r="G26" s="238" t="n"/>
    </row>
    <row r="27">
      <c r="A27" s="238" t="n"/>
      <c r="B27" s="225" t="inlineStr">
        <is>
          <t xml:space="preserve">  병원급 환자비율 (분기)</t>
        </is>
      </c>
      <c r="C27" s="189" t="n">
        <v>0.1</v>
      </c>
      <c r="D27" s="239">
        <f>SLOPE(S46:Y46,$S$40:$Y$40)</f>
        <v/>
      </c>
      <c r="E27" s="240">
        <f>INTERCEPT(S46:Y46,$S$40:$Y$40)</f>
        <v/>
      </c>
      <c r="F27" s="240" t="n"/>
      <c r="G27" s="238" t="n"/>
    </row>
    <row r="28">
      <c r="A28" s="238" t="n"/>
      <c r="B28" s="225" t="inlineStr">
        <is>
          <t xml:space="preserve">  의원급 환자비율 (분기)</t>
        </is>
      </c>
      <c r="C28" s="189" t="n">
        <v>0.1</v>
      </c>
      <c r="D28" s="239">
        <f>SLOPE(S47:Y47,$S$40:$Y$40)</f>
        <v/>
      </c>
      <c r="E28" s="240">
        <f>INTERCEPT(S47:Y47,$S$40:$Y$40)</f>
        <v/>
      </c>
      <c r="F28" s="240">
        <f>SLOPE(S48:Z48,$S$40:$Z$40)</f>
        <v/>
      </c>
      <c r="G28" s="238" t="n"/>
    </row>
    <row r="29"/>
    <row r="30" ht="16.5" customHeight="1" s="217">
      <c r="A30" s="55" t="inlineStr">
        <is>
          <t>※ 출처 :  NHIS 전신마취환자수 (2010~2025),  HIRA 종별 분기 실측 (2020Q1~2026Q1)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 B-1. 종별 비율 분기 모델 (B의 산출 근거)   [CY 분기 실측 + 롤링 예측 → 4분기 합산으로 B·C의 2025~2030 값 생성]</t>
        </is>
      </c>
    </row>
    <row r="37">
      <c r="A37" s="335" t="inlineStr">
        <is>
          <t>※ B(종별환자비율)는 HIRA 분기실측 기반 분기 직접모델링 (백테스트로 연간모델 대비 정확도 확인). 종별 분기 환자수(56~59행)는 근거_Ramosetron 시장 수량의 종별 수량 산출에 사용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335" t="inlineStr">
        <is>
          <t>분기 순번(추세계산용)</t>
        </is>
      </c>
      <c r="B40" s="335" t="n">
        <v>1</v>
      </c>
      <c r="C40" s="335" t="n">
        <v>2</v>
      </c>
      <c r="D40" s="335" t="n">
        <v>3</v>
      </c>
      <c r="E40" s="335" t="n">
        <v>4</v>
      </c>
      <c r="F40" s="335" t="n">
        <v>5</v>
      </c>
      <c r="G40" s="335" t="n">
        <v>6</v>
      </c>
      <c r="H40" s="335" t="n">
        <v>7</v>
      </c>
      <c r="I40" s="335" t="n">
        <v>8</v>
      </c>
      <c r="J40" s="335" t="n">
        <v>9</v>
      </c>
      <c r="K40" s="335" t="n">
        <v>10</v>
      </c>
      <c r="L40" s="335" t="n">
        <v>11</v>
      </c>
      <c r="M40" s="335" t="n">
        <v>12</v>
      </c>
      <c r="N40" s="335" t="n">
        <v>13</v>
      </c>
      <c r="O40" s="335" t="n">
        <v>14</v>
      </c>
      <c r="P40" s="335" t="n">
        <v>15</v>
      </c>
      <c r="Q40" s="335" t="n">
        <v>16</v>
      </c>
      <c r="R40" s="335" t="n">
        <v>17</v>
      </c>
      <c r="S40" s="335" t="n">
        <v>18</v>
      </c>
      <c r="T40" s="335" t="n">
        <v>19</v>
      </c>
      <c r="U40" s="335" t="n">
        <v>20</v>
      </c>
      <c r="V40" s="335" t="n">
        <v>21</v>
      </c>
      <c r="W40" s="335" t="n">
        <v>22</v>
      </c>
      <c r="X40" s="335" t="n">
        <v>23</v>
      </c>
      <c r="Y40" s="335" t="n">
        <v>24</v>
      </c>
      <c r="Z40" s="335" t="n">
        <v>25</v>
      </c>
      <c r="AA40" s="335" t="n">
        <v>26</v>
      </c>
      <c r="AB40" s="335" t="n">
        <v>27</v>
      </c>
      <c r="AC40" s="335" t="n">
        <v>28</v>
      </c>
      <c r="AD40" s="335" t="n">
        <v>29</v>
      </c>
      <c r="AE40" s="335" t="n">
        <v>30</v>
      </c>
      <c r="AF40" s="335" t="n">
        <v>31</v>
      </c>
      <c r="AG40" s="335" t="n">
        <v>32</v>
      </c>
      <c r="AH40" s="335" t="n">
        <v>33</v>
      </c>
      <c r="AI40" s="335" t="n">
        <v>34</v>
      </c>
      <c r="AJ40" s="335" t="n">
        <v>35</v>
      </c>
      <c r="AK40" s="335" t="n">
        <v>36</v>
      </c>
      <c r="AL40" s="335" t="n">
        <v>37</v>
      </c>
      <c r="AM40" s="335" t="n">
        <v>38</v>
      </c>
      <c r="AN40" s="335" t="n">
        <v>39</v>
      </c>
      <c r="AO40" s="335" t="n">
        <v>40</v>
      </c>
      <c r="AP40" s="335" t="n">
        <v>41</v>
      </c>
      <c r="AQ40" s="335" t="n">
        <v>42</v>
      </c>
      <c r="AR40" s="335" t="n">
        <v>43</v>
      </c>
      <c r="AS40" s="335" t="n">
        <v>44</v>
      </c>
      <c r="AT40" s="335" t="n">
        <v>45</v>
      </c>
    </row>
    <row r="41">
      <c r="A41" s="335" t="inlineStr">
        <is>
          <t>▶ 전체 전신마취환자수 (분기)  [실측HIRA합계~2025Q4 / 미래는 연령모델 연간환자수×분기비중]</t>
        </is>
      </c>
      <c r="B41" s="241" t="n">
        <v>298057</v>
      </c>
      <c r="C41" s="241" t="n">
        <v>284248</v>
      </c>
      <c r="D41" s="241" t="n">
        <v>287449</v>
      </c>
      <c r="E41" s="241" t="n">
        <v>298374</v>
      </c>
      <c r="F41" s="241" t="n">
        <v>314963</v>
      </c>
      <c r="G41" s="241" t="n">
        <v>308831</v>
      </c>
      <c r="H41" s="241" t="n">
        <v>311462</v>
      </c>
      <c r="I41" s="241" t="n">
        <v>314385</v>
      </c>
      <c r="J41" s="241" t="n">
        <v>304354</v>
      </c>
      <c r="K41" s="241" t="n">
        <v>314775</v>
      </c>
      <c r="L41" s="241" t="n">
        <v>320993</v>
      </c>
      <c r="M41" s="241" t="n">
        <v>320425</v>
      </c>
      <c r="N41" s="241" t="n">
        <v>342701</v>
      </c>
      <c r="O41" s="241" t="n">
        <v>321578</v>
      </c>
      <c r="P41" s="241" t="n">
        <v>325581</v>
      </c>
      <c r="Q41" s="241" t="n">
        <v>323190</v>
      </c>
      <c r="R41" s="241" t="n">
        <v>320414</v>
      </c>
      <c r="S41" s="241" t="n">
        <v>291697</v>
      </c>
      <c r="T41" s="241" t="n">
        <v>308119</v>
      </c>
      <c r="U41" s="241" t="n">
        <v>312869</v>
      </c>
      <c r="V41" s="241" t="n">
        <v>329008</v>
      </c>
      <c r="W41" s="241" t="n">
        <v>322560</v>
      </c>
      <c r="X41" s="241" t="n">
        <v>350758</v>
      </c>
      <c r="Y41" s="241" t="n">
        <v>330334</v>
      </c>
      <c r="Z41" s="242">
        <f>R7*$B$62/($B$62+$B$63+$B$64+$B$65)</f>
        <v/>
      </c>
      <c r="AA41" s="242">
        <f>R7*$B$63/($B$62+$B$63+$B$64+$B$65)</f>
        <v/>
      </c>
      <c r="AB41" s="242">
        <f>R7*$B$64/($B$62+$B$63+$B$64+$B$65)</f>
        <v/>
      </c>
      <c r="AC41" s="242">
        <f>R7*$B$65/($B$62+$B$63+$B$64+$B$65)</f>
        <v/>
      </c>
      <c r="AD41" s="242">
        <f>S7*$B$62/($B$62+$B$63+$B$64+$B$65)</f>
        <v/>
      </c>
      <c r="AE41" s="242">
        <f>S7*$B$63/($B$62+$B$63+$B$64+$B$65)</f>
        <v/>
      </c>
      <c r="AF41" s="242">
        <f>S7*$B$64/($B$62+$B$63+$B$64+$B$65)</f>
        <v/>
      </c>
      <c r="AG41" s="242">
        <f>S7*$B$65/($B$62+$B$63+$B$64+$B$65)</f>
        <v/>
      </c>
      <c r="AH41" s="242">
        <f>T7*$B$62/($B$62+$B$63+$B$64+$B$65)</f>
        <v/>
      </c>
      <c r="AI41" s="242">
        <f>T7*$B$63/($B$62+$B$63+$B$64+$B$65)</f>
        <v/>
      </c>
      <c r="AJ41" s="242">
        <f>T7*$B$64/($B$62+$B$63+$B$64+$B$65)</f>
        <v/>
      </c>
      <c r="AK41" s="242">
        <f>T7*$B$65/($B$62+$B$63+$B$64+$B$65)</f>
        <v/>
      </c>
      <c r="AL41" s="242">
        <f>U7*$B$62/($B$62+$B$63+$B$64+$B$65)</f>
        <v/>
      </c>
      <c r="AM41" s="242">
        <f>U7*$B$63/($B$62+$B$63+$B$64+$B$65)</f>
        <v/>
      </c>
      <c r="AN41" s="242">
        <f>U7*$B$64/($B$62+$B$63+$B$64+$B$65)</f>
        <v/>
      </c>
      <c r="AO41" s="242">
        <f>U7*$B$65/($B$62+$B$63+$B$64+$B$65)</f>
        <v/>
      </c>
      <c r="AP41" s="242">
        <f>V7*$B$62/($B$62+$B$63+$B$64+$B$65)</f>
        <v/>
      </c>
      <c r="AQ41" s="242">
        <f>V7*$B$63/($B$62+$B$63+$B$64+$B$65)</f>
        <v/>
      </c>
      <c r="AR41" s="242">
        <f>V7*$B$64/($B$62+$B$63+$B$64+$B$65)</f>
        <v/>
      </c>
      <c r="AS41" s="242">
        <f>V7*$B$65/($B$62+$B$63+$B$64+$B$65)</f>
        <v/>
      </c>
      <c r="AT41" s="242">
        <f>(V7*V7/U7)*$B$62/($B$62+$B$63+$B$64+$B$65)</f>
        <v/>
      </c>
    </row>
    <row r="42"/>
    <row r="43" hidden="1" outlineLevel="1" s="217">
      <c r="A43" s="335" t="inlineStr">
        <is>
          <t>[정규화 전 — 종별 독립 예측치 (상한·하한·S-curve 적용, 합이 100%가 아님 · 중간 계산)]</t>
        </is>
      </c>
    </row>
    <row r="44" hidden="1" outlineLevel="1" s="217">
      <c r="A44" s="335" t="inlineStr">
        <is>
          <t xml:space="preserve">  상급종합병원 환자비율 (분기) [실측HIRA / 미래는 최근4개분기평균]</t>
        </is>
      </c>
      <c r="B44" s="243">
        <f>원자료_분기실측!B5/B41</f>
        <v/>
      </c>
      <c r="C44" s="243">
        <f>원자료_분기실측!C5/C41</f>
        <v/>
      </c>
      <c r="D44" s="243">
        <f>원자료_분기실측!D5/D41</f>
        <v/>
      </c>
      <c r="E44" s="243">
        <f>원자료_분기실측!E5/E41</f>
        <v/>
      </c>
      <c r="F44" s="243">
        <f>원자료_분기실측!F5/F41</f>
        <v/>
      </c>
      <c r="G44" s="243">
        <f>원자료_분기실측!G5/G41</f>
        <v/>
      </c>
      <c r="H44" s="243">
        <f>원자료_분기실측!H5/H41</f>
        <v/>
      </c>
      <c r="I44" s="243">
        <f>원자료_분기실측!I5/I41</f>
        <v/>
      </c>
      <c r="J44" s="243">
        <f>원자료_분기실측!J5/J41</f>
        <v/>
      </c>
      <c r="K44" s="244">
        <f>원자료_분기실측!K5/K41</f>
        <v/>
      </c>
      <c r="L44" s="243">
        <f>원자료_분기실측!L5/L41</f>
        <v/>
      </c>
      <c r="M44" s="243">
        <f>원자료_분기실측!M5/M41</f>
        <v/>
      </c>
      <c r="N44" s="243">
        <f>원자료_분기실측!N5/N41</f>
        <v/>
      </c>
      <c r="O44" s="243">
        <f>원자료_분기실측!O5/O41</f>
        <v/>
      </c>
      <c r="P44" s="243">
        <f>원자료_분기실측!P5/P41</f>
        <v/>
      </c>
      <c r="Q44" s="243">
        <f>원자료_분기실측!Q5/Q41</f>
        <v/>
      </c>
      <c r="R44" s="243">
        <f>원자료_분기실측!R5/R41</f>
        <v/>
      </c>
      <c r="S44" s="245">
        <f>원자료_분기실측!S5/S41</f>
        <v/>
      </c>
      <c r="T44" s="243">
        <f>원자료_분기실측!T5/T41</f>
        <v/>
      </c>
      <c r="U44" s="243">
        <f>원자료_분기실측!U5/U41</f>
        <v/>
      </c>
      <c r="V44" s="243">
        <f>원자료_분기실측!V5/V41</f>
        <v/>
      </c>
      <c r="W44" s="243">
        <f>원자료_분기실측!W5/W41</f>
        <v/>
      </c>
      <c r="X44" s="243">
        <f>원자료_분기실측!X5/X41</f>
        <v/>
      </c>
      <c r="Y44" s="243">
        <f>원자료_분기실측!Y5/Y41</f>
        <v/>
      </c>
      <c r="Z44" s="222">
        <f>MIN($C$25,$D25*Z$40+$E25)</f>
        <v/>
      </c>
      <c r="AA44" s="222">
        <f>MIN($C$25,$D25*AA$40+$E25)</f>
        <v/>
      </c>
      <c r="AB44" s="222">
        <f>MIN($C$25,$D25*AB$40+$E25)</f>
        <v/>
      </c>
      <c r="AC44" s="222">
        <f>MIN($C$25,$D25*AC$40+$E25)</f>
        <v/>
      </c>
      <c r="AD44" s="222">
        <f>MIN($C$25,$D25*AD$40+$E25)</f>
        <v/>
      </c>
      <c r="AE44" s="222">
        <f>MIN($C$25,$D25*AE$40+$E25)</f>
        <v/>
      </c>
      <c r="AF44" s="222">
        <f>MIN($C$25,$D25*AF$40+$E25)</f>
        <v/>
      </c>
      <c r="AG44" s="222">
        <f>MIN($C$25,$D25*AG$40+$E25)</f>
        <v/>
      </c>
      <c r="AH44" s="222">
        <f>MIN($C$25,$D25*AH$40+$E25)</f>
        <v/>
      </c>
      <c r="AI44" s="222">
        <f>MIN($C$25,$D25*AI$40+$E25)</f>
        <v/>
      </c>
      <c r="AJ44" s="222">
        <f>MIN($C$25,$D25*AJ$40+$E25)</f>
        <v/>
      </c>
      <c r="AK44" s="222">
        <f>MIN($C$25,$D25*AK$40+$E25)</f>
        <v/>
      </c>
      <c r="AL44" s="222">
        <f>MIN($C$25,$D25*AL$40+$E25)</f>
        <v/>
      </c>
      <c r="AM44" s="222">
        <f>MIN($C$25,$D25*AM$40+$E25)</f>
        <v/>
      </c>
      <c r="AN44" s="222">
        <f>MIN($C$25,$D25*AN$40+$E25)</f>
        <v/>
      </c>
      <c r="AO44" s="222">
        <f>MIN($C$25,$D25*AO$40+$E25)</f>
        <v/>
      </c>
      <c r="AP44" s="222">
        <f>MIN($C$25,$D25*AP$40+$E25)</f>
        <v/>
      </c>
      <c r="AQ44" s="222">
        <f>MIN($C$25,$D25*AQ$40+$E25)</f>
        <v/>
      </c>
      <c r="AR44" s="222">
        <f>MIN($C$25,$D25*AR$40+$E25)</f>
        <v/>
      </c>
      <c r="AS44" s="222">
        <f>MIN($C$25,$D25*AS$40+$E25)</f>
        <v/>
      </c>
      <c r="AT44" s="222">
        <f>MIN($C$25,$D25*AT$40+$E25)</f>
        <v/>
      </c>
    </row>
    <row r="45" hidden="1" outlineLevel="1" s="217">
      <c r="A45" s="335" t="inlineStr">
        <is>
          <t xml:space="preserve">  종합병원 환자비율 (분기) [실측HIRA / 미래는 최근4개분기평균]</t>
        </is>
      </c>
      <c r="B45" s="243">
        <f>원자료_분기실측!B6/B41</f>
        <v/>
      </c>
      <c r="C45" s="243">
        <f>원자료_분기실측!C6/C41</f>
        <v/>
      </c>
      <c r="D45" s="243">
        <f>원자료_분기실측!D6/D41</f>
        <v/>
      </c>
      <c r="E45" s="243">
        <f>원자료_분기실측!E6/E41</f>
        <v/>
      </c>
      <c r="F45" s="243">
        <f>원자료_분기실측!F6/F41</f>
        <v/>
      </c>
      <c r="G45" s="243">
        <f>원자료_분기실측!G6/G41</f>
        <v/>
      </c>
      <c r="H45" s="243">
        <f>원자료_분기실측!H6/H41</f>
        <v/>
      </c>
      <c r="I45" s="243">
        <f>원자료_분기실측!I6/I41</f>
        <v/>
      </c>
      <c r="J45" s="243">
        <f>원자료_분기실측!J6/J41</f>
        <v/>
      </c>
      <c r="K45" s="244">
        <f>원자료_분기실측!K6/K41</f>
        <v/>
      </c>
      <c r="L45" s="243">
        <f>원자료_분기실측!L6/L41</f>
        <v/>
      </c>
      <c r="M45" s="243">
        <f>원자료_분기실측!M6/M41</f>
        <v/>
      </c>
      <c r="N45" s="243">
        <f>원자료_분기실측!N6/N41</f>
        <v/>
      </c>
      <c r="O45" s="243">
        <f>원자료_분기실측!O6/O41</f>
        <v/>
      </c>
      <c r="P45" s="243">
        <f>원자료_분기실측!P6/P41</f>
        <v/>
      </c>
      <c r="Q45" s="243">
        <f>원자료_분기실측!Q6/Q41</f>
        <v/>
      </c>
      <c r="R45" s="243">
        <f>원자료_분기실측!R6/R41</f>
        <v/>
      </c>
      <c r="S45" s="243">
        <f>원자료_분기실측!S6/S41</f>
        <v/>
      </c>
      <c r="T45" s="243">
        <f>원자료_분기실측!T6/T41</f>
        <v/>
      </c>
      <c r="U45" s="243">
        <f>원자료_분기실측!U6/U41</f>
        <v/>
      </c>
      <c r="V45" s="243">
        <f>원자료_분기실측!V6/V41</f>
        <v/>
      </c>
      <c r="W45" s="243">
        <f>원자료_분기실측!W6/W41</f>
        <v/>
      </c>
      <c r="X45" s="243">
        <f>원자료_분기실측!X6/X41</f>
        <v/>
      </c>
      <c r="Y45" s="243">
        <f>원자료_분기실측!Y6/Y41</f>
        <v/>
      </c>
      <c r="Z45" s="222">
        <f>MAX($C$26,$D26*Z$40+$E26)</f>
        <v/>
      </c>
      <c r="AA45" s="222">
        <f>MAX($C$26,$D26*AA$40+$E26)</f>
        <v/>
      </c>
      <c r="AB45" s="222">
        <f>MAX($C$26,$D26*AB$40+$E26)</f>
        <v/>
      </c>
      <c r="AC45" s="222">
        <f>MAX($C$26,$D26*AC$40+$E26)</f>
        <v/>
      </c>
      <c r="AD45" s="222">
        <f>MAX($C$26,$D26*AD$40+$E26)</f>
        <v/>
      </c>
      <c r="AE45" s="222">
        <f>MAX($C$26,$D26*AE$40+$E26)</f>
        <v/>
      </c>
      <c r="AF45" s="222">
        <f>MAX($C$26,$D26*AF$40+$E26)</f>
        <v/>
      </c>
      <c r="AG45" s="222">
        <f>MAX($C$26,$D26*AG$40+$E26)</f>
        <v/>
      </c>
      <c r="AH45" s="222">
        <f>MAX($C$26,$D26*AH$40+$E26)</f>
        <v/>
      </c>
      <c r="AI45" s="222">
        <f>MAX($C$26,$D26*AI$40+$E26)</f>
        <v/>
      </c>
      <c r="AJ45" s="222">
        <f>MAX($C$26,$D26*AJ$40+$E26)</f>
        <v/>
      </c>
      <c r="AK45" s="222">
        <f>MAX($C$26,$D26*AK$40+$E26)</f>
        <v/>
      </c>
      <c r="AL45" s="222">
        <f>MAX($C$26,$D26*AL$40+$E26)</f>
        <v/>
      </c>
      <c r="AM45" s="222">
        <f>MAX($C$26,$D26*AM$40+$E26)</f>
        <v/>
      </c>
      <c r="AN45" s="222">
        <f>MAX($C$26,$D26*AN$40+$E26)</f>
        <v/>
      </c>
      <c r="AO45" s="222">
        <f>MAX($C$26,$D26*AO$40+$E26)</f>
        <v/>
      </c>
      <c r="AP45" s="222">
        <f>MAX($C$26,$D26*AP$40+$E26)</f>
        <v/>
      </c>
      <c r="AQ45" s="222">
        <f>MAX($C$26,$D26*AQ$40+$E26)</f>
        <v/>
      </c>
      <c r="AR45" s="222">
        <f>MAX($C$26,$D26*AR$40+$E26)</f>
        <v/>
      </c>
      <c r="AS45" s="222">
        <f>MAX($C$26,$D26*AS$40+$E26)</f>
        <v/>
      </c>
      <c r="AT45" s="222">
        <f>MAX($C$26,$D26*AT$40+$E26)</f>
        <v/>
      </c>
    </row>
    <row r="46" hidden="1" outlineLevel="1" s="217">
      <c r="A46" s="335" t="inlineStr">
        <is>
          <t xml:space="preserve">  병원급 환자비율 (분기) [실측HIRA / 미래는 최근4개분기평균]</t>
        </is>
      </c>
      <c r="B46" s="243">
        <f>원자료_분기실측!B7/B41</f>
        <v/>
      </c>
      <c r="C46" s="243">
        <f>원자료_분기실측!C7/C41</f>
        <v/>
      </c>
      <c r="D46" s="243">
        <f>원자료_분기실측!D7/D41</f>
        <v/>
      </c>
      <c r="E46" s="243">
        <f>원자료_분기실측!E7/E41</f>
        <v/>
      </c>
      <c r="F46" s="243">
        <f>원자료_분기실측!F7/F41</f>
        <v/>
      </c>
      <c r="G46" s="243">
        <f>원자료_분기실측!G7/G41</f>
        <v/>
      </c>
      <c r="H46" s="243">
        <f>원자료_분기실측!H7/H41</f>
        <v/>
      </c>
      <c r="I46" s="243">
        <f>원자료_분기실측!I7/I41</f>
        <v/>
      </c>
      <c r="J46" s="243">
        <f>원자료_분기실측!J7/J41</f>
        <v/>
      </c>
      <c r="K46" s="244">
        <f>원자료_분기실측!K7/K41</f>
        <v/>
      </c>
      <c r="L46" s="243">
        <f>원자료_분기실측!L7/L41</f>
        <v/>
      </c>
      <c r="M46" s="243">
        <f>원자료_분기실측!M7/M41</f>
        <v/>
      </c>
      <c r="N46" s="243">
        <f>원자료_분기실측!N7/N41</f>
        <v/>
      </c>
      <c r="O46" s="243">
        <f>원자료_분기실측!O7/O41</f>
        <v/>
      </c>
      <c r="P46" s="243">
        <f>원자료_분기실측!P7/P41</f>
        <v/>
      </c>
      <c r="Q46" s="243">
        <f>원자료_분기실측!Q7/Q41</f>
        <v/>
      </c>
      <c r="R46" s="243">
        <f>원자료_분기실측!R7/R41</f>
        <v/>
      </c>
      <c r="S46" s="243">
        <f>원자료_분기실측!S7/S41</f>
        <v/>
      </c>
      <c r="T46" s="243">
        <f>원자료_분기실측!T7/T41</f>
        <v/>
      </c>
      <c r="U46" s="243">
        <f>원자료_분기실측!U7/U41</f>
        <v/>
      </c>
      <c r="V46" s="243">
        <f>원자료_분기실측!V7/V41</f>
        <v/>
      </c>
      <c r="W46" s="243">
        <f>원자료_분기실측!W7/W41</f>
        <v/>
      </c>
      <c r="X46" s="243">
        <f>원자료_분기실측!X7/X41</f>
        <v/>
      </c>
      <c r="Y46" s="243">
        <f>원자료_분기실측!Y7/Y41</f>
        <v/>
      </c>
      <c r="Z46" s="222">
        <f>MAX($C$27,$D27*Z$40+$E27)</f>
        <v/>
      </c>
      <c r="AA46" s="222">
        <f>MAX($C$27,$D27*AA$40+$E27)</f>
        <v/>
      </c>
      <c r="AB46" s="222">
        <f>MAX($C$27,$D27*AB$40+$E27)</f>
        <v/>
      </c>
      <c r="AC46" s="222">
        <f>MAX($C$27,$D27*AC$40+$E27)</f>
        <v/>
      </c>
      <c r="AD46" s="222">
        <f>MAX($C$27,$D27*AD$40+$E27)</f>
        <v/>
      </c>
      <c r="AE46" s="222">
        <f>MAX($C$27,$D27*AE$40+$E27)</f>
        <v/>
      </c>
      <c r="AF46" s="222">
        <f>MAX($C$27,$D27*AF$40+$E27)</f>
        <v/>
      </c>
      <c r="AG46" s="222">
        <f>MAX($C$27,$D27*AG$40+$E27)</f>
        <v/>
      </c>
      <c r="AH46" s="222">
        <f>MAX($C$27,$D27*AH$40+$E27)</f>
        <v/>
      </c>
      <c r="AI46" s="222">
        <f>MAX($C$27,$D27*AI$40+$E27)</f>
        <v/>
      </c>
      <c r="AJ46" s="222">
        <f>MAX($C$27,$D27*AJ$40+$E27)</f>
        <v/>
      </c>
      <c r="AK46" s="222">
        <f>MAX($C$27,$D27*AK$40+$E27)</f>
        <v/>
      </c>
      <c r="AL46" s="222">
        <f>MAX($C$27,$D27*AL$40+$E27)</f>
        <v/>
      </c>
      <c r="AM46" s="222">
        <f>MAX($C$27,$D27*AM$40+$E27)</f>
        <v/>
      </c>
      <c r="AN46" s="222">
        <f>MAX($C$27,$D27*AN$40+$E27)</f>
        <v/>
      </c>
      <c r="AO46" s="222">
        <f>MAX($C$27,$D27*AO$40+$E27)</f>
        <v/>
      </c>
      <c r="AP46" s="222">
        <f>MAX($C$27,$D27*AP$40+$E27)</f>
        <v/>
      </c>
      <c r="AQ46" s="222">
        <f>MAX($C$27,$D27*AQ$40+$E27)</f>
        <v/>
      </c>
      <c r="AR46" s="222">
        <f>MAX($C$27,$D27*AR$40+$E27)</f>
        <v/>
      </c>
      <c r="AS46" s="222">
        <f>MAX($C$27,$D27*AS$40+$E27)</f>
        <v/>
      </c>
      <c r="AT46" s="222">
        <f>MAX($C$27,$D27*AT$40+$E27)</f>
        <v/>
      </c>
    </row>
    <row r="47" hidden="1" outlineLevel="1" s="217">
      <c r="A47" s="335" t="inlineStr">
        <is>
          <t xml:space="preserve">  의원급 환자비율 (분기) [실측HIRA / 미래는 최근8개분기선형추세]</t>
        </is>
      </c>
      <c r="B47" s="243">
        <f>원자료_분기실측!B8/B41</f>
        <v/>
      </c>
      <c r="C47" s="243">
        <f>원자료_분기실측!C8/C41</f>
        <v/>
      </c>
      <c r="D47" s="243">
        <f>원자료_분기실측!D8/D41</f>
        <v/>
      </c>
      <c r="E47" s="243">
        <f>원자료_분기실측!E8/E41</f>
        <v/>
      </c>
      <c r="F47" s="243">
        <f>원자료_분기실측!F8/F41</f>
        <v/>
      </c>
      <c r="G47" s="243">
        <f>원자료_분기실측!G8/G41</f>
        <v/>
      </c>
      <c r="H47" s="243">
        <f>원자료_분기실측!H8/H41</f>
        <v/>
      </c>
      <c r="I47" s="243">
        <f>원자료_분기실측!I8/I41</f>
        <v/>
      </c>
      <c r="J47" s="243">
        <f>원자료_분기실측!J8/J41</f>
        <v/>
      </c>
      <c r="K47" s="244">
        <f>원자료_분기실측!K8/K41</f>
        <v/>
      </c>
      <c r="L47" s="243">
        <f>원자료_분기실측!L8/L41</f>
        <v/>
      </c>
      <c r="M47" s="243">
        <f>원자료_분기실측!M8/M41</f>
        <v/>
      </c>
      <c r="N47" s="243">
        <f>원자료_분기실측!N8/N41</f>
        <v/>
      </c>
      <c r="O47" s="243">
        <f>원자료_분기실측!O8/O41</f>
        <v/>
      </c>
      <c r="P47" s="243">
        <f>원자료_분기실측!P8/P41</f>
        <v/>
      </c>
      <c r="Q47" s="243">
        <f>원자료_분기실측!Q8/Q41</f>
        <v/>
      </c>
      <c r="R47" s="243">
        <f>원자료_분기실측!R8/R41</f>
        <v/>
      </c>
      <c r="S47" s="243">
        <f>원자료_분기실측!S8/S41</f>
        <v/>
      </c>
      <c r="T47" s="243">
        <f>원자료_분기실측!T8/T41</f>
        <v/>
      </c>
      <c r="U47" s="243">
        <f>원자료_분기실측!U8/U41</f>
        <v/>
      </c>
      <c r="V47" s="243">
        <f>원자료_분기실측!V8/V41</f>
        <v/>
      </c>
      <c r="W47" s="243">
        <f>원자료_분기실측!W8/W41</f>
        <v/>
      </c>
      <c r="X47" s="243">
        <f>원자료_분기실측!X8/X41</f>
        <v/>
      </c>
      <c r="Y47" s="243">
        <f>원자료_분기실측!Y8/Y41</f>
        <v/>
      </c>
      <c r="Z47" s="222">
        <f>$C$28/(1+EXP(-(LN($Y$47/($C$28-$Y$47))+$F$28*(Z40-$Y$40))))</f>
        <v/>
      </c>
      <c r="AA47" s="222">
        <f>$C$28/(1+EXP(-(LN($Y$47/($C$28-$Y$47))+$F$28*(AA40-$Y$40))))</f>
        <v/>
      </c>
      <c r="AB47" s="222">
        <f>$C$28/(1+EXP(-(LN($Y$47/($C$28-$Y$47))+$F$28*(AB40-$Y$40))))</f>
        <v/>
      </c>
      <c r="AC47" s="222">
        <f>$C$28/(1+EXP(-(LN($Y$47/($C$28-$Y$47))+$F$28*(AC40-$Y$40))))</f>
        <v/>
      </c>
      <c r="AD47" s="222">
        <f>$C$28/(1+EXP(-(LN($Y$47/($C$28-$Y$47))+$F$28*(AD40-$Y$40))))</f>
        <v/>
      </c>
      <c r="AE47" s="222">
        <f>$C$28/(1+EXP(-(LN($Y$47/($C$28-$Y$47))+$F$28*(AE40-$Y$40))))</f>
        <v/>
      </c>
      <c r="AF47" s="222">
        <f>$C$28/(1+EXP(-(LN($Y$47/($C$28-$Y$47))+$F$28*(AF40-$Y$40))))</f>
        <v/>
      </c>
      <c r="AG47" s="222">
        <f>$C$28/(1+EXP(-(LN($Y$47/($C$28-$Y$47))+$F$28*(AG40-$Y$40))))</f>
        <v/>
      </c>
      <c r="AH47" s="222">
        <f>$C$28/(1+EXP(-(LN($Y$47/($C$28-$Y$47))+$F$28*(AH40-$Y$40))))</f>
        <v/>
      </c>
      <c r="AI47" s="222">
        <f>$C$28/(1+EXP(-(LN($Y$47/($C$28-$Y$47))+$F$28*(AI40-$Y$40))))</f>
        <v/>
      </c>
      <c r="AJ47" s="222">
        <f>$C$28/(1+EXP(-(LN($Y$47/($C$28-$Y$47))+$F$28*(AJ40-$Y$40))))</f>
        <v/>
      </c>
      <c r="AK47" s="222">
        <f>$C$28/(1+EXP(-(LN($Y$47/($C$28-$Y$47))+$F$28*(AK40-$Y$40))))</f>
        <v/>
      </c>
      <c r="AL47" s="222">
        <f>$C$28/(1+EXP(-(LN($Y$47/($C$28-$Y$47))+$F$28*(AL40-$Y$40))))</f>
        <v/>
      </c>
      <c r="AM47" s="222">
        <f>$C$28/(1+EXP(-(LN($Y$47/($C$28-$Y$47))+$F$28*(AM40-$Y$40))))</f>
        <v/>
      </c>
      <c r="AN47" s="222">
        <f>$C$28/(1+EXP(-(LN($Y$47/($C$28-$Y$47))+$F$28*(AN40-$Y$40))))</f>
        <v/>
      </c>
      <c r="AO47" s="222">
        <f>$C$28/(1+EXP(-(LN($Y$47/($C$28-$Y$47))+$F$28*(AO40-$Y$40))))</f>
        <v/>
      </c>
      <c r="AP47" s="222">
        <f>$C$28/(1+EXP(-(LN($Y$47/($C$28-$Y$47))+$F$28*(AP40-$Y$40))))</f>
        <v/>
      </c>
      <c r="AQ47" s="222">
        <f>$C$28/(1+EXP(-(LN($Y$47/($C$28-$Y$47))+$F$28*(AQ40-$Y$40))))</f>
        <v/>
      </c>
      <c r="AR47" s="222">
        <f>$C$28/(1+EXP(-(LN($Y$47/($C$28-$Y$47))+$F$28*(AR40-$Y$40))))</f>
        <v/>
      </c>
      <c r="AS47" s="222">
        <f>$C$28/(1+EXP(-(LN($Y$47/($C$28-$Y$47))+$F$28*(AS40-$Y$40))))</f>
        <v/>
      </c>
      <c r="AT47" s="222">
        <f>$C$28/(1+EXP(-(LN($Y$47/($C$28-$Y$47))+$F$28*(AT40-$Y$40))))</f>
        <v/>
      </c>
    </row>
    <row r="48" hidden="1" outlineLevel="1" s="217">
      <c r="A48" s="185" t="inlineStr">
        <is>
          <t>[의원급 S-curve 로짓변환]</t>
        </is>
      </c>
      <c r="B48" s="335" t="n"/>
      <c r="S48" s="335">
        <f>LN(S47/($C$28-S47))</f>
        <v/>
      </c>
      <c r="T48" s="335">
        <f>LN(T47/($C$28-T47))</f>
        <v/>
      </c>
      <c r="U48" s="335">
        <f>LN(U47/($C$28-U47))</f>
        <v/>
      </c>
      <c r="V48" s="335">
        <f>LN(V47/($C$28-V47))</f>
        <v/>
      </c>
      <c r="W48" s="335">
        <f>LN(W47/($C$28-W47))</f>
        <v/>
      </c>
      <c r="X48" s="335">
        <f>LN(X47/($C$28-X47))</f>
        <v/>
      </c>
      <c r="Y48" s="335">
        <f>LN(Y47/($C$28-Y47))</f>
        <v/>
      </c>
    </row>
    <row r="49"/>
    <row r="50">
      <c r="A50" s="335" t="inlineStr">
        <is>
          <t>[정규화 후 — 4종별 합 = 100%로 조정 (모델 사용값)]</t>
        </is>
      </c>
      <c r="Z50" s="373" t="n"/>
      <c r="AA50" s="373" t="n"/>
      <c r="AB50" s="373" t="n"/>
      <c r="AC50" s="373" t="n"/>
      <c r="AD50" s="373" t="n"/>
      <c r="AE50" s="373" t="n"/>
      <c r="AF50" s="373" t="n"/>
      <c r="AG50" s="373" t="n"/>
      <c r="AH50" s="373" t="n"/>
      <c r="AI50" s="373" t="n"/>
      <c r="AJ50" s="373" t="n"/>
      <c r="AK50" s="373" t="n"/>
      <c r="AL50" s="373" t="n"/>
      <c r="AM50" s="373" t="n"/>
      <c r="AN50" s="373" t="n"/>
      <c r="AO50" s="373" t="n"/>
      <c r="AP50" s="373" t="n"/>
      <c r="AQ50" s="373" t="n"/>
      <c r="AR50" s="373" t="n"/>
      <c r="AS50" s="373" t="n"/>
      <c r="AT50" s="373" t="n"/>
    </row>
    <row r="51">
      <c r="A51" s="335" t="inlineStr">
        <is>
          <t xml:space="preserve">  상급종합병원 환자비율 (분기) [실측HIRA / 미래는 최근4개분기평균]</t>
        </is>
      </c>
      <c r="B51" s="243" t="n"/>
      <c r="C51" s="243" t="n"/>
      <c r="D51" s="243" t="n"/>
      <c r="E51" s="243" t="n"/>
      <c r="F51" s="243" t="n"/>
      <c r="G51" s="243" t="n"/>
      <c r="H51" s="243" t="n"/>
      <c r="I51" s="243" t="n"/>
      <c r="J51" s="243" t="n"/>
      <c r="K51" s="244" t="n"/>
      <c r="L51" s="243" t="n"/>
      <c r="M51" s="243" t="n"/>
      <c r="N51" s="243" t="n"/>
      <c r="O51" s="243" t="n"/>
      <c r="P51" s="243" t="n"/>
      <c r="Q51" s="243" t="n"/>
      <c r="R51" s="243" t="n"/>
      <c r="S51" s="245" t="n"/>
      <c r="T51" s="243" t="n"/>
      <c r="U51" s="243" t="n"/>
      <c r="V51" s="243" t="n"/>
      <c r="W51" s="243" t="n"/>
      <c r="X51" s="243" t="n"/>
      <c r="Y51" s="243" t="n"/>
      <c r="Z51" s="222">
        <f>Z44/SUM(Z$44:Z$47)</f>
        <v/>
      </c>
      <c r="AA51" s="222">
        <f>AA44/SUM(AA$44:AA$47)</f>
        <v/>
      </c>
      <c r="AB51" s="222">
        <f>AB44/SUM(AB$44:AB$47)</f>
        <v/>
      </c>
      <c r="AC51" s="222">
        <f>AC44/SUM(AC$44:AC$47)</f>
        <v/>
      </c>
      <c r="AD51" s="222">
        <f>AD44/SUM(AD$44:AD$47)</f>
        <v/>
      </c>
      <c r="AE51" s="222">
        <f>AE44/SUM(AE$44:AE$47)</f>
        <v/>
      </c>
      <c r="AF51" s="222">
        <f>AF44/SUM(AF$44:AF$47)</f>
        <v/>
      </c>
      <c r="AG51" s="222">
        <f>AG44/SUM(AG$44:AG$47)</f>
        <v/>
      </c>
      <c r="AH51" s="222">
        <f>AH44/SUM(AH$44:AH$47)</f>
        <v/>
      </c>
      <c r="AI51" s="222">
        <f>AI44/SUM(AI$44:AI$47)</f>
        <v/>
      </c>
      <c r="AJ51" s="222">
        <f>AJ44/SUM(AJ$44:AJ$47)</f>
        <v/>
      </c>
      <c r="AK51" s="222">
        <f>AK44/SUM(AK$44:AK$47)</f>
        <v/>
      </c>
      <c r="AL51" s="222">
        <f>AL44/SUM(AL$44:AL$47)</f>
        <v/>
      </c>
      <c r="AM51" s="222">
        <f>AM44/SUM(AM$44:AM$47)</f>
        <v/>
      </c>
      <c r="AN51" s="222">
        <f>AN44/SUM(AN$44:AN$47)</f>
        <v/>
      </c>
      <c r="AO51" s="222">
        <f>AO44/SUM(AO$44:AO$47)</f>
        <v/>
      </c>
      <c r="AP51" s="222">
        <f>AP44/SUM(AP$44:AP$47)</f>
        <v/>
      </c>
      <c r="AQ51" s="222">
        <f>AQ44/SUM(AQ$44:AQ$47)</f>
        <v/>
      </c>
      <c r="AR51" s="222">
        <f>AR44/SUM(AR$44:AR$47)</f>
        <v/>
      </c>
      <c r="AS51" s="222">
        <f>AS44/SUM(AS$44:AS$47)</f>
        <v/>
      </c>
      <c r="AT51" s="222">
        <f>AT44/SUM(AT$44:AT$47)</f>
        <v/>
      </c>
    </row>
    <row r="52">
      <c r="A52" s="335" t="inlineStr">
        <is>
          <t xml:space="preserve">  종합병원 환자비율 (분기) [실측HIRA / 미래는 최근4개분기평균]</t>
        </is>
      </c>
      <c r="B52" s="243" t="n"/>
      <c r="C52" s="243" t="n"/>
      <c r="D52" s="243" t="n"/>
      <c r="E52" s="243" t="n"/>
      <c r="F52" s="243" t="n"/>
      <c r="G52" s="243" t="n"/>
      <c r="H52" s="243" t="n"/>
      <c r="I52" s="243" t="n"/>
      <c r="J52" s="243" t="n"/>
      <c r="K52" s="244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22">
        <f>Z45/SUM(Z$44:Z$47)</f>
        <v/>
      </c>
      <c r="AA52" s="222">
        <f>AA45/SUM(AA$44:AA$47)</f>
        <v/>
      </c>
      <c r="AB52" s="222">
        <f>AB45/SUM(AB$44:AB$47)</f>
        <v/>
      </c>
      <c r="AC52" s="222">
        <f>AC45/SUM(AC$44:AC$47)</f>
        <v/>
      </c>
      <c r="AD52" s="222">
        <f>AD45/SUM(AD$44:AD$47)</f>
        <v/>
      </c>
      <c r="AE52" s="222">
        <f>AE45/SUM(AE$44:AE$47)</f>
        <v/>
      </c>
      <c r="AF52" s="222">
        <f>AF45/SUM(AF$44:AF$47)</f>
        <v/>
      </c>
      <c r="AG52" s="222">
        <f>AG45/SUM(AG$44:AG$47)</f>
        <v/>
      </c>
      <c r="AH52" s="222">
        <f>AH45/SUM(AH$44:AH$47)</f>
        <v/>
      </c>
      <c r="AI52" s="222">
        <f>AI45/SUM(AI$44:AI$47)</f>
        <v/>
      </c>
      <c r="AJ52" s="222">
        <f>AJ45/SUM(AJ$44:AJ$47)</f>
        <v/>
      </c>
      <c r="AK52" s="222">
        <f>AK45/SUM(AK$44:AK$47)</f>
        <v/>
      </c>
      <c r="AL52" s="222">
        <f>AL45/SUM(AL$44:AL$47)</f>
        <v/>
      </c>
      <c r="AM52" s="222">
        <f>AM45/SUM(AM$44:AM$47)</f>
        <v/>
      </c>
      <c r="AN52" s="222">
        <f>AN45/SUM(AN$44:AN$47)</f>
        <v/>
      </c>
      <c r="AO52" s="222">
        <f>AO45/SUM(AO$44:AO$47)</f>
        <v/>
      </c>
      <c r="AP52" s="222">
        <f>AP45/SUM(AP$44:AP$47)</f>
        <v/>
      </c>
      <c r="AQ52" s="222">
        <f>AQ45/SUM(AQ$44:AQ$47)</f>
        <v/>
      </c>
      <c r="AR52" s="222">
        <f>AR45/SUM(AR$44:AR$47)</f>
        <v/>
      </c>
      <c r="AS52" s="222">
        <f>AS45/SUM(AS$44:AS$47)</f>
        <v/>
      </c>
      <c r="AT52" s="222">
        <f>AT45/SUM(AT$44:AT$47)</f>
        <v/>
      </c>
    </row>
    <row r="53">
      <c r="A53" s="335" t="inlineStr">
        <is>
          <t xml:space="preserve">  병원급 환자비율 (분기) [실측HIRA / 미래는 최근4개분기평균]</t>
        </is>
      </c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  <c r="K53" s="244" t="n"/>
      <c r="L53" s="243" t="n"/>
      <c r="M53" s="243" t="n"/>
      <c r="N53" s="243" t="n"/>
      <c r="O53" s="243" t="n"/>
      <c r="P53" s="243" t="n"/>
      <c r="Q53" s="243" t="n"/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22">
        <f>Z46/SUM(Z$44:Z$47)</f>
        <v/>
      </c>
      <c r="AA53" s="222">
        <f>AA46/SUM(AA$44:AA$47)</f>
        <v/>
      </c>
      <c r="AB53" s="222">
        <f>AB46/SUM(AB$44:AB$47)</f>
        <v/>
      </c>
      <c r="AC53" s="222">
        <f>AC46/SUM(AC$44:AC$47)</f>
        <v/>
      </c>
      <c r="AD53" s="222">
        <f>AD46/SUM(AD$44:AD$47)</f>
        <v/>
      </c>
      <c r="AE53" s="222">
        <f>AE46/SUM(AE$44:AE$47)</f>
        <v/>
      </c>
      <c r="AF53" s="222">
        <f>AF46/SUM(AF$44:AF$47)</f>
        <v/>
      </c>
      <c r="AG53" s="222">
        <f>AG46/SUM(AG$44:AG$47)</f>
        <v/>
      </c>
      <c r="AH53" s="222">
        <f>AH46/SUM(AH$44:AH$47)</f>
        <v/>
      </c>
      <c r="AI53" s="222">
        <f>AI46/SUM(AI$44:AI$47)</f>
        <v/>
      </c>
      <c r="AJ53" s="222">
        <f>AJ46/SUM(AJ$44:AJ$47)</f>
        <v/>
      </c>
      <c r="AK53" s="222">
        <f>AK46/SUM(AK$44:AK$47)</f>
        <v/>
      </c>
      <c r="AL53" s="222">
        <f>AL46/SUM(AL$44:AL$47)</f>
        <v/>
      </c>
      <c r="AM53" s="222">
        <f>AM46/SUM(AM$44:AM$47)</f>
        <v/>
      </c>
      <c r="AN53" s="222">
        <f>AN46/SUM(AN$44:AN$47)</f>
        <v/>
      </c>
      <c r="AO53" s="222">
        <f>AO46/SUM(AO$44:AO$47)</f>
        <v/>
      </c>
      <c r="AP53" s="222">
        <f>AP46/SUM(AP$44:AP$47)</f>
        <v/>
      </c>
      <c r="AQ53" s="222">
        <f>AQ46/SUM(AQ$44:AQ$47)</f>
        <v/>
      </c>
      <c r="AR53" s="222">
        <f>AR46/SUM(AR$44:AR$47)</f>
        <v/>
      </c>
      <c r="AS53" s="222">
        <f>AS46/SUM(AS$44:AS$47)</f>
        <v/>
      </c>
      <c r="AT53" s="222">
        <f>AT46/SUM(AT$44:AT$47)</f>
        <v/>
      </c>
    </row>
    <row r="54">
      <c r="A54" s="335" t="inlineStr">
        <is>
          <t xml:space="preserve">  의원급 환자비율 (분기) [실측HIRA / 미래는 최근8개분기선형추세]</t>
        </is>
      </c>
      <c r="B54" s="243" t="n"/>
      <c r="C54" s="243" t="n"/>
      <c r="D54" s="243" t="n"/>
      <c r="E54" s="243" t="n"/>
      <c r="F54" s="243" t="n"/>
      <c r="G54" s="243" t="n"/>
      <c r="H54" s="243" t="n"/>
      <c r="I54" s="243" t="n"/>
      <c r="J54" s="243" t="n"/>
      <c r="K54" s="244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22">
        <f>Z47/SUM(Z$44:Z$47)</f>
        <v/>
      </c>
      <c r="AA54" s="222">
        <f>AA47/SUM(AA$44:AA$47)</f>
        <v/>
      </c>
      <c r="AB54" s="222">
        <f>AB47/SUM(AB$44:AB$47)</f>
        <v/>
      </c>
      <c r="AC54" s="222">
        <f>AC47/SUM(AC$44:AC$47)</f>
        <v/>
      </c>
      <c r="AD54" s="222">
        <f>AD47/SUM(AD$44:AD$47)</f>
        <v/>
      </c>
      <c r="AE54" s="222">
        <f>AE47/SUM(AE$44:AE$47)</f>
        <v/>
      </c>
      <c r="AF54" s="222">
        <f>AF47/SUM(AF$44:AF$47)</f>
        <v/>
      </c>
      <c r="AG54" s="222">
        <f>AG47/SUM(AG$44:AG$47)</f>
        <v/>
      </c>
      <c r="AH54" s="222">
        <f>AH47/SUM(AH$44:AH$47)</f>
        <v/>
      </c>
      <c r="AI54" s="222">
        <f>AI47/SUM(AI$44:AI$47)</f>
        <v/>
      </c>
      <c r="AJ54" s="222">
        <f>AJ47/SUM(AJ$44:AJ$47)</f>
        <v/>
      </c>
      <c r="AK54" s="222">
        <f>AK47/SUM(AK$44:AK$47)</f>
        <v/>
      </c>
      <c r="AL54" s="222">
        <f>AL47/SUM(AL$44:AL$47)</f>
        <v/>
      </c>
      <c r="AM54" s="222">
        <f>AM47/SUM(AM$44:AM$47)</f>
        <v/>
      </c>
      <c r="AN54" s="222">
        <f>AN47/SUM(AN$44:AN$47)</f>
        <v/>
      </c>
      <c r="AO54" s="222">
        <f>AO47/SUM(AO$44:AO$47)</f>
        <v/>
      </c>
      <c r="AP54" s="222">
        <f>AP47/SUM(AP$44:AP$47)</f>
        <v/>
      </c>
      <c r="AQ54" s="222">
        <f>AQ47/SUM(AQ$44:AQ$47)</f>
        <v/>
      </c>
      <c r="AR54" s="222">
        <f>AR47/SUM(AR$44:AR$47)</f>
        <v/>
      </c>
      <c r="AS54" s="222">
        <f>AS47/SUM(AS$44:AS$47)</f>
        <v/>
      </c>
      <c r="AT54" s="222">
        <f>AT47/SUM(AT$44:AT$47)</f>
        <v/>
      </c>
    </row>
    <row r="55" hidden="1" outlineLevel="1" s="217">
      <c r="A55" s="374" t="inlineStr">
        <is>
          <t xml:space="preserve">  합계 검증 (정규화 후 4종별 합 = 100%)</t>
        </is>
      </c>
      <c r="Z55" s="373">
        <f>SUM(Z51:Z54)</f>
        <v/>
      </c>
      <c r="AA55" s="373">
        <f>SUM(AA51:AA54)</f>
        <v/>
      </c>
      <c r="AB55" s="373">
        <f>SUM(AB51:AB54)</f>
        <v/>
      </c>
      <c r="AC55" s="373">
        <f>SUM(AC51:AC54)</f>
        <v/>
      </c>
      <c r="AD55" s="373">
        <f>SUM(AD51:AD54)</f>
        <v/>
      </c>
      <c r="AE55" s="373">
        <f>SUM(AE51:AE54)</f>
        <v/>
      </c>
      <c r="AF55" s="373">
        <f>SUM(AF51:AF54)</f>
        <v/>
      </c>
      <c r="AG55" s="373">
        <f>SUM(AG51:AG54)</f>
        <v/>
      </c>
      <c r="AH55" s="373">
        <f>SUM(AH51:AH54)</f>
        <v/>
      </c>
      <c r="AI55" s="373">
        <f>SUM(AI51:AI54)</f>
        <v/>
      </c>
      <c r="AJ55" s="373">
        <f>SUM(AJ51:AJ54)</f>
        <v/>
      </c>
      <c r="AK55" s="373">
        <f>SUM(AK51:AK54)</f>
        <v/>
      </c>
      <c r="AL55" s="373">
        <f>SUM(AL51:AL54)</f>
        <v/>
      </c>
      <c r="AM55" s="373">
        <f>SUM(AM51:AM54)</f>
        <v/>
      </c>
      <c r="AN55" s="373">
        <f>SUM(AN51:AN54)</f>
        <v/>
      </c>
      <c r="AO55" s="373">
        <f>SUM(AO51:AO54)</f>
        <v/>
      </c>
      <c r="AP55" s="373">
        <f>SUM(AP51:AP54)</f>
        <v/>
      </c>
      <c r="AQ55" s="373">
        <f>SUM(AQ51:AQ54)</f>
        <v/>
      </c>
      <c r="AR55" s="373">
        <f>SUM(AR51:AR54)</f>
        <v/>
      </c>
      <c r="AS55" s="373">
        <f>SUM(AS51:AS54)</f>
        <v/>
      </c>
      <c r="AT55" s="373">
        <f>SUM(AT51:AT54)</f>
        <v/>
      </c>
    </row>
    <row r="56">
      <c r="A56" s="335" t="inlineStr">
        <is>
          <t xml:space="preserve">  상급종합병원 전신마취환자수 (분기) = 실측 OR (전체환자수×B)</t>
        </is>
      </c>
      <c r="B56" s="208">
        <f>원자료_분기실측!B5</f>
        <v/>
      </c>
      <c r="C56" s="208">
        <f>원자료_분기실측!C5</f>
        <v/>
      </c>
      <c r="D56" s="208">
        <f>원자료_분기실측!D5</f>
        <v/>
      </c>
      <c r="E56" s="208">
        <f>원자료_분기실측!E5</f>
        <v/>
      </c>
      <c r="F56" s="208">
        <f>원자료_분기실측!F5</f>
        <v/>
      </c>
      <c r="G56" s="208">
        <f>원자료_분기실측!G5</f>
        <v/>
      </c>
      <c r="H56" s="208">
        <f>원자료_분기실측!H5</f>
        <v/>
      </c>
      <c r="I56" s="208">
        <f>원자료_분기실측!I5</f>
        <v/>
      </c>
      <c r="J56" s="208">
        <f>원자료_분기실측!J5</f>
        <v/>
      </c>
      <c r="K56" s="208">
        <f>원자료_분기실측!K5</f>
        <v/>
      </c>
      <c r="L56" s="208">
        <f>원자료_분기실측!L5</f>
        <v/>
      </c>
      <c r="M56" s="208">
        <f>원자료_분기실측!M5</f>
        <v/>
      </c>
      <c r="N56" s="208">
        <f>원자료_분기실측!N5</f>
        <v/>
      </c>
      <c r="O56" s="208">
        <f>원자료_분기실측!O5</f>
        <v/>
      </c>
      <c r="P56" s="208">
        <f>원자료_분기실측!P5</f>
        <v/>
      </c>
      <c r="Q56" s="208">
        <f>원자료_분기실측!Q5</f>
        <v/>
      </c>
      <c r="R56" s="208">
        <f>원자료_분기실측!R5</f>
        <v/>
      </c>
      <c r="S56" s="208">
        <f>원자료_분기실측!S5</f>
        <v/>
      </c>
      <c r="T56" s="208">
        <f>원자료_분기실측!T5</f>
        <v/>
      </c>
      <c r="U56" s="208">
        <f>원자료_분기실측!U5</f>
        <v/>
      </c>
      <c r="V56" s="208">
        <f>원자료_분기실측!V5</f>
        <v/>
      </c>
      <c r="W56" s="208">
        <f>원자료_분기실측!W5</f>
        <v/>
      </c>
      <c r="X56" s="208">
        <f>원자료_분기실측!X5</f>
        <v/>
      </c>
      <c r="Y56" s="208">
        <f>원자료_분기실측!Y5</f>
        <v/>
      </c>
      <c r="Z56" s="247">
        <f>Z$41*Z51</f>
        <v/>
      </c>
      <c r="AA56" s="247">
        <f>AA$41*AA51</f>
        <v/>
      </c>
      <c r="AB56" s="247">
        <f>AB$41*AB51</f>
        <v/>
      </c>
      <c r="AC56" s="247">
        <f>AC$41*AC51</f>
        <v/>
      </c>
      <c r="AD56" s="247">
        <f>AD$41*AD51</f>
        <v/>
      </c>
      <c r="AE56" s="247">
        <f>AE$41*AE51</f>
        <v/>
      </c>
      <c r="AF56" s="247">
        <f>AF$41*AF51</f>
        <v/>
      </c>
      <c r="AG56" s="247">
        <f>AG$41*AG51</f>
        <v/>
      </c>
      <c r="AH56" s="247">
        <f>AH$41*AH51</f>
        <v/>
      </c>
      <c r="AI56" s="247">
        <f>AI$41*AI51</f>
        <v/>
      </c>
      <c r="AJ56" s="247">
        <f>AJ$41*AJ51</f>
        <v/>
      </c>
      <c r="AK56" s="247">
        <f>AK$41*AK51</f>
        <v/>
      </c>
      <c r="AL56" s="247">
        <f>AL$41*AL51</f>
        <v/>
      </c>
      <c r="AM56" s="247">
        <f>AM$41*AM51</f>
        <v/>
      </c>
      <c r="AN56" s="247">
        <f>AN$41*AN51</f>
        <v/>
      </c>
      <c r="AO56" s="247">
        <f>AO$41*AO51</f>
        <v/>
      </c>
      <c r="AP56" s="247">
        <f>AP$41*AP51</f>
        <v/>
      </c>
      <c r="AQ56" s="247">
        <f>AQ$41*AQ51</f>
        <v/>
      </c>
      <c r="AR56" s="247">
        <f>AR$41*AR51</f>
        <v/>
      </c>
      <c r="AS56" s="247">
        <f>AS$41*AS51</f>
        <v/>
      </c>
      <c r="AT56" s="247">
        <f>AT$41*AT51</f>
        <v/>
      </c>
    </row>
    <row r="57">
      <c r="A57" s="335" t="inlineStr">
        <is>
          <t xml:space="preserve">  종합병원 전신마취환자수 (분기) = 실측 OR 전체환자수×B</t>
        </is>
      </c>
      <c r="B57" s="208">
        <f>원자료_분기실측!B6</f>
        <v/>
      </c>
      <c r="C57" s="208">
        <f>원자료_분기실측!C6</f>
        <v/>
      </c>
      <c r="D57" s="208">
        <f>원자료_분기실측!D6</f>
        <v/>
      </c>
      <c r="E57" s="208">
        <f>원자료_분기실측!E6</f>
        <v/>
      </c>
      <c r="F57" s="208">
        <f>원자료_분기실측!F6</f>
        <v/>
      </c>
      <c r="G57" s="208">
        <f>원자료_분기실측!G6</f>
        <v/>
      </c>
      <c r="H57" s="208">
        <f>원자료_분기실측!H6</f>
        <v/>
      </c>
      <c r="I57" s="208">
        <f>원자료_분기실측!I6</f>
        <v/>
      </c>
      <c r="J57" s="208">
        <f>원자료_분기실측!J6</f>
        <v/>
      </c>
      <c r="K57" s="208">
        <f>원자료_분기실측!K6</f>
        <v/>
      </c>
      <c r="L57" s="208">
        <f>원자료_분기실측!L6</f>
        <v/>
      </c>
      <c r="M57" s="208">
        <f>원자료_분기실측!M6</f>
        <v/>
      </c>
      <c r="N57" s="208">
        <f>원자료_분기실측!N6</f>
        <v/>
      </c>
      <c r="O57" s="208">
        <f>원자료_분기실측!O6</f>
        <v/>
      </c>
      <c r="P57" s="208">
        <f>원자료_분기실측!P6</f>
        <v/>
      </c>
      <c r="Q57" s="208">
        <f>원자료_분기실측!Q6</f>
        <v/>
      </c>
      <c r="R57" s="208">
        <f>원자료_분기실측!R6</f>
        <v/>
      </c>
      <c r="S57" s="208">
        <f>원자료_분기실측!S6</f>
        <v/>
      </c>
      <c r="T57" s="208">
        <f>원자료_분기실측!T6</f>
        <v/>
      </c>
      <c r="U57" s="208">
        <f>원자료_분기실측!U6</f>
        <v/>
      </c>
      <c r="V57" s="208">
        <f>원자료_분기실측!V6</f>
        <v/>
      </c>
      <c r="W57" s="208">
        <f>원자료_분기실측!W6</f>
        <v/>
      </c>
      <c r="X57" s="208">
        <f>원자료_분기실측!X6</f>
        <v/>
      </c>
      <c r="Y57" s="208">
        <f>원자료_분기실측!Y6</f>
        <v/>
      </c>
      <c r="Z57" s="247">
        <f>Z$41*Z52</f>
        <v/>
      </c>
      <c r="AA57" s="247">
        <f>AA$41*AA52</f>
        <v/>
      </c>
      <c r="AB57" s="247">
        <f>AB$41*AB52</f>
        <v/>
      </c>
      <c r="AC57" s="247">
        <f>AC$41*AC52</f>
        <v/>
      </c>
      <c r="AD57" s="247">
        <f>AD$41*AD52</f>
        <v/>
      </c>
      <c r="AE57" s="247">
        <f>AE$41*AE52</f>
        <v/>
      </c>
      <c r="AF57" s="247">
        <f>AF$41*AF52</f>
        <v/>
      </c>
      <c r="AG57" s="247">
        <f>AG$41*AG52</f>
        <v/>
      </c>
      <c r="AH57" s="247">
        <f>AH$41*AH52</f>
        <v/>
      </c>
      <c r="AI57" s="247">
        <f>AI$41*AI52</f>
        <v/>
      </c>
      <c r="AJ57" s="247">
        <f>AJ$41*AJ52</f>
        <v/>
      </c>
      <c r="AK57" s="247">
        <f>AK$41*AK52</f>
        <v/>
      </c>
      <c r="AL57" s="247">
        <f>AL$41*AL52</f>
        <v/>
      </c>
      <c r="AM57" s="247">
        <f>AM$41*AM52</f>
        <v/>
      </c>
      <c r="AN57" s="247">
        <f>AN$41*AN52</f>
        <v/>
      </c>
      <c r="AO57" s="247">
        <f>AO$41*AO52</f>
        <v/>
      </c>
      <c r="AP57" s="247">
        <f>AP$41*AP52</f>
        <v/>
      </c>
      <c r="AQ57" s="247">
        <f>AQ$41*AQ52</f>
        <v/>
      </c>
      <c r="AR57" s="247">
        <f>AR$41*AR52</f>
        <v/>
      </c>
      <c r="AS57" s="247">
        <f>AS$41*AS52</f>
        <v/>
      </c>
      <c r="AT57" s="247">
        <f>AT$41*AT52</f>
        <v/>
      </c>
    </row>
    <row r="58">
      <c r="A58" s="335" t="inlineStr">
        <is>
          <t xml:space="preserve">  병원급 전신마취환자수 (분기) = 실측 OR 전체환자수×B</t>
        </is>
      </c>
      <c r="B58" s="208">
        <f>원자료_분기실측!B7</f>
        <v/>
      </c>
      <c r="C58" s="208">
        <f>원자료_분기실측!C7</f>
        <v/>
      </c>
      <c r="D58" s="208">
        <f>원자료_분기실측!D7</f>
        <v/>
      </c>
      <c r="E58" s="208">
        <f>원자료_분기실측!E7</f>
        <v/>
      </c>
      <c r="F58" s="208">
        <f>원자료_분기실측!F7</f>
        <v/>
      </c>
      <c r="G58" s="208">
        <f>원자료_분기실측!G7</f>
        <v/>
      </c>
      <c r="H58" s="208">
        <f>원자료_분기실측!H7</f>
        <v/>
      </c>
      <c r="I58" s="208">
        <f>원자료_분기실측!I7</f>
        <v/>
      </c>
      <c r="J58" s="208">
        <f>원자료_분기실측!J7</f>
        <v/>
      </c>
      <c r="K58" s="208">
        <f>원자료_분기실측!K7</f>
        <v/>
      </c>
      <c r="L58" s="208">
        <f>원자료_분기실측!L7</f>
        <v/>
      </c>
      <c r="M58" s="208">
        <f>원자료_분기실측!M7</f>
        <v/>
      </c>
      <c r="N58" s="208">
        <f>원자료_분기실측!N7</f>
        <v/>
      </c>
      <c r="O58" s="208">
        <f>원자료_분기실측!O7</f>
        <v/>
      </c>
      <c r="P58" s="208">
        <f>원자료_분기실측!P7</f>
        <v/>
      </c>
      <c r="Q58" s="208">
        <f>원자료_분기실측!Q7</f>
        <v/>
      </c>
      <c r="R58" s="208">
        <f>원자료_분기실측!R7</f>
        <v/>
      </c>
      <c r="S58" s="208">
        <f>원자료_분기실측!S7</f>
        <v/>
      </c>
      <c r="T58" s="208">
        <f>원자료_분기실측!T7</f>
        <v/>
      </c>
      <c r="U58" s="208">
        <f>원자료_분기실측!U7</f>
        <v/>
      </c>
      <c r="V58" s="208">
        <f>원자료_분기실측!V7</f>
        <v/>
      </c>
      <c r="W58" s="208">
        <f>원자료_분기실측!W7</f>
        <v/>
      </c>
      <c r="X58" s="208">
        <f>원자료_분기실측!X7</f>
        <v/>
      </c>
      <c r="Y58" s="208">
        <f>원자료_분기실측!Y7</f>
        <v/>
      </c>
      <c r="Z58" s="247">
        <f>Z$41*Z53</f>
        <v/>
      </c>
      <c r="AA58" s="247">
        <f>AA$41*AA53</f>
        <v/>
      </c>
      <c r="AB58" s="247">
        <f>AB$41*AB53</f>
        <v/>
      </c>
      <c r="AC58" s="247">
        <f>AC$41*AC53</f>
        <v/>
      </c>
      <c r="AD58" s="247">
        <f>AD$41*AD53</f>
        <v/>
      </c>
      <c r="AE58" s="247">
        <f>AE$41*AE53</f>
        <v/>
      </c>
      <c r="AF58" s="247">
        <f>AF$41*AF53</f>
        <v/>
      </c>
      <c r="AG58" s="247">
        <f>AG$41*AG53</f>
        <v/>
      </c>
      <c r="AH58" s="247">
        <f>AH$41*AH53</f>
        <v/>
      </c>
      <c r="AI58" s="247">
        <f>AI$41*AI53</f>
        <v/>
      </c>
      <c r="AJ58" s="247">
        <f>AJ$41*AJ53</f>
        <v/>
      </c>
      <c r="AK58" s="247">
        <f>AK$41*AK53</f>
        <v/>
      </c>
      <c r="AL58" s="247">
        <f>AL$41*AL53</f>
        <v/>
      </c>
      <c r="AM58" s="247">
        <f>AM$41*AM53</f>
        <v/>
      </c>
      <c r="AN58" s="247">
        <f>AN$41*AN53</f>
        <v/>
      </c>
      <c r="AO58" s="247">
        <f>AO$41*AO53</f>
        <v/>
      </c>
      <c r="AP58" s="247">
        <f>AP$41*AP53</f>
        <v/>
      </c>
      <c r="AQ58" s="247">
        <f>AQ$41*AQ53</f>
        <v/>
      </c>
      <c r="AR58" s="247">
        <f>AR$41*AR53</f>
        <v/>
      </c>
      <c r="AS58" s="247">
        <f>AS$41*AS53</f>
        <v/>
      </c>
      <c r="AT58" s="247">
        <f>AT$41*AT53</f>
        <v/>
      </c>
    </row>
    <row r="59">
      <c r="A59" s="335" t="inlineStr">
        <is>
          <t xml:space="preserve">  의원급 전신마취환자수 (분기) = 실측 OR 전체환자수×B</t>
        </is>
      </c>
      <c r="B59" s="208">
        <f>원자료_분기실측!B8</f>
        <v/>
      </c>
      <c r="C59" s="208">
        <f>원자료_분기실측!C8</f>
        <v/>
      </c>
      <c r="D59" s="208">
        <f>원자료_분기실측!D8</f>
        <v/>
      </c>
      <c r="E59" s="208">
        <f>원자료_분기실측!E8</f>
        <v/>
      </c>
      <c r="F59" s="208">
        <f>원자료_분기실측!F8</f>
        <v/>
      </c>
      <c r="G59" s="208">
        <f>원자료_분기실측!G8</f>
        <v/>
      </c>
      <c r="H59" s="208">
        <f>원자료_분기실측!H8</f>
        <v/>
      </c>
      <c r="I59" s="208">
        <f>원자료_분기실측!I8</f>
        <v/>
      </c>
      <c r="J59" s="208">
        <f>원자료_분기실측!J8</f>
        <v/>
      </c>
      <c r="K59" s="208">
        <f>원자료_분기실측!K8</f>
        <v/>
      </c>
      <c r="L59" s="208">
        <f>원자료_분기실측!L8</f>
        <v/>
      </c>
      <c r="M59" s="208">
        <f>원자료_분기실측!M8</f>
        <v/>
      </c>
      <c r="N59" s="208">
        <f>원자료_분기실측!N8</f>
        <v/>
      </c>
      <c r="O59" s="208">
        <f>원자료_분기실측!O8</f>
        <v/>
      </c>
      <c r="P59" s="208">
        <f>원자료_분기실측!P8</f>
        <v/>
      </c>
      <c r="Q59" s="208">
        <f>원자료_분기실측!Q8</f>
        <v/>
      </c>
      <c r="R59" s="208">
        <f>원자료_분기실측!R8</f>
        <v/>
      </c>
      <c r="S59" s="208">
        <f>원자료_분기실측!S8</f>
        <v/>
      </c>
      <c r="T59" s="208">
        <f>원자료_분기실측!T8</f>
        <v/>
      </c>
      <c r="U59" s="208">
        <f>원자료_분기실측!U8</f>
        <v/>
      </c>
      <c r="V59" s="208">
        <f>원자료_분기실측!V8</f>
        <v/>
      </c>
      <c r="W59" s="208">
        <f>원자료_분기실측!W8</f>
        <v/>
      </c>
      <c r="X59" s="208">
        <f>원자료_분기실측!X8</f>
        <v/>
      </c>
      <c r="Y59" s="208">
        <f>원자료_분기실측!Y8</f>
        <v/>
      </c>
      <c r="Z59" s="247">
        <f>Z$41*Z54</f>
        <v/>
      </c>
      <c r="AA59" s="247">
        <f>AA$41*AA54</f>
        <v/>
      </c>
      <c r="AB59" s="247">
        <f>AB$41*AB54</f>
        <v/>
      </c>
      <c r="AC59" s="247">
        <f>AC$41*AC54</f>
        <v/>
      </c>
      <c r="AD59" s="247">
        <f>AD$41*AD54</f>
        <v/>
      </c>
      <c r="AE59" s="247">
        <f>AE$41*AE54</f>
        <v/>
      </c>
      <c r="AF59" s="247">
        <f>AF$41*AF54</f>
        <v/>
      </c>
      <c r="AG59" s="247">
        <f>AG$41*AG54</f>
        <v/>
      </c>
      <c r="AH59" s="247">
        <f>AH$41*AH54</f>
        <v/>
      </c>
      <c r="AI59" s="247">
        <f>AI$41*AI54</f>
        <v/>
      </c>
      <c r="AJ59" s="247">
        <f>AJ$41*AJ54</f>
        <v/>
      </c>
      <c r="AK59" s="247">
        <f>AK$41*AK54</f>
        <v/>
      </c>
      <c r="AL59" s="247">
        <f>AL$41*AL54</f>
        <v/>
      </c>
      <c r="AM59" s="247">
        <f>AM$41*AM54</f>
        <v/>
      </c>
      <c r="AN59" s="247">
        <f>AN$41*AN54</f>
        <v/>
      </c>
      <c r="AO59" s="247">
        <f>AO$41*AO54</f>
        <v/>
      </c>
      <c r="AP59" s="247">
        <f>AP$41*AP54</f>
        <v/>
      </c>
      <c r="AQ59" s="247">
        <f>AQ$41*AQ54</f>
        <v/>
      </c>
      <c r="AR59" s="247">
        <f>AR$41*AR54</f>
        <v/>
      </c>
      <c r="AS59" s="247">
        <f>AS$41*AS54</f>
        <v/>
      </c>
      <c r="AT59" s="247">
        <f>AT$41*AT54</f>
        <v/>
      </c>
    </row>
    <row r="60"/>
    <row r="61">
      <c r="A61" s="335" t="inlineStr">
        <is>
          <t>[참고] 전체환자수 분기계절성비중 (2023~2025 평균)</t>
        </is>
      </c>
    </row>
    <row r="62">
      <c r="A62" s="335" t="inlineStr">
        <is>
          <t xml:space="preserve">  Q1 비중</t>
        </is>
      </c>
      <c r="B62" s="335">
        <f>AVERAGE(N41/(N41+O41+P41+Q41),R41/(R41+S41+T41+U41),V41/(V41+W41+X41+Y41))</f>
        <v/>
      </c>
    </row>
    <row r="63">
      <c r="A63" s="335" t="inlineStr">
        <is>
          <t xml:space="preserve">  Q2 비중</t>
        </is>
      </c>
      <c r="B63" s="335">
        <f>AVERAGE(O41/(N41+O41+P41+Q41),S41/(R41+S41+T41+U41),W41/(V41+W41+X41+Y41))</f>
        <v/>
      </c>
    </row>
    <row r="64">
      <c r="A64" s="335" t="inlineStr">
        <is>
          <t xml:space="preserve">  Q3 비중</t>
        </is>
      </c>
      <c r="B64" s="335">
        <f>AVERAGE(P41/(N41+O41+P41+Q41),T41/(R41+S41+T41+U41),X41/(V41+W41+X41+Y41))</f>
        <v/>
      </c>
    </row>
    <row r="65">
      <c r="A65" s="335" t="inlineStr">
        <is>
          <t xml:space="preserve">  Q4 비중</t>
        </is>
      </c>
      <c r="B65" s="335">
        <f>AVERAGE(Q41/(N41+O41+P41+Q41),U41/(R41+S41+T41+U41),Y41/(V41+W41+X41+Y41))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BF5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Ramosetron 시장 수량  :   종별 전신마취 환자수 × 종별 환자당 사용량 (IQVIA·NHIS 기반)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Ramosetron 전체 수량 [2020~25 : IQVIA 기준, CY기준 ]</t>
        </is>
      </c>
      <c r="B6" s="369" t="n"/>
      <c r="C6" s="369" t="n"/>
      <c r="D6" s="369" t="n"/>
      <c r="E6" s="369" t="n"/>
      <c r="F6" s="369" t="n"/>
      <c r="G6" s="369" t="n"/>
      <c r="H6" s="369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  <c r="S6" s="369" t="n"/>
      <c r="T6" s="369" t="n"/>
      <c r="U6" s="369" t="n"/>
      <c r="V6" s="369" t="n"/>
    </row>
    <row r="7" ht="16.5" customHeight="1" s="217">
      <c r="A7" s="335" t="inlineStr">
        <is>
          <t>Ramosetron (Vial or Ampoule)</t>
        </is>
      </c>
      <c r="B7" s="228" t="n"/>
      <c r="C7" s="228" t="n"/>
      <c r="D7" s="228" t="n"/>
      <c r="E7" s="228" t="n"/>
      <c r="F7" s="228" t="n"/>
      <c r="G7" s="228" t="n"/>
      <c r="L7" s="231" t="n">
        <v>3086324</v>
      </c>
      <c r="M7" s="231" t="n">
        <v>3529267</v>
      </c>
      <c r="N7" s="231" t="n">
        <v>3623943</v>
      </c>
      <c r="O7" s="231" t="n">
        <v>4166540</v>
      </c>
      <c r="P7" s="231" t="n">
        <v>3554307</v>
      </c>
      <c r="Q7" s="231" t="n">
        <v>3874647</v>
      </c>
      <c r="R7" s="232" t="n"/>
      <c r="S7" s="232" t="n"/>
      <c r="T7" s="232" t="n"/>
      <c r="U7" s="232" t="n"/>
      <c r="V7" s="232" t="n"/>
    </row>
    <row r="8"/>
    <row r="9" ht="16.5" customHeight="1" s="217">
      <c r="A9" s="41" t="inlineStr">
        <is>
          <t>■ B. 흡입마취제 사용량의 종별 비율 (%)          [2020~25 : NHIS N01AB Halogenated hydrocarbons, CY기준]</t>
        </is>
      </c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S9" s="369" t="n"/>
      <c r="T9" s="369" t="n"/>
      <c r="U9" s="369" t="n"/>
      <c r="V9" s="369" t="n"/>
    </row>
    <row r="10" ht="16.5" customHeight="1" s="217">
      <c r="A10" s="64" t="inlineStr">
        <is>
          <t>상급종합병원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8" t="n">
        <v>0.3728353383781309</v>
      </c>
      <c r="M10" s="228" t="n">
        <v>0.4820873352851555</v>
      </c>
      <c r="N10" s="228" t="n">
        <v>0.5275686226041678</v>
      </c>
      <c r="O10" s="228" t="n">
        <v>0.5446965632690832</v>
      </c>
      <c r="P10" s="228" t="n">
        <v>0.4179468998660679</v>
      </c>
      <c r="Q10" s="228" t="n">
        <v>0.431783141644179</v>
      </c>
      <c r="R10" s="233" t="n"/>
      <c r="S10" s="233" t="n"/>
      <c r="T10" s="233" t="n"/>
      <c r="U10" s="233" t="n"/>
      <c r="V10" s="233" t="n"/>
    </row>
    <row r="11" ht="16.5" customHeight="1" s="217">
      <c r="A11" s="64" t="inlineStr">
        <is>
          <t>종합병원</t>
        </is>
      </c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8" t="n">
        <v>0.3223024875906562</v>
      </c>
      <c r="M11" s="228" t="n">
        <v>0.3169283159086241</v>
      </c>
      <c r="N11" s="228" t="n">
        <v>0.3217979194522069</v>
      </c>
      <c r="O11" s="228" t="n">
        <v>0.327746102799098</v>
      </c>
      <c r="P11" s="228" t="n">
        <v>0.4286376486582057</v>
      </c>
      <c r="Q11" s="228" t="n">
        <v>0.4289048361299427</v>
      </c>
      <c r="R11" s="233" t="n"/>
      <c r="S11" s="233" t="n"/>
      <c r="T11" s="233" t="n"/>
      <c r="U11" s="233" t="n"/>
      <c r="V11" s="233" t="n"/>
    </row>
    <row r="12" ht="16.5" customHeight="1" s="217">
      <c r="A12" s="64" t="inlineStr">
        <is>
          <t>병원</t>
        </is>
      </c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8" t="n">
        <v>0.2783183372194487</v>
      </c>
      <c r="M12" s="228" t="n">
        <v>0.1781356118389317</v>
      </c>
      <c r="N12" s="228" t="n">
        <v>0.1331922973825418</v>
      </c>
      <c r="O12" s="228" t="n">
        <v>0.1104666802965577</v>
      </c>
      <c r="P12" s="228" t="n">
        <v>0.1323912282726791</v>
      </c>
      <c r="Q12" s="228" t="n">
        <v>0.1184379468200406</v>
      </c>
      <c r="R12" s="233" t="n"/>
      <c r="S12" s="233" t="n"/>
      <c r="T12" s="233" t="n"/>
      <c r="U12" s="233" t="n"/>
      <c r="V12" s="233" t="n"/>
    </row>
    <row r="13" ht="16.5" customHeight="1" s="217">
      <c r="A13" s="64" t="inlineStr">
        <is>
          <t>의원</t>
        </is>
      </c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8" t="n">
        <v>0.0265438368117642</v>
      </c>
      <c r="M13" s="228" t="n">
        <v>0.02284873696728867</v>
      </c>
      <c r="N13" s="228" t="n">
        <v>0.01744116056108339</v>
      </c>
      <c r="O13" s="228" t="n">
        <v>0.01709065363526104</v>
      </c>
      <c r="P13" s="228" t="n">
        <v>0.02102422320304728</v>
      </c>
      <c r="Q13" s="228" t="n">
        <v>0.02087407540583769</v>
      </c>
      <c r="R13" s="233" t="n"/>
      <c r="S13" s="233" t="n"/>
      <c r="T13" s="233" t="n"/>
      <c r="U13" s="233" t="n"/>
      <c r="V13" s="233" t="n"/>
    </row>
    <row r="14"/>
    <row r="15" ht="16.5" customHeight="1" s="217">
      <c r="A15" s="41" t="inlineStr">
        <is>
          <t>■ C. 종별 환자당 Ramosetron 사용수량 (추정)            [ Ramosetron 수량(A) x 흡입마취제 종별비율(B) ÷ 종별 전신마취 환자수(근거_종별전신마취환자수 C) ]</t>
        </is>
      </c>
      <c r="B15" s="369" t="n"/>
      <c r="C15" s="369" t="n"/>
      <c r="D15" s="369" t="n"/>
      <c r="E15" s="369" t="n"/>
      <c r="F15" s="369" t="n"/>
      <c r="G15" s="369" t="n"/>
      <c r="H15" s="369" t="n"/>
      <c r="I15" s="369" t="n"/>
      <c r="J15" s="369" t="n"/>
      <c r="K15" s="369" t="n"/>
      <c r="L15" s="369" t="n"/>
      <c r="M15" s="369" t="n"/>
      <c r="N15" s="369" t="n"/>
      <c r="O15" s="369" t="n"/>
      <c r="P15" s="369" t="n"/>
      <c r="Q15" s="369" t="n"/>
      <c r="R15" s="369" t="n"/>
      <c r="S15" s="369" t="n"/>
      <c r="T15" s="369" t="n"/>
      <c r="U15" s="369" t="n"/>
      <c r="V15" s="369" t="n"/>
    </row>
    <row r="16" ht="16.5" customHeight="1" s="217">
      <c r="A16" s="64" t="inlineStr">
        <is>
          <t>상급종합병원</t>
        </is>
      </c>
      <c r="B16" s="371" t="n"/>
      <c r="C16" s="371" t="n"/>
      <c r="D16" s="371" t="n"/>
      <c r="E16" s="371" t="n"/>
      <c r="F16" s="371" t="n"/>
      <c r="G16" s="371" t="n"/>
      <c r="H16" s="371" t="n"/>
      <c r="I16" s="371" t="n"/>
      <c r="J16" s="371" t="n"/>
      <c r="K16" s="371" t="n"/>
      <c r="L16" s="375">
        <f>L10*L$7/'근거_종별전신마취환자수'!L17</f>
        <v/>
      </c>
      <c r="M16" s="375">
        <f>M10*M$7/'근거_종별전신마취환자수'!M17</f>
        <v/>
      </c>
      <c r="N16" s="375">
        <f>N10*N$7/'근거_종별전신마취환자수'!N17</f>
        <v/>
      </c>
      <c r="O16" s="375">
        <f>O10*O$7/'근거_종별전신마취환자수'!O17</f>
        <v/>
      </c>
      <c r="P16" s="375">
        <f>P10*P$7/'근거_종별전신마취환자수'!P17</f>
        <v/>
      </c>
      <c r="Q16" s="375">
        <f>Q10*Q$7/'근거_종별전신마취환자수'!Q17</f>
        <v/>
      </c>
      <c r="R16" s="235">
        <f>MIN(5,SLOPE($L$16:$Q$16,$L$5:$Q$5)*R$5+INTERCEPT($L$16:$Q$16,$L$5:$Q$5))</f>
        <v/>
      </c>
      <c r="S16" s="235">
        <f>MIN(5,SLOPE($L$16:$Q$16,$L$5:$Q$5)*S$5+INTERCEPT($L$16:$Q$16,$L$5:$Q$5))</f>
        <v/>
      </c>
      <c r="T16" s="235">
        <f>MIN(5,SLOPE($L$16:$Q$16,$L$5:$Q$5)*T$5+INTERCEPT($L$16:$Q$16,$L$5:$Q$5))</f>
        <v/>
      </c>
      <c r="U16" s="235">
        <f>MIN(5,SLOPE($L$16:$Q$16,$L$5:$Q$5)*U$5+INTERCEPT($L$16:$Q$16,$L$5:$Q$5))</f>
        <v/>
      </c>
      <c r="V16" s="235">
        <f>MIN(5,SLOPE($L$16:$Q$16,$L$5:$Q$5)*V$5+INTERCEPT($L$16:$Q$16,$L$5:$Q$5))</f>
        <v/>
      </c>
    </row>
    <row r="17" ht="16.5" customHeight="1" s="217">
      <c r="A17" s="64" t="inlineStr">
        <is>
          <t>종합병원</t>
        </is>
      </c>
      <c r="B17" s="371" t="n"/>
      <c r="C17" s="371" t="n"/>
      <c r="D17" s="371" t="n"/>
      <c r="E17" s="371" t="n"/>
      <c r="F17" s="371" t="n"/>
      <c r="G17" s="371" t="n"/>
      <c r="H17" s="371" t="n"/>
      <c r="I17" s="371" t="n"/>
      <c r="J17" s="371" t="n"/>
      <c r="K17" s="371" t="n"/>
      <c r="L17" s="375">
        <f>L11*L$7/'근거_종별전신마취환자수'!L18</f>
        <v/>
      </c>
      <c r="M17" s="375">
        <f>M11*M$7/'근거_종별전신마취환자수'!M18</f>
        <v/>
      </c>
      <c r="N17" s="375">
        <f>N11*N$7/'근거_종별전신마취환자수'!N18</f>
        <v/>
      </c>
      <c r="O17" s="375">
        <f>O11*O$7/'근거_종별전신마취환자수'!O18</f>
        <v/>
      </c>
      <c r="P17" s="375">
        <f>P11*P$7/'근거_종별전신마취환자수'!P18</f>
        <v/>
      </c>
      <c r="Q17" s="375">
        <f>Q11*Q$7/'근거_종별전신마취환자수'!Q18</f>
        <v/>
      </c>
      <c r="R17" s="235">
        <f>MIN(4,SLOPE($L$17:$Q$17,$L$5:$Q$5)*R$5+INTERCEPT($L$17:$Q$17,$L$5:$Q$5))</f>
        <v/>
      </c>
      <c r="S17" s="235">
        <f>MIN(4,SLOPE($L$17:$Q$17,$L$5:$Q$5)*S$5+INTERCEPT($L$17:$Q$17,$L$5:$Q$5))</f>
        <v/>
      </c>
      <c r="T17" s="235">
        <f>MIN(4,SLOPE($L$17:$Q$17,$L$5:$Q$5)*T$5+INTERCEPT($L$17:$Q$17,$L$5:$Q$5))</f>
        <v/>
      </c>
      <c r="U17" s="235">
        <f>MIN(4,SLOPE($L$17:$Q$17,$L$5:$Q$5)*U$5+INTERCEPT($L$17:$Q$17,$L$5:$Q$5))</f>
        <v/>
      </c>
      <c r="V17" s="235">
        <f>MIN(4,SLOPE($L$17:$Q$17,$L$5:$Q$5)*V$5+INTERCEPT($L$17:$Q$17,$L$5:$Q$5))</f>
        <v/>
      </c>
    </row>
    <row r="18" ht="16.5" customHeight="1" s="217">
      <c r="A18" s="64" t="inlineStr">
        <is>
          <t>병원</t>
        </is>
      </c>
      <c r="B18" s="371" t="n"/>
      <c r="C18" s="371" t="n"/>
      <c r="D18" s="371" t="n"/>
      <c r="E18" s="371" t="n"/>
      <c r="F18" s="371" t="n"/>
      <c r="G18" s="371" t="n"/>
      <c r="H18" s="371" t="n"/>
      <c r="I18" s="371" t="n"/>
      <c r="J18" s="371" t="n"/>
      <c r="K18" s="371" t="n"/>
      <c r="L18" s="375">
        <f>L12*L$7/'근거_종별전신마취환자수'!L19</f>
        <v/>
      </c>
      <c r="M18" s="375">
        <f>M12*M$7/'근거_종별전신마취환자수'!M19</f>
        <v/>
      </c>
      <c r="N18" s="375">
        <f>N12*N$7/'근거_종별전신마취환자수'!N19</f>
        <v/>
      </c>
      <c r="O18" s="375">
        <f>O12*O$7/'근거_종별전신마취환자수'!O19</f>
        <v/>
      </c>
      <c r="P18" s="375">
        <f>P12*P$7/'근거_종별전신마취환자수'!P19</f>
        <v/>
      </c>
      <c r="Q18" s="375">
        <f>Q12*Q$7/'근거_종별전신마취환자수'!Q19</f>
        <v/>
      </c>
      <c r="R18" s="236">
        <f>Q18</f>
        <v/>
      </c>
      <c r="S18" s="236">
        <f>R18</f>
        <v/>
      </c>
      <c r="T18" s="236">
        <f>S18</f>
        <v/>
      </c>
      <c r="U18" s="236">
        <f>T18</f>
        <v/>
      </c>
      <c r="V18" s="236">
        <f>U18</f>
        <v/>
      </c>
    </row>
    <row r="19" ht="16.5" customHeight="1" s="217">
      <c r="A19" s="64" t="inlineStr">
        <is>
          <t>의원</t>
        </is>
      </c>
      <c r="B19" s="371" t="n"/>
      <c r="C19" s="371" t="n"/>
      <c r="D19" s="371" t="n"/>
      <c r="E19" s="371" t="n"/>
      <c r="F19" s="371" t="n"/>
      <c r="G19" s="371" t="n"/>
      <c r="H19" s="371" t="n"/>
      <c r="I19" s="371" t="n"/>
      <c r="J19" s="371" t="n"/>
      <c r="K19" s="371" t="n"/>
      <c r="L19" s="375">
        <f>L13*L$7/'근거_종별전신마취환자수'!L20</f>
        <v/>
      </c>
      <c r="M19" s="375">
        <f>M13*M$7/'근거_종별전신마취환자수'!M20</f>
        <v/>
      </c>
      <c r="N19" s="375">
        <f>N13*N$7/'근거_종별전신마취환자수'!N20</f>
        <v/>
      </c>
      <c r="O19" s="375">
        <f>O13*O$7/'근거_종별전신마취환자수'!O20</f>
        <v/>
      </c>
      <c r="P19" s="375">
        <f>P13*P$7/'근거_종별전신마취환자수'!P20</f>
        <v/>
      </c>
      <c r="Q19" s="375">
        <f>Q13*Q$7/'근거_종별전신마취환자수'!Q20</f>
        <v/>
      </c>
      <c r="R19" s="236">
        <f>Q19</f>
        <v/>
      </c>
      <c r="S19" s="236">
        <f>R19</f>
        <v/>
      </c>
      <c r="T19" s="236">
        <f>S19</f>
        <v/>
      </c>
      <c r="U19" s="236">
        <f>T19</f>
        <v/>
      </c>
      <c r="V19" s="236">
        <f>U19</f>
        <v/>
      </c>
    </row>
    <row r="20" ht="16.5" customHeight="1" s="217">
      <c r="A20" s="64" t="n"/>
      <c r="B20" s="371" t="n"/>
      <c r="C20" s="371" t="n"/>
      <c r="D20" s="371" t="n"/>
      <c r="E20" s="371" t="n"/>
      <c r="F20" s="371" t="n"/>
      <c r="G20" s="371" t="n"/>
      <c r="H20" s="371" t="n"/>
      <c r="I20" s="371" t="n"/>
      <c r="J20" s="371" t="n"/>
      <c r="K20" s="371" t="n"/>
      <c r="L20" s="375" t="n"/>
      <c r="M20" s="375" t="n"/>
      <c r="N20" s="375" t="n"/>
      <c r="O20" s="375" t="n"/>
      <c r="P20" s="375" t="n"/>
      <c r="Q20" s="375" t="n"/>
      <c r="R20" s="375" t="n"/>
      <c r="S20" s="375" t="n"/>
      <c r="T20" s="375" t="n"/>
      <c r="U20" s="375" t="n"/>
      <c r="V20" s="375" t="n"/>
    </row>
    <row r="21"/>
    <row r="22" ht="16.5" customHeight="1" s="217">
      <c r="A22" s="41" t="inlineStr">
        <is>
          <t>■ D. 종별 Ramosetron 수량 (추정) FY기준            [ 종별 전신마취환자수 (근거_종별전신마취환자수) x 종별 환자당 Ramosetron 사용수량 (C) ]</t>
        </is>
      </c>
      <c r="B22" s="369" t="n"/>
      <c r="C22" s="369" t="n"/>
      <c r="D22" s="369" t="n"/>
      <c r="E22" s="369" t="n"/>
      <c r="F22" s="369" t="n"/>
      <c r="G22" s="369" t="n"/>
      <c r="H22" s="369" t="n"/>
      <c r="I22" s="369" t="n"/>
      <c r="J22" s="369" t="n"/>
      <c r="K22" s="369" t="n"/>
      <c r="L22" s="369" t="n"/>
      <c r="M22" s="369" t="n"/>
      <c r="N22" s="369" t="n"/>
      <c r="O22" s="369" t="n"/>
      <c r="P22" s="369" t="n"/>
      <c r="Q22" s="369" t="n"/>
      <c r="R22" s="369" t="n"/>
      <c r="S22" s="369" t="n"/>
      <c r="T22" s="369" t="n"/>
      <c r="U22" s="369" t="n"/>
      <c r="V22" s="369" t="n"/>
    </row>
    <row r="23" ht="16.5" customHeight="1" s="217">
      <c r="A23" s="64" t="inlineStr">
        <is>
          <t>상급종합병원</t>
        </is>
      </c>
      <c r="B23" s="371" t="n"/>
      <c r="C23" s="371" t="n"/>
      <c r="D23" s="371" t="n"/>
      <c r="E23" s="371" t="n"/>
      <c r="F23" s="371" t="n"/>
      <c r="G23" s="371" t="n"/>
      <c r="H23" s="371" t="n"/>
      <c r="I23" s="371" t="n"/>
      <c r="J23" s="371" t="n"/>
      <c r="K23" s="371" t="n"/>
      <c r="L23" s="371">
        <f>SUM(C41:F41)</f>
        <v/>
      </c>
      <c r="M23" s="371">
        <f>SUM(G41:J41)</f>
        <v/>
      </c>
      <c r="N23" s="371">
        <f>SUM(K41:N41)</f>
        <v/>
      </c>
      <c r="O23" s="371">
        <f>SUM(O41:R41)</f>
        <v/>
      </c>
      <c r="P23" s="371">
        <f>SUM(S41:V41)</f>
        <v/>
      </c>
      <c r="Q23" s="371">
        <f>SUM(W41:Z41)</f>
        <v/>
      </c>
      <c r="R23" s="230">
        <f>SUM(AA41:AD41)</f>
        <v/>
      </c>
      <c r="S23" s="230">
        <f>SUM(AE41:AH41)</f>
        <v/>
      </c>
      <c r="T23" s="230">
        <f>SUM(AI41:AL41)</f>
        <v/>
      </c>
      <c r="U23" s="230">
        <f>SUM(AM41:AP41)</f>
        <v/>
      </c>
      <c r="V23" s="230">
        <f>SUM(AQ41:AT41)</f>
        <v/>
      </c>
    </row>
    <row r="24" ht="16.5" customHeight="1" s="217">
      <c r="A24" s="64" t="inlineStr">
        <is>
          <t>종합병원</t>
        </is>
      </c>
      <c r="B24" s="371" t="n"/>
      <c r="C24" s="371" t="n"/>
      <c r="D24" s="371" t="n"/>
      <c r="E24" s="371" t="n"/>
      <c r="F24" s="371" t="n"/>
      <c r="G24" s="371" t="n"/>
      <c r="H24" s="371" t="n"/>
      <c r="I24" s="371" t="n"/>
      <c r="J24" s="371" t="n"/>
      <c r="K24" s="371" t="n"/>
      <c r="L24" s="371">
        <f>SUM(C42:F42)</f>
        <v/>
      </c>
      <c r="M24" s="371">
        <f>SUM(G42:J42)</f>
        <v/>
      </c>
      <c r="N24" s="371">
        <f>SUM(K42:N42)</f>
        <v/>
      </c>
      <c r="O24" s="371">
        <f>SUM(O42:R42)</f>
        <v/>
      </c>
      <c r="P24" s="371">
        <f>SUM(S42:V42)</f>
        <v/>
      </c>
      <c r="Q24" s="371">
        <f>SUM(W42:Z42)</f>
        <v/>
      </c>
      <c r="R24" s="230">
        <f>SUM(AA42:AD42)</f>
        <v/>
      </c>
      <c r="S24" s="230">
        <f>SUM(AE42:AH42)</f>
        <v/>
      </c>
      <c r="T24" s="230">
        <f>SUM(AI42:AL42)</f>
        <v/>
      </c>
      <c r="U24" s="230">
        <f>SUM(AM42:AP42)</f>
        <v/>
      </c>
      <c r="V24" s="230">
        <f>SUM(AQ42:AT42)</f>
        <v/>
      </c>
    </row>
    <row r="25" ht="16.5" customHeight="1" s="217">
      <c r="A25" s="64" t="inlineStr">
        <is>
          <t>병원</t>
        </is>
      </c>
      <c r="B25" s="371" t="n"/>
      <c r="C25" s="371" t="n"/>
      <c r="D25" s="371" t="n"/>
      <c r="E25" s="371" t="n"/>
      <c r="F25" s="371" t="n"/>
      <c r="G25" s="371" t="n"/>
      <c r="H25" s="371" t="n"/>
      <c r="I25" s="371" t="n"/>
      <c r="J25" s="371" t="n"/>
      <c r="K25" s="371" t="n"/>
      <c r="L25" s="371">
        <f>SUM(C43:F43)</f>
        <v/>
      </c>
      <c r="M25" s="371">
        <f>SUM(G43:J43)</f>
        <v/>
      </c>
      <c r="N25" s="371">
        <f>SUM(K43:N43)</f>
        <v/>
      </c>
      <c r="O25" s="371">
        <f>SUM(O43:R43)</f>
        <v/>
      </c>
      <c r="P25" s="371">
        <f>SUM(S43:V43)</f>
        <v/>
      </c>
      <c r="Q25" s="371">
        <f>SUM(W43:Z43)</f>
        <v/>
      </c>
      <c r="R25" s="230">
        <f>SUM(AA43:AD43)</f>
        <v/>
      </c>
      <c r="S25" s="230">
        <f>SUM(AE43:AH43)</f>
        <v/>
      </c>
      <c r="T25" s="230">
        <f>SUM(AI43:AL43)</f>
        <v/>
      </c>
      <c r="U25" s="230">
        <f>SUM(AM43:AP43)</f>
        <v/>
      </c>
      <c r="V25" s="230">
        <f>SUM(AQ43:AT43)</f>
        <v/>
      </c>
    </row>
    <row r="26" ht="16.5" customHeight="1" s="217">
      <c r="A26" s="64" t="inlineStr">
        <is>
          <t>의원</t>
        </is>
      </c>
      <c r="B26" s="371" t="n"/>
      <c r="C26" s="371" t="n"/>
      <c r="D26" s="371" t="n"/>
      <c r="E26" s="371" t="n"/>
      <c r="F26" s="371" t="n"/>
      <c r="G26" s="371" t="n"/>
      <c r="H26" s="371" t="n"/>
      <c r="I26" s="371" t="n"/>
      <c r="J26" s="371" t="n"/>
      <c r="K26" s="371" t="n"/>
      <c r="L26" s="371">
        <f>SUM(C44:F44)</f>
        <v/>
      </c>
      <c r="M26" s="371">
        <f>SUM(G44:J44)</f>
        <v/>
      </c>
      <c r="N26" s="371">
        <f>SUM(K44:N44)</f>
        <v/>
      </c>
      <c r="O26" s="371">
        <f>SUM(O44:R44)</f>
        <v/>
      </c>
      <c r="P26" s="371">
        <f>SUM(S44:V44)</f>
        <v/>
      </c>
      <c r="Q26" s="371">
        <f>SUM(W44:Z44)</f>
        <v/>
      </c>
      <c r="R26" s="230">
        <f>SUM(AA44:AD44)</f>
        <v/>
      </c>
      <c r="S26" s="230">
        <f>SUM(AE44:AH44)</f>
        <v/>
      </c>
      <c r="T26" s="230">
        <f>SUM(AI44:AL44)</f>
        <v/>
      </c>
      <c r="U26" s="230">
        <f>SUM(AM44:AP44)</f>
        <v/>
      </c>
      <c r="V26" s="230">
        <f>SUM(AQ44:AT44)</f>
        <v/>
      </c>
    </row>
    <row r="27" ht="16.5" customHeight="1" s="217">
      <c r="A27" s="67" t="inlineStr">
        <is>
          <t xml:space="preserve">  ▶ Ramosetron 시장 수량 (IQVIA 기준)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>
        <f>SUM(L23:L26)</f>
        <v/>
      </c>
      <c r="M27" s="51">
        <f>SUM(M23:M26)</f>
        <v/>
      </c>
      <c r="N27" s="51">
        <f>SUM(N23:N26)</f>
        <v/>
      </c>
      <c r="O27" s="51">
        <f>SUM(O23:O26)</f>
        <v/>
      </c>
      <c r="P27" s="51">
        <f>SUM(P23:P26)</f>
        <v/>
      </c>
      <c r="Q27" s="51">
        <f>SUM(Q23:Q26)</f>
        <v/>
      </c>
      <c r="R27" s="51">
        <f>SUM(R23:R26)</f>
        <v/>
      </c>
      <c r="S27" s="51">
        <f>SUM(S23:S26)</f>
        <v/>
      </c>
      <c r="T27" s="51">
        <f>SUM(T23:T26)</f>
        <v/>
      </c>
      <c r="U27" s="51">
        <f>SUM(U23:U26)</f>
        <v/>
      </c>
      <c r="V27" s="51">
        <f>SUM(V23:V26)</f>
        <v/>
      </c>
    </row>
    <row r="28" ht="16.5" customHeight="1" s="217">
      <c r="A28" s="68" t="n"/>
      <c r="B28" s="376" t="n"/>
      <c r="C28" s="376" t="n"/>
      <c r="D28" s="376" t="n"/>
      <c r="E28" s="376" t="n"/>
      <c r="F28" s="376" t="n"/>
      <c r="L28" s="107" t="n"/>
      <c r="M28" s="237">
        <f>M27/L27-1</f>
        <v/>
      </c>
      <c r="N28" s="237">
        <f>N27/M27-1</f>
        <v/>
      </c>
      <c r="O28" s="237">
        <f>O27/N27-1</f>
        <v/>
      </c>
      <c r="P28" s="237">
        <f>P27/O27-1</f>
        <v/>
      </c>
      <c r="Q28" s="237">
        <f>Q27/P27-1</f>
        <v/>
      </c>
      <c r="R28" s="237">
        <f>R27/Q27-1</f>
        <v/>
      </c>
      <c r="S28" s="237">
        <f>S27/R27-1</f>
        <v/>
      </c>
      <c r="T28" s="237">
        <f>T27/S27-1</f>
        <v/>
      </c>
      <c r="U28" s="237">
        <f>U27/T27-1</f>
        <v/>
      </c>
      <c r="V28" s="237">
        <f>V27/U27-1</f>
        <v/>
      </c>
    </row>
    <row r="29"/>
    <row r="30" ht="16.5" customHeight="1" s="217">
      <c r="A30" s="55" t="inlineStr">
        <is>
          <t>※ 출처 :  IQVIA (FY2020~2025) BI 자체 추정,  NHIS 흡입마취제(N01AB) 종별 사용량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■■■ [분기 확장 블록] CY역년분기 실측+롤링예측 → FY 재구성 ■■■</t>
        </is>
      </c>
    </row>
    <row r="37">
      <c r="A37" s="335" t="inlineStr">
        <is>
          <t>※ C(환자당사용량)는 표본부족으로 연간모델 유지, 4개분기에 flat 적용. 종별 분기 환자수는 근거_종별전신마취환자수 56~59행 참조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/>
    <row r="41">
      <c r="A41" s="335" t="inlineStr">
        <is>
          <t xml:space="preserve">  상급종합병원 Ramosetron 시장수량 (분기) = 종별환자수×F(연,flat)</t>
        </is>
      </c>
      <c r="B41" s="377">
        <f>B$51*원자료_분기실측!B23</f>
        <v/>
      </c>
      <c r="C41" s="377">
        <f>C$51*원자료_분기실측!C23</f>
        <v/>
      </c>
      <c r="D41" s="377">
        <f>D$51*원자료_분기실측!D23</f>
        <v/>
      </c>
      <c r="E41" s="377">
        <f>E$51*원자료_분기실측!E23</f>
        <v/>
      </c>
      <c r="F41" s="377">
        <f>F$51*원자료_분기실측!F23</f>
        <v/>
      </c>
      <c r="G41" s="377">
        <f>G$51*원자료_분기실측!G23</f>
        <v/>
      </c>
      <c r="H41" s="377">
        <f>H$51*원자료_분기실측!H23</f>
        <v/>
      </c>
      <c r="I41" s="377">
        <f>I$51*원자료_분기실측!I23</f>
        <v/>
      </c>
      <c r="J41" s="377">
        <f>J$51*원자료_분기실측!J23</f>
        <v/>
      </c>
      <c r="K41" s="377">
        <f>K$51*원자료_분기실측!K23</f>
        <v/>
      </c>
      <c r="L41" s="377">
        <f>L$51*원자료_분기실측!L23</f>
        <v/>
      </c>
      <c r="M41" s="377">
        <f>M$51*원자료_분기실측!M23</f>
        <v/>
      </c>
      <c r="N41" s="377">
        <f>N$51*원자료_분기실측!N23</f>
        <v/>
      </c>
      <c r="O41" s="377">
        <f>O$51*원자료_분기실측!O23</f>
        <v/>
      </c>
      <c r="P41" s="377">
        <f>P$51*원자료_분기실측!P23</f>
        <v/>
      </c>
      <c r="Q41" s="377">
        <f>Q$51*원자료_분기실측!Q23</f>
        <v/>
      </c>
      <c r="R41" s="377">
        <f>R$51*원자료_분기실측!R23</f>
        <v/>
      </c>
      <c r="S41" s="377">
        <f>S$51*원자료_분기실측!S23</f>
        <v/>
      </c>
      <c r="T41" s="377">
        <f>T$51*원자료_분기실측!T23</f>
        <v/>
      </c>
      <c r="U41" s="377">
        <f>U$51*원자료_분기실측!U23</f>
        <v/>
      </c>
      <c r="V41" s="377">
        <f>V$51*원자료_분기실측!V23</f>
        <v/>
      </c>
      <c r="W41" s="377">
        <f>W$51*원자료_분기실측!W23</f>
        <v/>
      </c>
      <c r="X41" s="377">
        <f>X$51*원자료_분기실측!X23</f>
        <v/>
      </c>
      <c r="Y41" s="377">
        <f>Y$51*원자료_분기실측!Y23</f>
        <v/>
      </c>
      <c r="Z41" s="377">
        <f>Z$51*원자료_분기실측!Z23</f>
        <v/>
      </c>
      <c r="AA41" s="247">
        <f>AA$51*원자료_분기실측!AA23</f>
        <v/>
      </c>
      <c r="AB41" s="247">
        <f>'근거_종별전신마취환자수'!AB56*R16</f>
        <v/>
      </c>
      <c r="AC41" s="247">
        <f>'근거_종별전신마취환자수'!AC56*R16</f>
        <v/>
      </c>
      <c r="AD41" s="247">
        <f>'근거_종별전신마취환자수'!AD56*S16</f>
        <v/>
      </c>
      <c r="AE41" s="247">
        <f>'근거_종별전신마취환자수'!AE56*S16</f>
        <v/>
      </c>
      <c r="AF41" s="247">
        <f>'근거_종별전신마취환자수'!AF56*S16</f>
        <v/>
      </c>
      <c r="AG41" s="247">
        <f>'근거_종별전신마취환자수'!AG56*S16</f>
        <v/>
      </c>
      <c r="AH41" s="247">
        <f>'근거_종별전신마취환자수'!AH56*T16</f>
        <v/>
      </c>
      <c r="AI41" s="247">
        <f>'근거_종별전신마취환자수'!AI56*T16</f>
        <v/>
      </c>
      <c r="AJ41" s="247">
        <f>'근거_종별전신마취환자수'!AJ56*T16</f>
        <v/>
      </c>
      <c r="AK41" s="247">
        <f>'근거_종별전신마취환자수'!AK56*T16</f>
        <v/>
      </c>
      <c r="AL41" s="247">
        <f>'근거_종별전신마취환자수'!AL56*U16</f>
        <v/>
      </c>
      <c r="AM41" s="247">
        <f>'근거_종별전신마취환자수'!AM56*U16</f>
        <v/>
      </c>
      <c r="AN41" s="247">
        <f>'근거_종별전신마취환자수'!AN56*U16</f>
        <v/>
      </c>
      <c r="AO41" s="247">
        <f>'근거_종별전신마취환자수'!AO56*U16</f>
        <v/>
      </c>
      <c r="AP41" s="247">
        <f>'근거_종별전신마취환자수'!AP56*V16</f>
        <v/>
      </c>
      <c r="AQ41" s="247">
        <f>'근거_종별전신마취환자수'!AQ56*V16</f>
        <v/>
      </c>
      <c r="AR41" s="247">
        <f>'근거_종별전신마취환자수'!AR56*V16</f>
        <v/>
      </c>
      <c r="AS41" s="247">
        <f>'근거_종별전신마취환자수'!AS56*V16</f>
        <v/>
      </c>
      <c r="AT41" s="247">
        <f>'근거_종별전신마취환자수'!AT56*V16</f>
        <v/>
      </c>
    </row>
    <row r="42">
      <c r="A42" s="335" t="inlineStr">
        <is>
          <t xml:space="preserve">  종합병원 Ramosetron 시장수량 (분기) = 종별환자수×F(연,flat)</t>
        </is>
      </c>
      <c r="B42" s="377">
        <f>B$51*원자료_분기실측!B24</f>
        <v/>
      </c>
      <c r="C42" s="377">
        <f>C$51*원자료_분기실측!C24</f>
        <v/>
      </c>
      <c r="D42" s="377">
        <f>D$51*원자료_분기실측!D24</f>
        <v/>
      </c>
      <c r="E42" s="377">
        <f>E$51*원자료_분기실측!E24</f>
        <v/>
      </c>
      <c r="F42" s="377">
        <f>F$51*원자료_분기실측!F24</f>
        <v/>
      </c>
      <c r="G42" s="377">
        <f>G$51*원자료_분기실측!G24</f>
        <v/>
      </c>
      <c r="H42" s="377">
        <f>H$51*원자료_분기실측!H24</f>
        <v/>
      </c>
      <c r="I42" s="377">
        <f>I$51*원자료_분기실측!I24</f>
        <v/>
      </c>
      <c r="J42" s="377">
        <f>J$51*원자료_분기실측!J24</f>
        <v/>
      </c>
      <c r="K42" s="377">
        <f>K$51*원자료_분기실측!K24</f>
        <v/>
      </c>
      <c r="L42" s="377">
        <f>L$51*원자료_분기실측!L24</f>
        <v/>
      </c>
      <c r="M42" s="377">
        <f>M$51*원자료_분기실측!M24</f>
        <v/>
      </c>
      <c r="N42" s="377">
        <f>N$51*원자료_분기실측!N24</f>
        <v/>
      </c>
      <c r="O42" s="377">
        <f>O$51*원자료_분기실측!O24</f>
        <v/>
      </c>
      <c r="P42" s="377">
        <f>P$51*원자료_분기실측!P24</f>
        <v/>
      </c>
      <c r="Q42" s="377">
        <f>Q$51*원자료_분기실측!Q24</f>
        <v/>
      </c>
      <c r="R42" s="377">
        <f>R$51*원자료_분기실측!R24</f>
        <v/>
      </c>
      <c r="S42" s="377">
        <f>S$51*원자료_분기실측!S24</f>
        <v/>
      </c>
      <c r="T42" s="377">
        <f>T$51*원자료_분기실측!T24</f>
        <v/>
      </c>
      <c r="U42" s="377">
        <f>U$51*원자료_분기실측!U24</f>
        <v/>
      </c>
      <c r="V42" s="377">
        <f>V$51*원자료_분기실측!V24</f>
        <v/>
      </c>
      <c r="W42" s="377">
        <f>W$51*원자료_분기실측!W24</f>
        <v/>
      </c>
      <c r="X42" s="377">
        <f>X$51*원자료_분기실측!X24</f>
        <v/>
      </c>
      <c r="Y42" s="377">
        <f>Y$51*원자료_분기실측!Y24</f>
        <v/>
      </c>
      <c r="Z42" s="377">
        <f>Z$51*원자료_분기실측!Z24</f>
        <v/>
      </c>
      <c r="AA42" s="247">
        <f>AA$51*원자료_분기실측!AA24</f>
        <v/>
      </c>
      <c r="AB42" s="247">
        <f>'근거_종별전신마취환자수'!AB57*R17</f>
        <v/>
      </c>
      <c r="AC42" s="247">
        <f>'근거_종별전신마취환자수'!AC57*R17</f>
        <v/>
      </c>
      <c r="AD42" s="247">
        <f>'근거_종별전신마취환자수'!AD57*S17</f>
        <v/>
      </c>
      <c r="AE42" s="247">
        <f>'근거_종별전신마취환자수'!AE57*S17</f>
        <v/>
      </c>
      <c r="AF42" s="247">
        <f>'근거_종별전신마취환자수'!AF57*S17</f>
        <v/>
      </c>
      <c r="AG42" s="247">
        <f>'근거_종별전신마취환자수'!AG57*S17</f>
        <v/>
      </c>
      <c r="AH42" s="247">
        <f>'근거_종별전신마취환자수'!AH57*T17</f>
        <v/>
      </c>
      <c r="AI42" s="247">
        <f>'근거_종별전신마취환자수'!AI57*T17</f>
        <v/>
      </c>
      <c r="AJ42" s="247">
        <f>'근거_종별전신마취환자수'!AJ57*T17</f>
        <v/>
      </c>
      <c r="AK42" s="247">
        <f>'근거_종별전신마취환자수'!AK57*T17</f>
        <v/>
      </c>
      <c r="AL42" s="247">
        <f>'근거_종별전신마취환자수'!AL57*U17</f>
        <v/>
      </c>
      <c r="AM42" s="247">
        <f>'근거_종별전신마취환자수'!AM57*U17</f>
        <v/>
      </c>
      <c r="AN42" s="247">
        <f>'근거_종별전신마취환자수'!AN57*U17</f>
        <v/>
      </c>
      <c r="AO42" s="247">
        <f>'근거_종별전신마취환자수'!AO57*U17</f>
        <v/>
      </c>
      <c r="AP42" s="247">
        <f>'근거_종별전신마취환자수'!AP57*V17</f>
        <v/>
      </c>
      <c r="AQ42" s="247">
        <f>'근거_종별전신마취환자수'!AQ57*V17</f>
        <v/>
      </c>
      <c r="AR42" s="247">
        <f>'근거_종별전신마취환자수'!AR57*V17</f>
        <v/>
      </c>
      <c r="AS42" s="247">
        <f>'근거_종별전신마취환자수'!AS57*V17</f>
        <v/>
      </c>
      <c r="AT42" s="247">
        <f>'근거_종별전신마취환자수'!AT57*V17</f>
        <v/>
      </c>
    </row>
    <row r="43">
      <c r="A43" s="335" t="inlineStr">
        <is>
          <t xml:space="preserve">  병원급 Ramosetron 시장수량 (분기) = 종별환자수×F(연,flat)</t>
        </is>
      </c>
      <c r="B43" s="377">
        <f>B$51*원자료_분기실측!B25</f>
        <v/>
      </c>
      <c r="C43" s="377">
        <f>C$51*원자료_분기실측!C25</f>
        <v/>
      </c>
      <c r="D43" s="377">
        <f>D$51*원자료_분기실측!D25</f>
        <v/>
      </c>
      <c r="E43" s="377">
        <f>E$51*원자료_분기실측!E25</f>
        <v/>
      </c>
      <c r="F43" s="377">
        <f>F$51*원자료_분기실측!F25</f>
        <v/>
      </c>
      <c r="G43" s="377">
        <f>G$51*원자료_분기실측!G25</f>
        <v/>
      </c>
      <c r="H43" s="377">
        <f>H$51*원자료_분기실측!H25</f>
        <v/>
      </c>
      <c r="I43" s="377">
        <f>I$51*원자료_분기실측!I25</f>
        <v/>
      </c>
      <c r="J43" s="377">
        <f>J$51*원자료_분기실측!J25</f>
        <v/>
      </c>
      <c r="K43" s="377">
        <f>K$51*원자료_분기실측!K25</f>
        <v/>
      </c>
      <c r="L43" s="377">
        <f>L$51*원자료_분기실측!L25</f>
        <v/>
      </c>
      <c r="M43" s="377">
        <f>M$51*원자료_분기실측!M25</f>
        <v/>
      </c>
      <c r="N43" s="377">
        <f>N$51*원자료_분기실측!N25</f>
        <v/>
      </c>
      <c r="O43" s="377">
        <f>O$51*원자료_분기실측!O25</f>
        <v/>
      </c>
      <c r="P43" s="377">
        <f>P$51*원자료_분기실측!P25</f>
        <v/>
      </c>
      <c r="Q43" s="377">
        <f>Q$51*원자료_분기실측!Q25</f>
        <v/>
      </c>
      <c r="R43" s="377">
        <f>R$51*원자료_분기실측!R25</f>
        <v/>
      </c>
      <c r="S43" s="377">
        <f>S$51*원자료_분기실측!S25</f>
        <v/>
      </c>
      <c r="T43" s="377">
        <f>T$51*원자료_분기실측!T25</f>
        <v/>
      </c>
      <c r="U43" s="377">
        <f>U$51*원자료_분기실측!U25</f>
        <v/>
      </c>
      <c r="V43" s="377">
        <f>V$51*원자료_분기실측!V25</f>
        <v/>
      </c>
      <c r="W43" s="377">
        <f>W$51*원자료_분기실측!W25</f>
        <v/>
      </c>
      <c r="X43" s="377">
        <f>X$51*원자료_분기실측!X25</f>
        <v/>
      </c>
      <c r="Y43" s="377">
        <f>Y$51*원자료_분기실측!Y25</f>
        <v/>
      </c>
      <c r="Z43" s="377">
        <f>Z$51*원자료_분기실측!Z25</f>
        <v/>
      </c>
      <c r="AA43" s="247">
        <f>AA$51*원자료_분기실측!AA25</f>
        <v/>
      </c>
      <c r="AB43" s="247">
        <f>'근거_종별전신마취환자수'!AB58*R18</f>
        <v/>
      </c>
      <c r="AC43" s="247">
        <f>'근거_종별전신마취환자수'!AC58*R18</f>
        <v/>
      </c>
      <c r="AD43" s="247">
        <f>'근거_종별전신마취환자수'!AD58*S18</f>
        <v/>
      </c>
      <c r="AE43" s="247">
        <f>'근거_종별전신마취환자수'!AE58*S18</f>
        <v/>
      </c>
      <c r="AF43" s="247">
        <f>'근거_종별전신마취환자수'!AF58*S18</f>
        <v/>
      </c>
      <c r="AG43" s="247">
        <f>'근거_종별전신마취환자수'!AG58*S18</f>
        <v/>
      </c>
      <c r="AH43" s="247">
        <f>'근거_종별전신마취환자수'!AH58*T18</f>
        <v/>
      </c>
      <c r="AI43" s="247">
        <f>'근거_종별전신마취환자수'!AI58*T18</f>
        <v/>
      </c>
      <c r="AJ43" s="247">
        <f>'근거_종별전신마취환자수'!AJ58*T18</f>
        <v/>
      </c>
      <c r="AK43" s="247">
        <f>'근거_종별전신마취환자수'!AK58*T18</f>
        <v/>
      </c>
      <c r="AL43" s="247">
        <f>'근거_종별전신마취환자수'!AL58*U18</f>
        <v/>
      </c>
      <c r="AM43" s="247">
        <f>'근거_종별전신마취환자수'!AM58*U18</f>
        <v/>
      </c>
      <c r="AN43" s="247">
        <f>'근거_종별전신마취환자수'!AN58*U18</f>
        <v/>
      </c>
      <c r="AO43" s="247">
        <f>'근거_종별전신마취환자수'!AO58*U18</f>
        <v/>
      </c>
      <c r="AP43" s="247">
        <f>'근거_종별전신마취환자수'!AP58*V18</f>
        <v/>
      </c>
      <c r="AQ43" s="247">
        <f>'근거_종별전신마취환자수'!AQ58*V18</f>
        <v/>
      </c>
      <c r="AR43" s="247">
        <f>'근거_종별전신마취환자수'!AR58*V18</f>
        <v/>
      </c>
      <c r="AS43" s="247">
        <f>'근거_종별전신마취환자수'!AS58*V18</f>
        <v/>
      </c>
      <c r="AT43" s="247">
        <f>'근거_종별전신마취환자수'!AT58*V18</f>
        <v/>
      </c>
    </row>
    <row r="44">
      <c r="A44" s="335" t="inlineStr">
        <is>
          <t xml:space="preserve">  의원급 Ramosetron 시장수량 (분기) = 종별환자수×F(연,flat)</t>
        </is>
      </c>
      <c r="B44" s="377">
        <f>B$51*원자료_분기실측!B26</f>
        <v/>
      </c>
      <c r="C44" s="377">
        <f>C$51*원자료_분기실측!C26</f>
        <v/>
      </c>
      <c r="D44" s="377">
        <f>D$51*원자료_분기실측!D26</f>
        <v/>
      </c>
      <c r="E44" s="377">
        <f>E$51*원자료_분기실측!E26</f>
        <v/>
      </c>
      <c r="F44" s="377">
        <f>F$51*원자료_분기실측!F26</f>
        <v/>
      </c>
      <c r="G44" s="377">
        <f>G$51*원자료_분기실측!G26</f>
        <v/>
      </c>
      <c r="H44" s="377">
        <f>H$51*원자료_분기실측!H26</f>
        <v/>
      </c>
      <c r="I44" s="377">
        <f>I$51*원자료_분기실측!I26</f>
        <v/>
      </c>
      <c r="J44" s="377">
        <f>J$51*원자료_분기실측!J26</f>
        <v/>
      </c>
      <c r="K44" s="377">
        <f>K$51*원자료_분기실측!K26</f>
        <v/>
      </c>
      <c r="L44" s="377">
        <f>L$51*원자료_분기실측!L26</f>
        <v/>
      </c>
      <c r="M44" s="377">
        <f>M$51*원자료_분기실측!M26</f>
        <v/>
      </c>
      <c r="N44" s="377">
        <f>N$51*원자료_분기실측!N26</f>
        <v/>
      </c>
      <c r="O44" s="377">
        <f>O$51*원자료_분기실측!O26</f>
        <v/>
      </c>
      <c r="P44" s="377">
        <f>P$51*원자료_분기실측!P26</f>
        <v/>
      </c>
      <c r="Q44" s="377">
        <f>Q$51*원자료_분기실측!Q26</f>
        <v/>
      </c>
      <c r="R44" s="377">
        <f>R$51*원자료_분기실측!R26</f>
        <v/>
      </c>
      <c r="S44" s="377">
        <f>S$51*원자료_분기실측!S26</f>
        <v/>
      </c>
      <c r="T44" s="377">
        <f>T$51*원자료_분기실측!T26</f>
        <v/>
      </c>
      <c r="U44" s="377">
        <f>U$51*원자료_분기실측!U26</f>
        <v/>
      </c>
      <c r="V44" s="377">
        <f>V$51*원자료_분기실측!V26</f>
        <v/>
      </c>
      <c r="W44" s="377">
        <f>W$51*원자료_분기실측!W26</f>
        <v/>
      </c>
      <c r="X44" s="377">
        <f>X$51*원자료_분기실측!X26</f>
        <v/>
      </c>
      <c r="Y44" s="377">
        <f>Y$51*원자료_분기실측!Y26</f>
        <v/>
      </c>
      <c r="Z44" s="377">
        <f>Z$51*원자료_분기실측!Z26</f>
        <v/>
      </c>
      <c r="AA44" s="247">
        <f>AA$51*원자료_분기실측!AA26</f>
        <v/>
      </c>
      <c r="AB44" s="247">
        <f>'근거_종별전신마취환자수'!AB59*R19</f>
        <v/>
      </c>
      <c r="AC44" s="247">
        <f>'근거_종별전신마취환자수'!AC59*R19</f>
        <v/>
      </c>
      <c r="AD44" s="247">
        <f>'근거_종별전신마취환자수'!AD59*S19</f>
        <v/>
      </c>
      <c r="AE44" s="247">
        <f>'근거_종별전신마취환자수'!AE59*S19</f>
        <v/>
      </c>
      <c r="AF44" s="247">
        <f>'근거_종별전신마취환자수'!AF59*S19</f>
        <v/>
      </c>
      <c r="AG44" s="247">
        <f>'근거_종별전신마취환자수'!AG59*S19</f>
        <v/>
      </c>
      <c r="AH44" s="247">
        <f>'근거_종별전신마취환자수'!AH59*T19</f>
        <v/>
      </c>
      <c r="AI44" s="247">
        <f>'근거_종별전신마취환자수'!AI59*T19</f>
        <v/>
      </c>
      <c r="AJ44" s="247">
        <f>'근거_종별전신마취환자수'!AJ59*T19</f>
        <v/>
      </c>
      <c r="AK44" s="247">
        <f>'근거_종별전신마취환자수'!AK59*T19</f>
        <v/>
      </c>
      <c r="AL44" s="247">
        <f>'근거_종별전신마취환자수'!AL59*U19</f>
        <v/>
      </c>
      <c r="AM44" s="247">
        <f>'근거_종별전신마취환자수'!AM59*U19</f>
        <v/>
      </c>
      <c r="AN44" s="247">
        <f>'근거_종별전신마취환자수'!AN59*U19</f>
        <v/>
      </c>
      <c r="AO44" s="247">
        <f>'근거_종별전신마취환자수'!AO59*U19</f>
        <v/>
      </c>
      <c r="AP44" s="247">
        <f>'근거_종별전신마취환자수'!AP59*V19</f>
        <v/>
      </c>
      <c r="AQ44" s="247">
        <f>'근거_종별전신마취환자수'!AQ59*V19</f>
        <v/>
      </c>
      <c r="AR44" s="247">
        <f>'근거_종별전신마취환자수'!AR59*V19</f>
        <v/>
      </c>
      <c r="AS44" s="247">
        <f>'근거_종별전신마취환자수'!AS59*V19</f>
        <v/>
      </c>
      <c r="AT44" s="247">
        <f>'근거_종별전신마취환자수'!AT59*V19</f>
        <v/>
      </c>
    </row>
    <row r="45"/>
    <row r="46">
      <c r="A46" s="335" t="inlineStr">
        <is>
          <t>상급종합병원 환자당 Ramo 사용수량</t>
        </is>
      </c>
      <c r="B46" s="249">
        <f>IFERROR(B41/'근거_종별전신마취환자수'!B56,"")</f>
        <v/>
      </c>
      <c r="C46" s="249">
        <f>IFERROR(C41/'근거_종별전신마취환자수'!C56,"")</f>
        <v/>
      </c>
      <c r="D46" s="249">
        <f>IFERROR(D41/'근거_종별전신마취환자수'!D56,"")</f>
        <v/>
      </c>
      <c r="E46" s="249">
        <f>IFERROR(E41/'근거_종별전신마취환자수'!E56,"")</f>
        <v/>
      </c>
      <c r="F46" s="249">
        <f>IFERROR(F41/'근거_종별전신마취환자수'!F56,"")</f>
        <v/>
      </c>
      <c r="G46" s="249">
        <f>IFERROR(G41/'근거_종별전신마취환자수'!G56,"")</f>
        <v/>
      </c>
      <c r="H46" s="249">
        <f>IFERROR(H41/'근거_종별전신마취환자수'!H56,"")</f>
        <v/>
      </c>
      <c r="I46" s="249">
        <f>IFERROR(I41/'근거_종별전신마취환자수'!I56,"")</f>
        <v/>
      </c>
      <c r="J46" s="249">
        <f>IFERROR(J41/'근거_종별전신마취환자수'!J56,"")</f>
        <v/>
      </c>
      <c r="K46" s="249">
        <f>IFERROR(K41/'근거_종별전신마취환자수'!K56,"")</f>
        <v/>
      </c>
      <c r="L46" s="249">
        <f>IFERROR(L41/'근거_종별전신마취환자수'!L56,"")</f>
        <v/>
      </c>
      <c r="M46" s="249">
        <f>IFERROR(M41/'근거_종별전신마취환자수'!M56,"")</f>
        <v/>
      </c>
      <c r="N46" s="249">
        <f>IFERROR(N41/'근거_종별전신마취환자수'!N56,"")</f>
        <v/>
      </c>
      <c r="O46" s="249">
        <f>IFERROR(O41/'근거_종별전신마취환자수'!O56,"")</f>
        <v/>
      </c>
      <c r="P46" s="249">
        <f>IFERROR(P41/'근거_종별전신마취환자수'!P56,"")</f>
        <v/>
      </c>
      <c r="Q46" s="249">
        <f>IFERROR(Q41/'근거_종별전신마취환자수'!Q56,"")</f>
        <v/>
      </c>
      <c r="R46" s="249">
        <f>IFERROR(R41/'근거_종별전신마취환자수'!R56,"")</f>
        <v/>
      </c>
      <c r="S46" s="249">
        <f>IFERROR(S41/'근거_종별전신마취환자수'!S56,"")</f>
        <v/>
      </c>
      <c r="T46" s="249">
        <f>IFERROR(T41/'근거_종별전신마취환자수'!T56,"")</f>
        <v/>
      </c>
      <c r="U46" s="249">
        <f>IFERROR(U41/'근거_종별전신마취환자수'!U56,"")</f>
        <v/>
      </c>
      <c r="V46" s="249">
        <f>IFERROR(V41/'근거_종별전신마취환자수'!V56,"")</f>
        <v/>
      </c>
      <c r="W46" s="249">
        <f>IFERROR(W41/'근거_종별전신마취환자수'!W56,"")</f>
        <v/>
      </c>
      <c r="X46" s="249">
        <f>IFERROR(X41/'근거_종별전신마취환자수'!X56,"")</f>
        <v/>
      </c>
      <c r="Y46" s="249">
        <f>IFERROR(Y41/'근거_종별전신마취환자수'!Y56,"")</f>
        <v/>
      </c>
      <c r="Z46" s="249">
        <f>IFERROR(Z41/'근거_종별전신마취환자수'!Z56,"")</f>
        <v/>
      </c>
      <c r="AA46" s="250">
        <f>IFERROR(AA41/'근거_종별전신마취환자수'!AA56,"")</f>
        <v/>
      </c>
      <c r="AB46" s="247">
        <f>IFERROR(AB41/'근거_종별전신마취환자수'!AB56,"")</f>
        <v/>
      </c>
      <c r="AC46" s="247">
        <f>IFERROR(AC41/'근거_종별전신마취환자수'!AC56,"")</f>
        <v/>
      </c>
      <c r="AD46" s="247">
        <f>IFERROR(AD41/'근거_종별전신마취환자수'!AD56,"")</f>
        <v/>
      </c>
      <c r="AE46" s="247">
        <f>IFERROR(AE41/'근거_종별전신마취환자수'!AE56,"")</f>
        <v/>
      </c>
      <c r="AF46" s="247">
        <f>IFERROR(AF41/'근거_종별전신마취환자수'!AF56,"")</f>
        <v/>
      </c>
      <c r="AG46" s="247">
        <f>IFERROR(AG41/'근거_종별전신마취환자수'!AG56,"")</f>
        <v/>
      </c>
      <c r="AH46" s="247">
        <f>IFERROR(AH41/'근거_종별전신마취환자수'!AH56,"")</f>
        <v/>
      </c>
      <c r="AI46" s="247">
        <f>IFERROR(AI41/'근거_종별전신마취환자수'!AI56,"")</f>
        <v/>
      </c>
      <c r="AJ46" s="247">
        <f>IFERROR(AJ41/'근거_종별전신마취환자수'!AJ56,"")</f>
        <v/>
      </c>
      <c r="AK46" s="247">
        <f>IFERROR(AK41/'근거_종별전신마취환자수'!AK56,"")</f>
        <v/>
      </c>
      <c r="AL46" s="247">
        <f>IFERROR(AL41/'근거_종별전신마취환자수'!AL56,"")</f>
        <v/>
      </c>
      <c r="AM46" s="247">
        <f>IFERROR(AM41/'근거_종별전신마취환자수'!AM56,"")</f>
        <v/>
      </c>
      <c r="AN46" s="247">
        <f>IFERROR(AN41/'근거_종별전신마취환자수'!AN56,"")</f>
        <v/>
      </c>
      <c r="AO46" s="247">
        <f>IFERROR(AO41/'근거_종별전신마취환자수'!AO56,"")</f>
        <v/>
      </c>
      <c r="AP46" s="247">
        <f>IFERROR(AP41/'근거_종별전신마취환자수'!AP56,"")</f>
        <v/>
      </c>
      <c r="AQ46" s="247">
        <f>IFERROR(AQ41/'근거_종별전신마취환자수'!AQ56,"")</f>
        <v/>
      </c>
      <c r="AR46" s="247">
        <f>IFERROR(AR41/'근거_종별전신마취환자수'!AR56,"")</f>
        <v/>
      </c>
      <c r="AS46" s="247">
        <f>IFERROR(AS41/'근거_종별전신마취환자수'!AS56,"")</f>
        <v/>
      </c>
      <c r="AT46" s="247">
        <f>IFERROR(AT41/'근거_종별전신마취환자수'!AT56,"")</f>
        <v/>
      </c>
    </row>
    <row r="47">
      <c r="A47" s="335" t="inlineStr">
        <is>
          <t>종합병원 환자당 Ramo 사용수량</t>
        </is>
      </c>
      <c r="B47" s="249">
        <f>IFERROR(B42/'근거_종별전신마취환자수'!B57,"")</f>
        <v/>
      </c>
      <c r="C47" s="249">
        <f>IFERROR(C42/'근거_종별전신마취환자수'!C57,"")</f>
        <v/>
      </c>
      <c r="D47" s="249">
        <f>IFERROR(D42/'근거_종별전신마취환자수'!D57,"")</f>
        <v/>
      </c>
      <c r="E47" s="249">
        <f>IFERROR(E42/'근거_종별전신마취환자수'!E57,"")</f>
        <v/>
      </c>
      <c r="F47" s="249">
        <f>IFERROR(F42/'근거_종별전신마취환자수'!F57,"")</f>
        <v/>
      </c>
      <c r="G47" s="249">
        <f>IFERROR(G42/'근거_종별전신마취환자수'!G57,"")</f>
        <v/>
      </c>
      <c r="H47" s="249">
        <f>IFERROR(H42/'근거_종별전신마취환자수'!H57,"")</f>
        <v/>
      </c>
      <c r="I47" s="249">
        <f>IFERROR(I42/'근거_종별전신마취환자수'!I57,"")</f>
        <v/>
      </c>
      <c r="J47" s="249">
        <f>IFERROR(J42/'근거_종별전신마취환자수'!J57,"")</f>
        <v/>
      </c>
      <c r="K47" s="249">
        <f>IFERROR(K42/'근거_종별전신마취환자수'!K57,"")</f>
        <v/>
      </c>
      <c r="L47" s="249">
        <f>IFERROR(L42/'근거_종별전신마취환자수'!L57,"")</f>
        <v/>
      </c>
      <c r="M47" s="249">
        <f>IFERROR(M42/'근거_종별전신마취환자수'!M57,"")</f>
        <v/>
      </c>
      <c r="N47" s="249">
        <f>IFERROR(N42/'근거_종별전신마취환자수'!N57,"")</f>
        <v/>
      </c>
      <c r="O47" s="249">
        <f>IFERROR(O42/'근거_종별전신마취환자수'!O57,"")</f>
        <v/>
      </c>
      <c r="P47" s="249">
        <f>IFERROR(P42/'근거_종별전신마취환자수'!P57,"")</f>
        <v/>
      </c>
      <c r="Q47" s="249">
        <f>IFERROR(Q42/'근거_종별전신마취환자수'!Q57,"")</f>
        <v/>
      </c>
      <c r="R47" s="249">
        <f>IFERROR(R42/'근거_종별전신마취환자수'!R57,"")</f>
        <v/>
      </c>
      <c r="S47" s="249">
        <f>IFERROR(S42/'근거_종별전신마취환자수'!S57,"")</f>
        <v/>
      </c>
      <c r="T47" s="249">
        <f>IFERROR(T42/'근거_종별전신마취환자수'!T57,"")</f>
        <v/>
      </c>
      <c r="U47" s="249">
        <f>IFERROR(U42/'근거_종별전신마취환자수'!U57,"")</f>
        <v/>
      </c>
      <c r="V47" s="249">
        <f>IFERROR(V42/'근거_종별전신마취환자수'!V57,"")</f>
        <v/>
      </c>
      <c r="W47" s="249">
        <f>IFERROR(W42/'근거_종별전신마취환자수'!W57,"")</f>
        <v/>
      </c>
      <c r="X47" s="249">
        <f>IFERROR(X42/'근거_종별전신마취환자수'!X57,"")</f>
        <v/>
      </c>
      <c r="Y47" s="249">
        <f>IFERROR(Y42/'근거_종별전신마취환자수'!Y57,"")</f>
        <v/>
      </c>
      <c r="Z47" s="249">
        <f>IFERROR(Z42/'근거_종별전신마취환자수'!Z57,"")</f>
        <v/>
      </c>
      <c r="AA47" s="250">
        <f>IFERROR(AA42/'근거_종별전신마취환자수'!AA57,"")</f>
        <v/>
      </c>
      <c r="AB47" s="247">
        <f>IFERROR(AB42/'근거_종별전신마취환자수'!AB57,"")</f>
        <v/>
      </c>
      <c r="AC47" s="247">
        <f>IFERROR(AC42/'근거_종별전신마취환자수'!AC57,"")</f>
        <v/>
      </c>
      <c r="AD47" s="247">
        <f>IFERROR(AD42/'근거_종별전신마취환자수'!AD57,"")</f>
        <v/>
      </c>
      <c r="AE47" s="247">
        <f>IFERROR(AE42/'근거_종별전신마취환자수'!AE57,"")</f>
        <v/>
      </c>
      <c r="AF47" s="247">
        <f>IFERROR(AF42/'근거_종별전신마취환자수'!AF57,"")</f>
        <v/>
      </c>
      <c r="AG47" s="247">
        <f>IFERROR(AG42/'근거_종별전신마취환자수'!AG57,"")</f>
        <v/>
      </c>
      <c r="AH47" s="247">
        <f>IFERROR(AH42/'근거_종별전신마취환자수'!AH57,"")</f>
        <v/>
      </c>
      <c r="AI47" s="247">
        <f>IFERROR(AI42/'근거_종별전신마취환자수'!AI57,"")</f>
        <v/>
      </c>
      <c r="AJ47" s="247">
        <f>IFERROR(AJ42/'근거_종별전신마취환자수'!AJ57,"")</f>
        <v/>
      </c>
      <c r="AK47" s="247">
        <f>IFERROR(AK42/'근거_종별전신마취환자수'!AK57,"")</f>
        <v/>
      </c>
      <c r="AL47" s="247">
        <f>IFERROR(AL42/'근거_종별전신마취환자수'!AL57,"")</f>
        <v/>
      </c>
      <c r="AM47" s="247">
        <f>IFERROR(AM42/'근거_종별전신마취환자수'!AM57,"")</f>
        <v/>
      </c>
      <c r="AN47" s="247">
        <f>IFERROR(AN42/'근거_종별전신마취환자수'!AN57,"")</f>
        <v/>
      </c>
      <c r="AO47" s="247">
        <f>IFERROR(AO42/'근거_종별전신마취환자수'!AO57,"")</f>
        <v/>
      </c>
      <c r="AP47" s="247">
        <f>IFERROR(AP42/'근거_종별전신마취환자수'!AP57,"")</f>
        <v/>
      </c>
      <c r="AQ47" s="247">
        <f>IFERROR(AQ42/'근거_종별전신마취환자수'!AQ57,"")</f>
        <v/>
      </c>
      <c r="AR47" s="247">
        <f>IFERROR(AR42/'근거_종별전신마취환자수'!AR57,"")</f>
        <v/>
      </c>
      <c r="AS47" s="247">
        <f>IFERROR(AS42/'근거_종별전신마취환자수'!AS57,"")</f>
        <v/>
      </c>
      <c r="AT47" s="247">
        <f>IFERROR(AT42/'근거_종별전신마취환자수'!AT57,"")</f>
        <v/>
      </c>
    </row>
    <row r="48">
      <c r="A48" s="335" t="inlineStr">
        <is>
          <t>병원 환자당 Ramo 사용수량</t>
        </is>
      </c>
      <c r="B48" s="249">
        <f>IFERROR(B43/'근거_종별전신마취환자수'!B58,"")</f>
        <v/>
      </c>
      <c r="C48" s="249">
        <f>IFERROR(C43/'근거_종별전신마취환자수'!C58,"")</f>
        <v/>
      </c>
      <c r="D48" s="249">
        <f>IFERROR(D43/'근거_종별전신마취환자수'!D58,"")</f>
        <v/>
      </c>
      <c r="E48" s="249">
        <f>IFERROR(E43/'근거_종별전신마취환자수'!E58,"")</f>
        <v/>
      </c>
      <c r="F48" s="249">
        <f>IFERROR(F43/'근거_종별전신마취환자수'!F58,"")</f>
        <v/>
      </c>
      <c r="G48" s="249">
        <f>IFERROR(G43/'근거_종별전신마취환자수'!G58,"")</f>
        <v/>
      </c>
      <c r="H48" s="249">
        <f>IFERROR(H43/'근거_종별전신마취환자수'!H58,"")</f>
        <v/>
      </c>
      <c r="I48" s="249">
        <f>IFERROR(I43/'근거_종별전신마취환자수'!I58,"")</f>
        <v/>
      </c>
      <c r="J48" s="249">
        <f>IFERROR(J43/'근거_종별전신마취환자수'!J58,"")</f>
        <v/>
      </c>
      <c r="K48" s="249">
        <f>IFERROR(K43/'근거_종별전신마취환자수'!K58,"")</f>
        <v/>
      </c>
      <c r="L48" s="249">
        <f>IFERROR(L43/'근거_종별전신마취환자수'!L58,"")</f>
        <v/>
      </c>
      <c r="M48" s="249">
        <f>IFERROR(M43/'근거_종별전신마취환자수'!M58,"")</f>
        <v/>
      </c>
      <c r="N48" s="249">
        <f>IFERROR(N43/'근거_종별전신마취환자수'!N58,"")</f>
        <v/>
      </c>
      <c r="O48" s="249">
        <f>IFERROR(O43/'근거_종별전신마취환자수'!O58,"")</f>
        <v/>
      </c>
      <c r="P48" s="249">
        <f>IFERROR(P43/'근거_종별전신마취환자수'!P58,"")</f>
        <v/>
      </c>
      <c r="Q48" s="249">
        <f>IFERROR(Q43/'근거_종별전신마취환자수'!Q58,"")</f>
        <v/>
      </c>
      <c r="R48" s="249">
        <f>IFERROR(R43/'근거_종별전신마취환자수'!R58,"")</f>
        <v/>
      </c>
      <c r="S48" s="249">
        <f>IFERROR(S43/'근거_종별전신마취환자수'!S58,"")</f>
        <v/>
      </c>
      <c r="T48" s="249">
        <f>IFERROR(T43/'근거_종별전신마취환자수'!T58,"")</f>
        <v/>
      </c>
      <c r="U48" s="249">
        <f>IFERROR(U43/'근거_종별전신마취환자수'!U58,"")</f>
        <v/>
      </c>
      <c r="V48" s="249">
        <f>IFERROR(V43/'근거_종별전신마취환자수'!V58,"")</f>
        <v/>
      </c>
      <c r="W48" s="249">
        <f>IFERROR(W43/'근거_종별전신마취환자수'!W58,"")</f>
        <v/>
      </c>
      <c r="X48" s="249">
        <f>IFERROR(X43/'근거_종별전신마취환자수'!X58,"")</f>
        <v/>
      </c>
      <c r="Y48" s="249">
        <f>IFERROR(Y43/'근거_종별전신마취환자수'!Y58,"")</f>
        <v/>
      </c>
      <c r="Z48" s="249">
        <f>IFERROR(Z43/'근거_종별전신마취환자수'!Z58,"")</f>
        <v/>
      </c>
      <c r="AA48" s="250">
        <f>IFERROR(AA43/'근거_종별전신마취환자수'!AA58,"")</f>
        <v/>
      </c>
      <c r="AB48" s="247">
        <f>IFERROR(AB43/'근거_종별전신마취환자수'!AB58,"")</f>
        <v/>
      </c>
      <c r="AC48" s="247">
        <f>IFERROR(AC43/'근거_종별전신마취환자수'!AC58,"")</f>
        <v/>
      </c>
      <c r="AD48" s="247">
        <f>IFERROR(AD43/'근거_종별전신마취환자수'!AD58,"")</f>
        <v/>
      </c>
      <c r="AE48" s="247">
        <f>IFERROR(AE43/'근거_종별전신마취환자수'!AE58,"")</f>
        <v/>
      </c>
      <c r="AF48" s="247">
        <f>IFERROR(AF43/'근거_종별전신마취환자수'!AF58,"")</f>
        <v/>
      </c>
      <c r="AG48" s="247">
        <f>IFERROR(AG43/'근거_종별전신마취환자수'!AG58,"")</f>
        <v/>
      </c>
      <c r="AH48" s="247">
        <f>IFERROR(AH43/'근거_종별전신마취환자수'!AH58,"")</f>
        <v/>
      </c>
      <c r="AI48" s="247">
        <f>IFERROR(AI43/'근거_종별전신마취환자수'!AI58,"")</f>
        <v/>
      </c>
      <c r="AJ48" s="247">
        <f>IFERROR(AJ43/'근거_종별전신마취환자수'!AJ58,"")</f>
        <v/>
      </c>
      <c r="AK48" s="247">
        <f>IFERROR(AK43/'근거_종별전신마취환자수'!AK58,"")</f>
        <v/>
      </c>
      <c r="AL48" s="247">
        <f>IFERROR(AL43/'근거_종별전신마취환자수'!AL58,"")</f>
        <v/>
      </c>
      <c r="AM48" s="247">
        <f>IFERROR(AM43/'근거_종별전신마취환자수'!AM58,"")</f>
        <v/>
      </c>
      <c r="AN48" s="247">
        <f>IFERROR(AN43/'근거_종별전신마취환자수'!AN58,"")</f>
        <v/>
      </c>
      <c r="AO48" s="247">
        <f>IFERROR(AO43/'근거_종별전신마취환자수'!AO58,"")</f>
        <v/>
      </c>
      <c r="AP48" s="247">
        <f>IFERROR(AP43/'근거_종별전신마취환자수'!AP58,"")</f>
        <v/>
      </c>
      <c r="AQ48" s="247">
        <f>IFERROR(AQ43/'근거_종별전신마취환자수'!AQ58,"")</f>
        <v/>
      </c>
      <c r="AR48" s="247">
        <f>IFERROR(AR43/'근거_종별전신마취환자수'!AR58,"")</f>
        <v/>
      </c>
      <c r="AS48" s="247">
        <f>IFERROR(AS43/'근거_종별전신마취환자수'!AS58,"")</f>
        <v/>
      </c>
      <c r="AT48" s="247">
        <f>IFERROR(AT43/'근거_종별전신마취환자수'!AT58,"")</f>
        <v/>
      </c>
    </row>
    <row r="49">
      <c r="A49" s="335" t="inlineStr">
        <is>
          <t>의원 환자당 Ramo 사용수량</t>
        </is>
      </c>
      <c r="B49" s="249">
        <f>IFERROR(B44/'근거_종별전신마취환자수'!B59,"")</f>
        <v/>
      </c>
      <c r="C49" s="249">
        <f>IFERROR(C44/'근거_종별전신마취환자수'!C59,"")</f>
        <v/>
      </c>
      <c r="D49" s="249">
        <f>IFERROR(D44/'근거_종별전신마취환자수'!D59,"")</f>
        <v/>
      </c>
      <c r="E49" s="249">
        <f>IFERROR(E44/'근거_종별전신마취환자수'!E59,"")</f>
        <v/>
      </c>
      <c r="F49" s="249">
        <f>IFERROR(F44/'근거_종별전신마취환자수'!F59,"")</f>
        <v/>
      </c>
      <c r="G49" s="249">
        <f>IFERROR(G44/'근거_종별전신마취환자수'!G59,"")</f>
        <v/>
      </c>
      <c r="H49" s="249">
        <f>IFERROR(H44/'근거_종별전신마취환자수'!H59,"")</f>
        <v/>
      </c>
      <c r="I49" s="249">
        <f>IFERROR(I44/'근거_종별전신마취환자수'!I59,"")</f>
        <v/>
      </c>
      <c r="J49" s="249">
        <f>IFERROR(J44/'근거_종별전신마취환자수'!J59,"")</f>
        <v/>
      </c>
      <c r="K49" s="249">
        <f>IFERROR(K44/'근거_종별전신마취환자수'!K59,"")</f>
        <v/>
      </c>
      <c r="L49" s="249">
        <f>IFERROR(L44/'근거_종별전신마취환자수'!L59,"")</f>
        <v/>
      </c>
      <c r="M49" s="249">
        <f>IFERROR(M44/'근거_종별전신마취환자수'!M59,"")</f>
        <v/>
      </c>
      <c r="N49" s="249">
        <f>IFERROR(N44/'근거_종별전신마취환자수'!N59,"")</f>
        <v/>
      </c>
      <c r="O49" s="249">
        <f>IFERROR(O44/'근거_종별전신마취환자수'!O59,"")</f>
        <v/>
      </c>
      <c r="P49" s="249">
        <f>IFERROR(P44/'근거_종별전신마취환자수'!P59,"")</f>
        <v/>
      </c>
      <c r="Q49" s="249">
        <f>IFERROR(Q44/'근거_종별전신마취환자수'!Q59,"")</f>
        <v/>
      </c>
      <c r="R49" s="249">
        <f>IFERROR(R44/'근거_종별전신마취환자수'!R59,"")</f>
        <v/>
      </c>
      <c r="S49" s="249">
        <f>IFERROR(S44/'근거_종별전신마취환자수'!S59,"")</f>
        <v/>
      </c>
      <c r="T49" s="249">
        <f>IFERROR(T44/'근거_종별전신마취환자수'!T59,"")</f>
        <v/>
      </c>
      <c r="U49" s="249">
        <f>IFERROR(U44/'근거_종별전신마취환자수'!U59,"")</f>
        <v/>
      </c>
      <c r="V49" s="249">
        <f>IFERROR(V44/'근거_종별전신마취환자수'!V59,"")</f>
        <v/>
      </c>
      <c r="W49" s="249">
        <f>IFERROR(W44/'근거_종별전신마취환자수'!W59,"")</f>
        <v/>
      </c>
      <c r="X49" s="249">
        <f>IFERROR(X44/'근거_종별전신마취환자수'!X59,"")</f>
        <v/>
      </c>
      <c r="Y49" s="249">
        <f>IFERROR(Y44/'근거_종별전신마취환자수'!Y59,"")</f>
        <v/>
      </c>
      <c r="Z49" s="249">
        <f>IFERROR(Z44/'근거_종별전신마취환자수'!Z59,"")</f>
        <v/>
      </c>
      <c r="AA49" s="250">
        <f>IFERROR(AA44/'근거_종별전신마취환자수'!AA59,"")</f>
        <v/>
      </c>
      <c r="AB49" s="247">
        <f>IFERROR(AB44/'근거_종별전신마취환자수'!AB59,"")</f>
        <v/>
      </c>
      <c r="AC49" s="247">
        <f>IFERROR(AC44/'근거_종별전신마취환자수'!AC59,"")</f>
        <v/>
      </c>
      <c r="AD49" s="247">
        <f>IFERROR(AD44/'근거_종별전신마취환자수'!AD59,"")</f>
        <v/>
      </c>
      <c r="AE49" s="247">
        <f>IFERROR(AE44/'근거_종별전신마취환자수'!AE59,"")</f>
        <v/>
      </c>
      <c r="AF49" s="247">
        <f>IFERROR(AF44/'근거_종별전신마취환자수'!AF59,"")</f>
        <v/>
      </c>
      <c r="AG49" s="247">
        <f>IFERROR(AG44/'근거_종별전신마취환자수'!AG59,"")</f>
        <v/>
      </c>
      <c r="AH49" s="247">
        <f>IFERROR(AH44/'근거_종별전신마취환자수'!AH59,"")</f>
        <v/>
      </c>
      <c r="AI49" s="247">
        <f>IFERROR(AI44/'근거_종별전신마취환자수'!AI59,"")</f>
        <v/>
      </c>
      <c r="AJ49" s="247">
        <f>IFERROR(AJ44/'근거_종별전신마취환자수'!AJ59,"")</f>
        <v/>
      </c>
      <c r="AK49" s="247">
        <f>IFERROR(AK44/'근거_종별전신마취환자수'!AK59,"")</f>
        <v/>
      </c>
      <c r="AL49" s="247">
        <f>IFERROR(AL44/'근거_종별전신마취환자수'!AL59,"")</f>
        <v/>
      </c>
      <c r="AM49" s="247">
        <f>IFERROR(AM44/'근거_종별전신마취환자수'!AM59,"")</f>
        <v/>
      </c>
      <c r="AN49" s="247">
        <f>IFERROR(AN44/'근거_종별전신마취환자수'!AN59,"")</f>
        <v/>
      </c>
      <c r="AO49" s="247">
        <f>IFERROR(AO44/'근거_종별전신마취환자수'!AO59,"")</f>
        <v/>
      </c>
      <c r="AP49" s="247">
        <f>IFERROR(AP44/'근거_종별전신마취환자수'!AP59,"")</f>
        <v/>
      </c>
      <c r="AQ49" s="247">
        <f>IFERROR(AQ44/'근거_종별전신마취환자수'!AQ59,"")</f>
        <v/>
      </c>
      <c r="AR49" s="247">
        <f>IFERROR(AR44/'근거_종별전신마취환자수'!AR59,"")</f>
        <v/>
      </c>
      <c r="AS49" s="247">
        <f>IFERROR(AS44/'근거_종별전신마취환자수'!AS59,"")</f>
        <v/>
      </c>
      <c r="AT49" s="247">
        <f>IFERROR(AT44/'근거_종별전신마취환자수'!AT59,"")</f>
        <v/>
      </c>
    </row>
    <row r="50"/>
    <row r="51">
      <c r="A51" s="335" t="inlineStr">
        <is>
          <t>▶ Ramosetron 전체시장 수량 (분기) [실측IQVIA / 미래는 4개종별 합산 bottom-up]</t>
        </is>
      </c>
      <c r="B51" s="208">
        <f>원자료_분기실측!B41</f>
        <v/>
      </c>
      <c r="C51" s="208">
        <f>원자료_분기실측!C41</f>
        <v/>
      </c>
      <c r="D51" s="208">
        <f>원자료_분기실측!D41</f>
        <v/>
      </c>
      <c r="E51" s="208">
        <f>원자료_분기실측!E41</f>
        <v/>
      </c>
      <c r="F51" s="208">
        <f>원자료_분기실측!F41</f>
        <v/>
      </c>
      <c r="G51" s="208">
        <f>원자료_분기실측!G41</f>
        <v/>
      </c>
      <c r="H51" s="208">
        <f>원자료_분기실측!H41</f>
        <v/>
      </c>
      <c r="I51" s="208">
        <f>원자료_분기실측!I41</f>
        <v/>
      </c>
      <c r="J51" s="208">
        <f>원자료_분기실측!J41</f>
        <v/>
      </c>
      <c r="K51" s="208">
        <f>원자료_분기실측!K41</f>
        <v/>
      </c>
      <c r="L51" s="208">
        <f>원자료_분기실측!L41</f>
        <v/>
      </c>
      <c r="M51" s="208">
        <f>원자료_분기실측!M41</f>
        <v/>
      </c>
      <c r="N51" s="208">
        <f>원자료_분기실측!N41</f>
        <v/>
      </c>
      <c r="O51" s="208">
        <f>원자료_분기실측!O41</f>
        <v/>
      </c>
      <c r="P51" s="208">
        <f>원자료_분기실측!P41</f>
        <v/>
      </c>
      <c r="Q51" s="208">
        <f>원자료_분기실측!Q41</f>
        <v/>
      </c>
      <c r="R51" s="208">
        <f>원자료_분기실측!R41</f>
        <v/>
      </c>
      <c r="S51" s="208">
        <f>원자료_분기실측!S41</f>
        <v/>
      </c>
      <c r="T51" s="208">
        <f>원자료_분기실측!T41</f>
        <v/>
      </c>
      <c r="U51" s="208">
        <f>원자료_분기실측!U41</f>
        <v/>
      </c>
      <c r="V51" s="208">
        <f>원자료_분기실측!V41</f>
        <v/>
      </c>
      <c r="W51" s="208">
        <f>원자료_분기실측!W41</f>
        <v/>
      </c>
      <c r="X51" s="208">
        <f>원자료_분기실측!X41</f>
        <v/>
      </c>
      <c r="Y51" s="208">
        <f>원자료_분기실측!Y41</f>
        <v/>
      </c>
      <c r="Z51" s="208">
        <f>원자료_분기실측!Z41</f>
        <v/>
      </c>
      <c r="AA51" s="208">
        <f>원자료_분기실측!AA41</f>
        <v/>
      </c>
      <c r="AB51" s="247">
        <f>SUM(AB41:AB44)</f>
        <v/>
      </c>
      <c r="AC51" s="247">
        <f>SUM(AC41:AC44)</f>
        <v/>
      </c>
      <c r="AD51" s="247">
        <f>SUM(AD41:AD44)</f>
        <v/>
      </c>
      <c r="AE51" s="247">
        <f>SUM(AE41:AE44)</f>
        <v/>
      </c>
      <c r="AF51" s="247">
        <f>SUM(AF41:AF44)</f>
        <v/>
      </c>
      <c r="AG51" s="247">
        <f>SUM(AG41:AG44)</f>
        <v/>
      </c>
      <c r="AH51" s="247">
        <f>SUM(AH41:AH44)</f>
        <v/>
      </c>
      <c r="AI51" s="247">
        <f>SUM(AI41:AI44)</f>
        <v/>
      </c>
      <c r="AJ51" s="247">
        <f>SUM(AJ41:AJ44)</f>
        <v/>
      </c>
      <c r="AK51" s="247">
        <f>SUM(AK41:AK44)</f>
        <v/>
      </c>
      <c r="AL51" s="247">
        <f>SUM(AL41:AL44)</f>
        <v/>
      </c>
      <c r="AM51" s="247">
        <f>SUM(AM41:AM44)</f>
        <v/>
      </c>
      <c r="AN51" s="247">
        <f>SUM(AN41:AN44)</f>
        <v/>
      </c>
      <c r="AO51" s="247">
        <f>SUM(AO41:AO44)</f>
        <v/>
      </c>
      <c r="AP51" s="247">
        <f>SUM(AP41:AP44)</f>
        <v/>
      </c>
      <c r="AQ51" s="247">
        <f>SUM(AQ41:AQ44)</f>
        <v/>
      </c>
      <c r="AR51" s="247">
        <f>SUM(AR41:AR44)</f>
        <v/>
      </c>
      <c r="AS51" s="247">
        <f>SUM(AS41:AS44)</f>
        <v/>
      </c>
      <c r="AT51" s="247">
        <f>SUM(AT41:AT44)</f>
        <v/>
      </c>
    </row>
    <row r="52"/>
    <row r="53">
      <c r="A53" s="335" t="inlineStr">
        <is>
          <t>■ FY 분기 재구성 ▶ Ramosetron 전체시장수량</t>
        </is>
      </c>
    </row>
    <row r="54">
      <c r="B54" s="111" t="inlineStr">
        <is>
          <t>FY2020Q1</t>
        </is>
      </c>
      <c r="C54" s="111" t="inlineStr">
        <is>
          <t>FY2020Q2</t>
        </is>
      </c>
      <c r="D54" s="111" t="inlineStr">
        <is>
          <t>FY2020Q3</t>
        </is>
      </c>
      <c r="E54" s="111" t="inlineStr">
        <is>
          <t>FY2020Q4</t>
        </is>
      </c>
      <c r="F54" s="111" t="inlineStr">
        <is>
          <t>FY2021Q1</t>
        </is>
      </c>
      <c r="G54" s="111" t="inlineStr">
        <is>
          <t>FY2021Q2</t>
        </is>
      </c>
      <c r="H54" s="111" t="inlineStr">
        <is>
          <t>FY2021Q3</t>
        </is>
      </c>
      <c r="I54" s="111" t="inlineStr">
        <is>
          <t>FY2021Q4</t>
        </is>
      </c>
      <c r="J54" s="111" t="inlineStr">
        <is>
          <t>FY2022Q1</t>
        </is>
      </c>
      <c r="K54" s="111" t="inlineStr">
        <is>
          <t>FY2022Q2</t>
        </is>
      </c>
      <c r="L54" s="111" t="inlineStr">
        <is>
          <t>FY2022Q3</t>
        </is>
      </c>
      <c r="M54" s="111" t="inlineStr">
        <is>
          <t>FY2022Q4</t>
        </is>
      </c>
      <c r="N54" s="111" t="inlineStr">
        <is>
          <t>FY2023Q1</t>
        </is>
      </c>
      <c r="O54" s="111" t="inlineStr">
        <is>
          <t>FY2023Q2</t>
        </is>
      </c>
      <c r="P54" s="111" t="inlineStr">
        <is>
          <t>FY2023Q3</t>
        </is>
      </c>
      <c r="Q54" s="111" t="inlineStr">
        <is>
          <t>FY2023Q4</t>
        </is>
      </c>
      <c r="R54" s="111" t="inlineStr">
        <is>
          <t>FY2024Q1</t>
        </is>
      </c>
      <c r="S54" s="111" t="inlineStr">
        <is>
          <t>FY2024Q2</t>
        </is>
      </c>
      <c r="T54" s="111" t="inlineStr">
        <is>
          <t>FY2024Q3</t>
        </is>
      </c>
      <c r="U54" s="111" t="inlineStr">
        <is>
          <t>FY2024Q4</t>
        </is>
      </c>
      <c r="V54" s="111" t="inlineStr">
        <is>
          <t>FY2025Q1</t>
        </is>
      </c>
      <c r="W54" s="111" t="inlineStr">
        <is>
          <t>FY2025Q2</t>
        </is>
      </c>
      <c r="X54" s="111" t="inlineStr">
        <is>
          <t>FY2025Q3</t>
        </is>
      </c>
      <c r="Y54" s="111" t="inlineStr">
        <is>
          <t>FY2025Q4</t>
        </is>
      </c>
      <c r="Z54" s="111" t="inlineStr">
        <is>
          <t>FY2026Q1</t>
        </is>
      </c>
      <c r="AA54" s="111" t="inlineStr">
        <is>
          <t>FY2026Q2</t>
        </is>
      </c>
      <c r="AB54" s="111" t="inlineStr">
        <is>
          <t>FY2026Q3</t>
        </is>
      </c>
      <c r="AC54" s="111" t="inlineStr">
        <is>
          <t>FY2026Q4</t>
        </is>
      </c>
      <c r="AD54" s="111" t="inlineStr">
        <is>
          <t>FY2027Q1</t>
        </is>
      </c>
      <c r="AE54" s="111" t="inlineStr">
        <is>
          <t>FY2027Q2</t>
        </is>
      </c>
      <c r="AF54" s="111" t="inlineStr">
        <is>
          <t>FY2027Q3</t>
        </is>
      </c>
      <c r="AG54" s="111" t="inlineStr">
        <is>
          <t>FY2027Q4</t>
        </is>
      </c>
      <c r="AH54" s="111" t="inlineStr">
        <is>
          <t>FY2028Q1</t>
        </is>
      </c>
      <c r="AI54" s="111" t="inlineStr">
        <is>
          <t>FY2028Q2</t>
        </is>
      </c>
      <c r="AJ54" s="111" t="inlineStr">
        <is>
          <t>FY2028Q3</t>
        </is>
      </c>
      <c r="AK54" s="111" t="inlineStr">
        <is>
          <t>FY2028Q4</t>
        </is>
      </c>
      <c r="AL54" s="111" t="inlineStr">
        <is>
          <t>FY2029Q1</t>
        </is>
      </c>
      <c r="AM54" s="111" t="inlineStr">
        <is>
          <t>FY2029Q2</t>
        </is>
      </c>
      <c r="AN54" s="111" t="inlineStr">
        <is>
          <t>FY2029Q3</t>
        </is>
      </c>
      <c r="AO54" s="111" t="inlineStr">
        <is>
          <t>FY2029Q4</t>
        </is>
      </c>
      <c r="AP54" s="111" t="inlineStr">
        <is>
          <t>FY2030Q1</t>
        </is>
      </c>
      <c r="AQ54" s="111" t="inlineStr">
        <is>
          <t>FY2030Q2</t>
        </is>
      </c>
      <c r="AR54" s="111" t="inlineStr">
        <is>
          <t>FY2030Q3</t>
        </is>
      </c>
      <c r="AS54" s="111" t="inlineStr">
        <is>
          <t>FY2030Q4</t>
        </is>
      </c>
      <c r="AV54" s="111" t="n"/>
      <c r="AW54" s="111" t="n"/>
      <c r="AX54" s="111" t="n"/>
      <c r="AY54" s="111" t="n"/>
      <c r="AZ54" s="111" t="n"/>
      <c r="BA54" s="111" t="n"/>
      <c r="BB54" s="111" t="n"/>
      <c r="BC54" s="111" t="n"/>
      <c r="BD54" s="111" t="n"/>
      <c r="BE54" s="111" t="n"/>
      <c r="BF54" s="111" t="n"/>
    </row>
    <row r="55">
      <c r="B55" s="208">
        <f>C51</f>
        <v/>
      </c>
      <c r="C55" s="208">
        <f>D51</f>
        <v/>
      </c>
      <c r="D55" s="208">
        <f>E51</f>
        <v/>
      </c>
      <c r="E55" s="208">
        <f>F51</f>
        <v/>
      </c>
      <c r="F55" s="208">
        <f>G51</f>
        <v/>
      </c>
      <c r="G55" s="208">
        <f>H51</f>
        <v/>
      </c>
      <c r="H55" s="208">
        <f>I51</f>
        <v/>
      </c>
      <c r="I55" s="208">
        <f>J51</f>
        <v/>
      </c>
      <c r="J55" s="208">
        <f>K51</f>
        <v/>
      </c>
      <c r="K55" s="208">
        <f>L51</f>
        <v/>
      </c>
      <c r="L55" s="208">
        <f>M51</f>
        <v/>
      </c>
      <c r="M55" s="208">
        <f>N51</f>
        <v/>
      </c>
      <c r="N55" s="208">
        <f>O51</f>
        <v/>
      </c>
      <c r="O55" s="208">
        <f>P51</f>
        <v/>
      </c>
      <c r="P55" s="208">
        <f>Q51</f>
        <v/>
      </c>
      <c r="Q55" s="208">
        <f>R51</f>
        <v/>
      </c>
      <c r="R55" s="208">
        <f>S51</f>
        <v/>
      </c>
      <c r="S55" s="208">
        <f>T51</f>
        <v/>
      </c>
      <c r="T55" s="208">
        <f>U51</f>
        <v/>
      </c>
      <c r="U55" s="208">
        <f>V51</f>
        <v/>
      </c>
      <c r="V55" s="208">
        <f>W51</f>
        <v/>
      </c>
      <c r="W55" s="208">
        <f>X51</f>
        <v/>
      </c>
      <c r="X55" s="208">
        <f>Y51</f>
        <v/>
      </c>
      <c r="Y55" s="208">
        <f>Z51</f>
        <v/>
      </c>
      <c r="Z55" s="208">
        <f>AA51</f>
        <v/>
      </c>
      <c r="AA55" s="378">
        <f>AB51</f>
        <v/>
      </c>
      <c r="AB55" s="378">
        <f>AC51</f>
        <v/>
      </c>
      <c r="AC55" s="378">
        <f>AD51</f>
        <v/>
      </c>
      <c r="AD55" s="378">
        <f>AE51</f>
        <v/>
      </c>
      <c r="AE55" s="378">
        <f>AF51</f>
        <v/>
      </c>
      <c r="AF55" s="378">
        <f>AG51</f>
        <v/>
      </c>
      <c r="AG55" s="378">
        <f>AH51</f>
        <v/>
      </c>
      <c r="AH55" s="378">
        <f>AI51</f>
        <v/>
      </c>
      <c r="AI55" s="378">
        <f>AJ51</f>
        <v/>
      </c>
      <c r="AJ55" s="378">
        <f>AK51</f>
        <v/>
      </c>
      <c r="AK55" s="378">
        <f>AL51</f>
        <v/>
      </c>
      <c r="AL55" s="378">
        <f>AM51</f>
        <v/>
      </c>
      <c r="AM55" s="378">
        <f>AN51</f>
        <v/>
      </c>
      <c r="AN55" s="378">
        <f>AO51</f>
        <v/>
      </c>
      <c r="AO55" s="378">
        <f>AP51</f>
        <v/>
      </c>
      <c r="AP55" s="378">
        <f>AQ51</f>
        <v/>
      </c>
      <c r="AQ55" s="378">
        <f>AR51</f>
        <v/>
      </c>
      <c r="AR55" s="378">
        <f>AS51</f>
        <v/>
      </c>
      <c r="AS55" s="378">
        <f>AT51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1"/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s="219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수량'!L27</f>
        <v/>
      </c>
      <c r="E7" s="45">
        <f>'근거_Ramosetron 시장 수량'!M27</f>
        <v/>
      </c>
      <c r="F7" s="45">
        <f>'근거_Ramosetron 시장 수량'!N27</f>
        <v/>
      </c>
      <c r="G7" s="45">
        <f>'근거_Ramosetron 시장 수량'!O27</f>
        <v/>
      </c>
      <c r="H7" s="45">
        <f>'근거_Ramosetron 시장 수량'!P27</f>
        <v/>
      </c>
      <c r="I7" s="45">
        <f>'근거_Ramosetron 시장 수량'!Q27</f>
        <v/>
      </c>
      <c r="J7" s="45">
        <f>'근거_Ramosetron 시장 수량'!R27</f>
        <v/>
      </c>
      <c r="K7" s="45">
        <f>'근거_Ramosetron 시장 수량'!S27</f>
        <v/>
      </c>
      <c r="L7" s="45">
        <f>'근거_Ramosetron 시장 수량'!T27</f>
        <v/>
      </c>
      <c r="M7" s="45">
        <f>'근거_Ramosetron 시장 수량'!U27</f>
        <v/>
      </c>
      <c r="N7" s="45">
        <f>'근거_Ramosetron 시장 수량'!V27</f>
        <v/>
      </c>
    </row>
    <row r="8"/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수량'!L23</f>
        <v/>
      </c>
      <c r="E10" s="254">
        <f>'근거_Ramosetron 시장 수량'!M23</f>
        <v/>
      </c>
      <c r="F10" s="254">
        <f>'근거_Ramosetron 시장 수량'!N23</f>
        <v/>
      </c>
      <c r="G10" s="254">
        <f>'근거_Ramosetron 시장 수량'!O23</f>
        <v/>
      </c>
      <c r="H10" s="254">
        <f>'근거_Ramosetron 시장 수량'!P23</f>
        <v/>
      </c>
      <c r="I10" s="254">
        <f>'근거_Ramosetron 시장 수량'!Q23</f>
        <v/>
      </c>
      <c r="J10" s="254">
        <f>'근거_Ramosetron 시장 수량'!R23</f>
        <v/>
      </c>
      <c r="K10" s="254">
        <f>'근거_Ramosetron 시장 수량'!S23</f>
        <v/>
      </c>
      <c r="L10" s="254">
        <f>'근거_Ramosetron 시장 수량'!T23</f>
        <v/>
      </c>
      <c r="M10" s="254">
        <f>'근거_Ramosetron 시장 수량'!U23</f>
        <v/>
      </c>
      <c r="N10" s="254">
        <f>'근거_Ramosetron 시장 수량'!V23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수량'!L24</f>
        <v/>
      </c>
      <c r="E11" s="254">
        <f>'근거_Ramosetron 시장 수량'!M24</f>
        <v/>
      </c>
      <c r="F11" s="254">
        <f>'근거_Ramosetron 시장 수량'!N24</f>
        <v/>
      </c>
      <c r="G11" s="254">
        <f>'근거_Ramosetron 시장 수량'!O24</f>
        <v/>
      </c>
      <c r="H11" s="254">
        <f>'근거_Ramosetron 시장 수량'!P24</f>
        <v/>
      </c>
      <c r="I11" s="254">
        <f>'근거_Ramosetron 시장 수량'!Q24</f>
        <v/>
      </c>
      <c r="J11" s="254">
        <f>'근거_Ramosetron 시장 수량'!R24</f>
        <v/>
      </c>
      <c r="K11" s="254">
        <f>'근거_Ramosetron 시장 수량'!S24</f>
        <v/>
      </c>
      <c r="L11" s="254">
        <f>'근거_Ramosetron 시장 수량'!T24</f>
        <v/>
      </c>
      <c r="M11" s="254">
        <f>'근거_Ramosetron 시장 수량'!U24</f>
        <v/>
      </c>
      <c r="N11" s="254">
        <f>'근거_Ramosetron 시장 수량'!V24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수량'!L25</f>
        <v/>
      </c>
      <c r="E12" s="254">
        <f>'근거_Ramosetron 시장 수량'!M25</f>
        <v/>
      </c>
      <c r="F12" s="254">
        <f>'근거_Ramosetron 시장 수량'!N25</f>
        <v/>
      </c>
      <c r="G12" s="254">
        <f>'근거_Ramosetron 시장 수량'!O25</f>
        <v/>
      </c>
      <c r="H12" s="254">
        <f>'근거_Ramosetron 시장 수량'!P25</f>
        <v/>
      </c>
      <c r="I12" s="254">
        <f>'근거_Ramosetron 시장 수량'!Q25</f>
        <v/>
      </c>
      <c r="J12" s="254">
        <f>'근거_Ramosetron 시장 수량'!R25</f>
        <v/>
      </c>
      <c r="K12" s="254">
        <f>'근거_Ramosetron 시장 수량'!S25</f>
        <v/>
      </c>
      <c r="L12" s="254">
        <f>'근거_Ramosetron 시장 수량'!T25</f>
        <v/>
      </c>
      <c r="M12" s="254">
        <f>'근거_Ramosetron 시장 수량'!U25</f>
        <v/>
      </c>
      <c r="N12" s="254">
        <f>'근거_Ramosetron 시장 수량'!V25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수량'!L26</f>
        <v/>
      </c>
      <c r="E13" s="254">
        <f>'근거_Ramosetron 시장 수량'!M26</f>
        <v/>
      </c>
      <c r="F13" s="254">
        <f>'근거_Ramosetron 시장 수량'!N26</f>
        <v/>
      </c>
      <c r="G13" s="254">
        <f>'근거_Ramosetron 시장 수량'!O26</f>
        <v/>
      </c>
      <c r="H13" s="254">
        <f>'근거_Ramosetron 시장 수량'!P26</f>
        <v/>
      </c>
      <c r="I13" s="254">
        <f>'근거_Ramosetron 시장 수량'!Q26</f>
        <v/>
      </c>
      <c r="J13" s="254">
        <f>'근거_Ramosetron 시장 수량'!R26</f>
        <v/>
      </c>
      <c r="K13" s="254">
        <f>'근거_Ramosetron 시장 수량'!S26</f>
        <v/>
      </c>
      <c r="L13" s="254">
        <f>'근거_Ramosetron 시장 수량'!T26</f>
        <v/>
      </c>
      <c r="M13" s="254">
        <f>'근거_Ramosetron 시장 수량'!U26</f>
        <v/>
      </c>
      <c r="N13" s="254">
        <f>'근거_Ramosetron 시장 수량'!V26</f>
        <v/>
      </c>
      <c r="P13" s="255" t="n"/>
      <c r="Q13" s="255" t="n"/>
    </row>
    <row r="14"/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1"/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수량'!B41*B43</f>
        <v/>
      </c>
      <c r="C49" s="265">
        <f>'근거_Ramosetron 시장 수량'!C41*C43</f>
        <v/>
      </c>
      <c r="D49" s="265">
        <f>'근거_Ramosetron 시장 수량'!D41*D43</f>
        <v/>
      </c>
      <c r="E49" s="265">
        <f>'근거_Ramosetron 시장 수량'!E41*E43</f>
        <v/>
      </c>
      <c r="F49" s="265">
        <f>'근거_Ramosetron 시장 수량'!F41*F43</f>
        <v/>
      </c>
      <c r="G49" s="265">
        <f>'근거_Ramosetron 시장 수량'!G41*G43</f>
        <v/>
      </c>
      <c r="H49" s="265">
        <f>'근거_Ramosetron 시장 수량'!H41*H43</f>
        <v/>
      </c>
      <c r="I49" s="265">
        <f>'근거_Ramosetron 시장 수량'!I41*I43</f>
        <v/>
      </c>
      <c r="J49" s="265">
        <f>'근거_Ramosetron 시장 수량'!J41*J43</f>
        <v/>
      </c>
      <c r="K49" s="265">
        <f>'근거_Ramosetron 시장 수량'!K41*K43</f>
        <v/>
      </c>
      <c r="L49" s="265">
        <f>'근거_Ramosetron 시장 수량'!L41*L43</f>
        <v/>
      </c>
      <c r="M49" s="265">
        <f>'근거_Ramosetron 시장 수량'!M41*M43</f>
        <v/>
      </c>
      <c r="N49" s="265">
        <f>'근거_Ramosetron 시장 수량'!N41*N43</f>
        <v/>
      </c>
      <c r="O49" s="265">
        <f>'근거_Ramosetron 시장 수량'!O41*O43</f>
        <v/>
      </c>
      <c r="P49" s="265">
        <f>'근거_Ramosetron 시장 수량'!P41*P43</f>
        <v/>
      </c>
      <c r="Q49" s="265">
        <f>'근거_Ramosetron 시장 수량'!Q41*Q43</f>
        <v/>
      </c>
      <c r="R49" s="265">
        <f>'근거_Ramosetron 시장 수량'!R41*R43</f>
        <v/>
      </c>
      <c r="S49" s="265">
        <f>'근거_Ramosetron 시장 수량'!S41*S43</f>
        <v/>
      </c>
      <c r="T49" s="265">
        <f>'근거_Ramosetron 시장 수량'!T41*T43</f>
        <v/>
      </c>
      <c r="U49" s="265">
        <f>'근거_Ramosetron 시장 수량'!U41*U43</f>
        <v/>
      </c>
      <c r="V49" s="265">
        <f>'근거_Ramosetron 시장 수량'!V41*V43</f>
        <v/>
      </c>
      <c r="W49" s="265">
        <f>'근거_Ramosetron 시장 수량'!W41*W43</f>
        <v/>
      </c>
      <c r="X49" s="265">
        <f>'근거_Ramosetron 시장 수량'!X41*X43</f>
        <v/>
      </c>
      <c r="Y49" s="265">
        <f>'근거_Ramosetron 시장 수량'!Y41*Y43</f>
        <v/>
      </c>
      <c r="Z49" s="265">
        <f>'근거_Ramosetron 시장 수량'!Z41*Z43</f>
        <v/>
      </c>
      <c r="AA49" s="266">
        <f>'근거_Ramosetron 시장 수량'!AA41*'근거_NSA수량(IQVIA기준)'!AA43</f>
        <v/>
      </c>
      <c r="AB49" s="266">
        <f>'근거_Ramosetron 시장 수량'!AB41*'근거_NSA수량(IQVIA기준)'!AB43</f>
        <v/>
      </c>
      <c r="AC49" s="266">
        <f>'근거_Ramosetron 시장 수량'!AC41*'근거_NSA수량(IQVIA기준)'!AC43</f>
        <v/>
      </c>
      <c r="AD49" s="266">
        <f>'근거_Ramosetron 시장 수량'!AD41*'근거_NSA수량(IQVIA기준)'!AD43</f>
        <v/>
      </c>
      <c r="AE49" s="266">
        <f>'근거_Ramosetron 시장 수량'!AE41*'근거_NSA수량(IQVIA기준)'!AE43</f>
        <v/>
      </c>
      <c r="AF49" s="266">
        <f>'근거_Ramosetron 시장 수량'!AF41*'근거_NSA수량(IQVIA기준)'!AF43</f>
        <v/>
      </c>
      <c r="AG49" s="266">
        <f>'근거_Ramosetron 시장 수량'!AG41*'근거_NSA수량(IQVIA기준)'!AG43</f>
        <v/>
      </c>
      <c r="AH49" s="266">
        <f>'근거_Ramosetron 시장 수량'!AH41*'근거_NSA수량(IQVIA기준)'!AH43</f>
        <v/>
      </c>
      <c r="AI49" s="266">
        <f>'근거_Ramosetron 시장 수량'!AI41*'근거_NSA수량(IQVIA기준)'!AI43</f>
        <v/>
      </c>
      <c r="AJ49" s="266">
        <f>'근거_Ramosetron 시장 수량'!AJ41*'근거_NSA수량(IQVIA기준)'!AJ43</f>
        <v/>
      </c>
      <c r="AK49" s="266">
        <f>'근거_Ramosetron 시장 수량'!AK41*'근거_NSA수량(IQVIA기준)'!AK43</f>
        <v/>
      </c>
      <c r="AL49" s="266">
        <f>'근거_Ramosetron 시장 수량'!AL41*'근거_NSA수량(IQVIA기준)'!AL43</f>
        <v/>
      </c>
      <c r="AM49" s="266">
        <f>'근거_Ramosetron 시장 수량'!AM41*'근거_NSA수량(IQVIA기준)'!AM43</f>
        <v/>
      </c>
      <c r="AN49" s="266">
        <f>'근거_Ramosetron 시장 수량'!AN41*'근거_NSA수량(IQVIA기준)'!AN43</f>
        <v/>
      </c>
      <c r="AO49" s="266">
        <f>'근거_Ramosetron 시장 수량'!AO41*'근거_NSA수량(IQVIA기준)'!AO43</f>
        <v/>
      </c>
      <c r="AP49" s="266">
        <f>'근거_Ramosetron 시장 수량'!AP41*'근거_NSA수량(IQVIA기준)'!AP43</f>
        <v/>
      </c>
      <c r="AQ49" s="266">
        <f>'근거_Ramosetron 시장 수량'!AQ41*'근거_NSA수량(IQVIA기준)'!AQ43</f>
        <v/>
      </c>
      <c r="AR49" s="266">
        <f>'근거_Ramosetron 시장 수량'!AR41*'근거_NSA수량(IQVIA기준)'!AR43</f>
        <v/>
      </c>
      <c r="AS49" s="266">
        <f>'근거_Ramosetron 시장 수량'!AS41*'근거_NSA수량(IQVIA기준)'!AS43</f>
        <v/>
      </c>
      <c r="AT49" s="266">
        <f>'근거_Ramosetron 시장 수량'!AT41*'근거_NSA수량(IQVIA기준)'!AT43</f>
        <v/>
      </c>
    </row>
    <row r="50">
      <c r="A50" s="64" t="inlineStr">
        <is>
          <t>종합병원</t>
        </is>
      </c>
      <c r="B50" s="265">
        <f>'근거_Ramosetron 시장 수량'!B42*B44</f>
        <v/>
      </c>
      <c r="C50" s="265">
        <f>'근거_Ramosetron 시장 수량'!C42*C44</f>
        <v/>
      </c>
      <c r="D50" s="265">
        <f>'근거_Ramosetron 시장 수량'!D42*D44</f>
        <v/>
      </c>
      <c r="E50" s="265">
        <f>'근거_Ramosetron 시장 수량'!E42*E44</f>
        <v/>
      </c>
      <c r="F50" s="265">
        <f>'근거_Ramosetron 시장 수량'!F42*F44</f>
        <v/>
      </c>
      <c r="G50" s="265">
        <f>'근거_Ramosetron 시장 수량'!G42*G44</f>
        <v/>
      </c>
      <c r="H50" s="265">
        <f>'근거_Ramosetron 시장 수량'!H42*H44</f>
        <v/>
      </c>
      <c r="I50" s="265">
        <f>'근거_Ramosetron 시장 수량'!I42*I44</f>
        <v/>
      </c>
      <c r="J50" s="265">
        <f>'근거_Ramosetron 시장 수량'!J42*J44</f>
        <v/>
      </c>
      <c r="K50" s="265">
        <f>'근거_Ramosetron 시장 수량'!K42*K44</f>
        <v/>
      </c>
      <c r="L50" s="265">
        <f>'근거_Ramosetron 시장 수량'!L42*L44</f>
        <v/>
      </c>
      <c r="M50" s="265">
        <f>'근거_Ramosetron 시장 수량'!M42*M44</f>
        <v/>
      </c>
      <c r="N50" s="265">
        <f>'근거_Ramosetron 시장 수량'!N42*N44</f>
        <v/>
      </c>
      <c r="O50" s="265">
        <f>'근거_Ramosetron 시장 수량'!O42*O44</f>
        <v/>
      </c>
      <c r="P50" s="265">
        <f>'근거_Ramosetron 시장 수량'!P42*P44</f>
        <v/>
      </c>
      <c r="Q50" s="265">
        <f>'근거_Ramosetron 시장 수량'!Q42*Q44</f>
        <v/>
      </c>
      <c r="R50" s="265">
        <f>'근거_Ramosetron 시장 수량'!R42*R44</f>
        <v/>
      </c>
      <c r="S50" s="265">
        <f>'근거_Ramosetron 시장 수량'!S42*S44</f>
        <v/>
      </c>
      <c r="T50" s="265">
        <f>'근거_Ramosetron 시장 수량'!T42*T44</f>
        <v/>
      </c>
      <c r="U50" s="265">
        <f>'근거_Ramosetron 시장 수량'!U42*U44</f>
        <v/>
      </c>
      <c r="V50" s="265">
        <f>'근거_Ramosetron 시장 수량'!V42*V44</f>
        <v/>
      </c>
      <c r="W50" s="265">
        <f>'근거_Ramosetron 시장 수량'!W42*W44</f>
        <v/>
      </c>
      <c r="X50" s="265">
        <f>'근거_Ramosetron 시장 수량'!X42*X44</f>
        <v/>
      </c>
      <c r="Y50" s="265">
        <f>'근거_Ramosetron 시장 수량'!Y42*Y44</f>
        <v/>
      </c>
      <c r="Z50" s="265">
        <f>'근거_Ramosetron 시장 수량'!Z42*Z44</f>
        <v/>
      </c>
      <c r="AA50" s="266">
        <f>'근거_Ramosetron 시장 수량'!AA42*'근거_NSA수량(IQVIA기준)'!AA44</f>
        <v/>
      </c>
      <c r="AB50" s="266">
        <f>'근거_Ramosetron 시장 수량'!AB42*'근거_NSA수량(IQVIA기준)'!AB44</f>
        <v/>
      </c>
      <c r="AC50" s="266">
        <f>'근거_Ramosetron 시장 수량'!AC42*'근거_NSA수량(IQVIA기준)'!AC44</f>
        <v/>
      </c>
      <c r="AD50" s="266">
        <f>'근거_Ramosetron 시장 수량'!AD42*'근거_NSA수량(IQVIA기준)'!AD44</f>
        <v/>
      </c>
      <c r="AE50" s="266">
        <f>'근거_Ramosetron 시장 수량'!AE42*'근거_NSA수량(IQVIA기준)'!AE44</f>
        <v/>
      </c>
      <c r="AF50" s="266">
        <f>'근거_Ramosetron 시장 수량'!AF42*'근거_NSA수량(IQVIA기준)'!AF44</f>
        <v/>
      </c>
      <c r="AG50" s="266">
        <f>'근거_Ramosetron 시장 수량'!AG42*'근거_NSA수량(IQVIA기준)'!AG44</f>
        <v/>
      </c>
      <c r="AH50" s="266">
        <f>'근거_Ramosetron 시장 수량'!AH42*'근거_NSA수량(IQVIA기준)'!AH44</f>
        <v/>
      </c>
      <c r="AI50" s="266">
        <f>'근거_Ramosetron 시장 수량'!AI42*'근거_NSA수량(IQVIA기준)'!AI44</f>
        <v/>
      </c>
      <c r="AJ50" s="266">
        <f>'근거_Ramosetron 시장 수량'!AJ42*'근거_NSA수량(IQVIA기준)'!AJ44</f>
        <v/>
      </c>
      <c r="AK50" s="266">
        <f>'근거_Ramosetron 시장 수량'!AK42*'근거_NSA수량(IQVIA기준)'!AK44</f>
        <v/>
      </c>
      <c r="AL50" s="266">
        <f>'근거_Ramosetron 시장 수량'!AL42*'근거_NSA수량(IQVIA기준)'!AL44</f>
        <v/>
      </c>
      <c r="AM50" s="266">
        <f>'근거_Ramosetron 시장 수량'!AM42*'근거_NSA수량(IQVIA기준)'!AM44</f>
        <v/>
      </c>
      <c r="AN50" s="266">
        <f>'근거_Ramosetron 시장 수량'!AN42*'근거_NSA수량(IQVIA기준)'!AN44</f>
        <v/>
      </c>
      <c r="AO50" s="266">
        <f>'근거_Ramosetron 시장 수량'!AO42*'근거_NSA수량(IQVIA기준)'!AO44</f>
        <v/>
      </c>
      <c r="AP50" s="266">
        <f>'근거_Ramosetron 시장 수량'!AP42*'근거_NSA수량(IQVIA기준)'!AP44</f>
        <v/>
      </c>
      <c r="AQ50" s="266">
        <f>'근거_Ramosetron 시장 수량'!AQ42*'근거_NSA수량(IQVIA기준)'!AQ44</f>
        <v/>
      </c>
      <c r="AR50" s="266">
        <f>'근거_Ramosetron 시장 수량'!AR42*'근거_NSA수량(IQVIA기준)'!AR44</f>
        <v/>
      </c>
      <c r="AS50" s="266">
        <f>'근거_Ramosetron 시장 수량'!AS42*'근거_NSA수량(IQVIA기준)'!AS44</f>
        <v/>
      </c>
      <c r="AT50" s="266">
        <f>'근거_Ramosetron 시장 수량'!AT42*'근거_NSA수량(IQVIA기준)'!AT44</f>
        <v/>
      </c>
    </row>
    <row r="51">
      <c r="A51" s="64" t="inlineStr">
        <is>
          <t>병원</t>
        </is>
      </c>
      <c r="B51" s="265">
        <f>'근거_Ramosetron 시장 수량'!B43*B45</f>
        <v/>
      </c>
      <c r="C51" s="265">
        <f>'근거_Ramosetron 시장 수량'!C43*C45</f>
        <v/>
      </c>
      <c r="D51" s="265">
        <f>'근거_Ramosetron 시장 수량'!D43*D45</f>
        <v/>
      </c>
      <c r="E51" s="265">
        <f>'근거_Ramosetron 시장 수량'!E43*E45</f>
        <v/>
      </c>
      <c r="F51" s="265">
        <f>'근거_Ramosetron 시장 수량'!F43*F45</f>
        <v/>
      </c>
      <c r="G51" s="265">
        <f>'근거_Ramosetron 시장 수량'!G43*G45</f>
        <v/>
      </c>
      <c r="H51" s="265">
        <f>'근거_Ramosetron 시장 수량'!H43*H45</f>
        <v/>
      </c>
      <c r="I51" s="265">
        <f>'근거_Ramosetron 시장 수량'!I43*I45</f>
        <v/>
      </c>
      <c r="J51" s="265">
        <f>'근거_Ramosetron 시장 수량'!J43*J45</f>
        <v/>
      </c>
      <c r="K51" s="265">
        <f>'근거_Ramosetron 시장 수량'!K43*K45</f>
        <v/>
      </c>
      <c r="L51" s="265">
        <f>'근거_Ramosetron 시장 수량'!L43*L45</f>
        <v/>
      </c>
      <c r="M51" s="265">
        <f>'근거_Ramosetron 시장 수량'!M43*M45</f>
        <v/>
      </c>
      <c r="N51" s="265">
        <f>'근거_Ramosetron 시장 수량'!N43*N45</f>
        <v/>
      </c>
      <c r="O51" s="265">
        <f>'근거_Ramosetron 시장 수량'!O43*O45</f>
        <v/>
      </c>
      <c r="P51" s="265">
        <f>'근거_Ramosetron 시장 수량'!P43*P45</f>
        <v/>
      </c>
      <c r="Q51" s="265">
        <f>'근거_Ramosetron 시장 수량'!Q43*Q45</f>
        <v/>
      </c>
      <c r="R51" s="265">
        <f>'근거_Ramosetron 시장 수량'!R43*R45</f>
        <v/>
      </c>
      <c r="S51" s="265">
        <f>'근거_Ramosetron 시장 수량'!S43*S45</f>
        <v/>
      </c>
      <c r="T51" s="265">
        <f>'근거_Ramosetron 시장 수량'!T43*T45</f>
        <v/>
      </c>
      <c r="U51" s="265">
        <f>'근거_Ramosetron 시장 수량'!U43*U45</f>
        <v/>
      </c>
      <c r="V51" s="265">
        <f>'근거_Ramosetron 시장 수량'!V43*V45</f>
        <v/>
      </c>
      <c r="W51" s="265">
        <f>'근거_Ramosetron 시장 수량'!W43*W45</f>
        <v/>
      </c>
      <c r="X51" s="265">
        <f>'근거_Ramosetron 시장 수량'!X43*X45</f>
        <v/>
      </c>
      <c r="Y51" s="265">
        <f>'근거_Ramosetron 시장 수량'!Y43*Y45</f>
        <v/>
      </c>
      <c r="Z51" s="265">
        <f>'근거_Ramosetron 시장 수량'!Z43*Z45</f>
        <v/>
      </c>
      <c r="AA51" s="266">
        <f>'근거_Ramosetron 시장 수량'!AA43*'근거_NSA수량(IQVIA기준)'!AA45</f>
        <v/>
      </c>
      <c r="AB51" s="266">
        <f>'근거_Ramosetron 시장 수량'!AB43*'근거_NSA수량(IQVIA기준)'!AB45</f>
        <v/>
      </c>
      <c r="AC51" s="266">
        <f>'근거_Ramosetron 시장 수량'!AC43*'근거_NSA수량(IQVIA기준)'!AC45</f>
        <v/>
      </c>
      <c r="AD51" s="266">
        <f>'근거_Ramosetron 시장 수량'!AD43*'근거_NSA수량(IQVIA기준)'!AD45</f>
        <v/>
      </c>
      <c r="AE51" s="266">
        <f>'근거_Ramosetron 시장 수량'!AE43*'근거_NSA수량(IQVIA기준)'!AE45</f>
        <v/>
      </c>
      <c r="AF51" s="266">
        <f>'근거_Ramosetron 시장 수량'!AF43*'근거_NSA수량(IQVIA기준)'!AF45</f>
        <v/>
      </c>
      <c r="AG51" s="266">
        <f>'근거_Ramosetron 시장 수량'!AG43*'근거_NSA수량(IQVIA기준)'!AG45</f>
        <v/>
      </c>
      <c r="AH51" s="266">
        <f>'근거_Ramosetron 시장 수량'!AH43*'근거_NSA수량(IQVIA기준)'!AH45</f>
        <v/>
      </c>
      <c r="AI51" s="266">
        <f>'근거_Ramosetron 시장 수량'!AI43*'근거_NSA수량(IQVIA기준)'!AI45</f>
        <v/>
      </c>
      <c r="AJ51" s="266">
        <f>'근거_Ramosetron 시장 수량'!AJ43*'근거_NSA수량(IQVIA기준)'!AJ45</f>
        <v/>
      </c>
      <c r="AK51" s="266">
        <f>'근거_Ramosetron 시장 수량'!AK43*'근거_NSA수량(IQVIA기준)'!AK45</f>
        <v/>
      </c>
      <c r="AL51" s="266">
        <f>'근거_Ramosetron 시장 수량'!AL43*'근거_NSA수량(IQVIA기준)'!AL45</f>
        <v/>
      </c>
      <c r="AM51" s="266">
        <f>'근거_Ramosetron 시장 수량'!AM43*'근거_NSA수량(IQVIA기준)'!AM45</f>
        <v/>
      </c>
      <c r="AN51" s="266">
        <f>'근거_Ramosetron 시장 수량'!AN43*'근거_NSA수량(IQVIA기준)'!AN45</f>
        <v/>
      </c>
      <c r="AO51" s="266">
        <f>'근거_Ramosetron 시장 수량'!AO43*'근거_NSA수량(IQVIA기준)'!AO45</f>
        <v/>
      </c>
      <c r="AP51" s="266">
        <f>'근거_Ramosetron 시장 수량'!AP43*'근거_NSA수량(IQVIA기준)'!AP45</f>
        <v/>
      </c>
      <c r="AQ51" s="266">
        <f>'근거_Ramosetron 시장 수량'!AQ43*'근거_NSA수량(IQVIA기준)'!AQ45</f>
        <v/>
      </c>
      <c r="AR51" s="266">
        <f>'근거_Ramosetron 시장 수량'!AR43*'근거_NSA수량(IQVIA기준)'!AR45</f>
        <v/>
      </c>
      <c r="AS51" s="266">
        <f>'근거_Ramosetron 시장 수량'!AS43*'근거_NSA수량(IQVIA기준)'!AS45</f>
        <v/>
      </c>
      <c r="AT51" s="266">
        <f>'근거_Ramosetron 시장 수량'!AT43*'근거_NSA수량(IQVIA기준)'!AT45</f>
        <v/>
      </c>
    </row>
    <row r="52">
      <c r="A52" s="64" t="inlineStr">
        <is>
          <t>의원</t>
        </is>
      </c>
      <c r="B52" s="265">
        <f>'근거_Ramosetron 시장 수량'!B44*B46</f>
        <v/>
      </c>
      <c r="C52" s="265">
        <f>'근거_Ramosetron 시장 수량'!C44*C46</f>
        <v/>
      </c>
      <c r="D52" s="265">
        <f>'근거_Ramosetron 시장 수량'!D44*D46</f>
        <v/>
      </c>
      <c r="E52" s="265">
        <f>'근거_Ramosetron 시장 수량'!E44*E46</f>
        <v/>
      </c>
      <c r="F52" s="265">
        <f>'근거_Ramosetron 시장 수량'!F44*F46</f>
        <v/>
      </c>
      <c r="G52" s="265">
        <f>'근거_Ramosetron 시장 수량'!G44*G46</f>
        <v/>
      </c>
      <c r="H52" s="265">
        <f>'근거_Ramosetron 시장 수량'!H44*H46</f>
        <v/>
      </c>
      <c r="I52" s="265">
        <f>'근거_Ramosetron 시장 수량'!I44*I46</f>
        <v/>
      </c>
      <c r="J52" s="265">
        <f>'근거_Ramosetron 시장 수량'!J44*J46</f>
        <v/>
      </c>
      <c r="K52" s="265">
        <f>'근거_Ramosetron 시장 수량'!K44*K46</f>
        <v/>
      </c>
      <c r="L52" s="265">
        <f>'근거_Ramosetron 시장 수량'!L44*L46</f>
        <v/>
      </c>
      <c r="M52" s="265">
        <f>'근거_Ramosetron 시장 수량'!M44*M46</f>
        <v/>
      </c>
      <c r="N52" s="265">
        <f>'근거_Ramosetron 시장 수량'!N44*N46</f>
        <v/>
      </c>
      <c r="O52" s="265">
        <f>'근거_Ramosetron 시장 수량'!O44*O46</f>
        <v/>
      </c>
      <c r="P52" s="265">
        <f>'근거_Ramosetron 시장 수량'!P44*P46</f>
        <v/>
      </c>
      <c r="Q52" s="265">
        <f>'근거_Ramosetron 시장 수량'!Q44*Q46</f>
        <v/>
      </c>
      <c r="R52" s="265">
        <f>'근거_Ramosetron 시장 수량'!R44*R46</f>
        <v/>
      </c>
      <c r="S52" s="265">
        <f>'근거_Ramosetron 시장 수량'!S44*S46</f>
        <v/>
      </c>
      <c r="T52" s="265">
        <f>'근거_Ramosetron 시장 수량'!T44*T46</f>
        <v/>
      </c>
      <c r="U52" s="265">
        <f>'근거_Ramosetron 시장 수량'!U44*U46</f>
        <v/>
      </c>
      <c r="V52" s="265">
        <f>'근거_Ramosetron 시장 수량'!V44*V46</f>
        <v/>
      </c>
      <c r="W52" s="265">
        <f>'근거_Ramosetron 시장 수량'!W44*W46</f>
        <v/>
      </c>
      <c r="X52" s="265">
        <f>'근거_Ramosetron 시장 수량'!X44*X46</f>
        <v/>
      </c>
      <c r="Y52" s="265">
        <f>'근거_Ramosetron 시장 수량'!Y44*Y46</f>
        <v/>
      </c>
      <c r="Z52" s="265">
        <f>'근거_Ramosetron 시장 수량'!Z44*Z46</f>
        <v/>
      </c>
      <c r="AA52" s="266">
        <f>'근거_Ramosetron 시장 수량'!AA44*'근거_NSA수량(IQVIA기준)'!AA46</f>
        <v/>
      </c>
      <c r="AB52" s="266">
        <f>'근거_Ramosetron 시장 수량'!AB44*'근거_NSA수량(IQVIA기준)'!AB46</f>
        <v/>
      </c>
      <c r="AC52" s="266">
        <f>'근거_Ramosetron 시장 수량'!AC44*'근거_NSA수량(IQVIA기준)'!AC46</f>
        <v/>
      </c>
      <c r="AD52" s="266">
        <f>'근거_Ramosetron 시장 수량'!AD44*'근거_NSA수량(IQVIA기준)'!AD46</f>
        <v/>
      </c>
      <c r="AE52" s="266">
        <f>'근거_Ramosetron 시장 수량'!AE44*'근거_NSA수량(IQVIA기준)'!AE46</f>
        <v/>
      </c>
      <c r="AF52" s="266">
        <f>'근거_Ramosetron 시장 수량'!AF44*'근거_NSA수량(IQVIA기준)'!AF46</f>
        <v/>
      </c>
      <c r="AG52" s="266">
        <f>'근거_Ramosetron 시장 수량'!AG44*'근거_NSA수량(IQVIA기준)'!AG46</f>
        <v/>
      </c>
      <c r="AH52" s="266">
        <f>'근거_Ramosetron 시장 수량'!AH44*'근거_NSA수량(IQVIA기준)'!AH46</f>
        <v/>
      </c>
      <c r="AI52" s="266">
        <f>'근거_Ramosetron 시장 수량'!AI44*'근거_NSA수량(IQVIA기준)'!AI46</f>
        <v/>
      </c>
      <c r="AJ52" s="266">
        <f>'근거_Ramosetron 시장 수량'!AJ44*'근거_NSA수량(IQVIA기준)'!AJ46</f>
        <v/>
      </c>
      <c r="AK52" s="266">
        <f>'근거_Ramosetron 시장 수량'!AK44*'근거_NSA수량(IQVIA기준)'!AK46</f>
        <v/>
      </c>
      <c r="AL52" s="266">
        <f>'근거_Ramosetron 시장 수량'!AL44*'근거_NSA수량(IQVIA기준)'!AL46</f>
        <v/>
      </c>
      <c r="AM52" s="266">
        <f>'근거_Ramosetron 시장 수량'!AM44*'근거_NSA수량(IQVIA기준)'!AM46</f>
        <v/>
      </c>
      <c r="AN52" s="266">
        <f>'근거_Ramosetron 시장 수량'!AN44*'근거_NSA수량(IQVIA기준)'!AN46</f>
        <v/>
      </c>
      <c r="AO52" s="266">
        <f>'근거_Ramosetron 시장 수량'!AO44*'근거_NSA수량(IQVIA기준)'!AO46</f>
        <v/>
      </c>
      <c r="AP52" s="266">
        <f>'근거_Ramosetron 시장 수량'!AP44*'근거_NSA수량(IQVIA기준)'!AP46</f>
        <v/>
      </c>
      <c r="AQ52" s="266">
        <f>'근거_Ramosetron 시장 수량'!AQ44*'근거_NSA수량(IQVIA기준)'!AQ46</f>
        <v/>
      </c>
      <c r="AR52" s="266">
        <f>'근거_Ramosetron 시장 수량'!AR44*'근거_NSA수량(IQVIA기준)'!AR46</f>
        <v/>
      </c>
      <c r="AS52" s="266">
        <f>'근거_Ramosetron 시장 수량'!AS44*'근거_NSA수량(IQVIA기준)'!AS46</f>
        <v/>
      </c>
      <c r="AT52" s="266">
        <f>'근거_Ramosetron 시장 수량'!AT44*'근거_NSA수량(IQVIA기준)'!AT46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5"/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O59"/>
  <sheetViews>
    <sheetView showGridLines="0" tabSelected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1"/>
    <row r="2">
      <c r="A2" s="267" t="inlineStr">
        <is>
          <t>DSKR NSA (SAP)매출 산출 : IQVIA 데이터 기반 예측 (FY26 목표단가 적용)</t>
        </is>
      </c>
    </row>
    <row r="3"/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s="219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8"/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s="219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s="219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s="219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s="219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s="2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s="219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2"/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s="219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5"/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s="219" t="inlineStr">
        <is>
          <t>환산 단가 (원/A)</t>
        </is>
      </c>
      <c r="B27" s="379">
        <f>$B$59/5*1000000</f>
        <v/>
      </c>
      <c r="C27" s="219" t="inlineStr">
        <is>
          <t>(NASEA Inj. 0.3mg/5A FY2026 목표단가 ÷ 5 — 하단 [참고] 목표단가 참조)</t>
        </is>
      </c>
    </row>
    <row r="28">
      <c r="A28" s="219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0"/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s="219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39"/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1"/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7"/>
    <row r="58">
      <c r="B58" s="272" t="inlineStr">
        <is>
          <t>[참고] FY2026 목표단가 — 환산 단가(B27)의 산출 원천</t>
        </is>
      </c>
    </row>
    <row r="59">
      <c r="A59" s="21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1"/>
    <row r="2">
      <c r="A2" s="267" t="inlineStr">
        <is>
          <t>NSA FCST 민감도  :  변동요인별 ± 이동이 Model Base 매출에 주는 영향</t>
        </is>
      </c>
    </row>
    <row r="3"/>
    <row r="4">
      <c r="A4" s="287" t="inlineStr">
        <is>
          <t>■ A. 방법</t>
        </is>
      </c>
    </row>
    <row r="5">
      <c r="A5" s="219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6"/>
    <row r="7"/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s="219" t="inlineStr">
        <is>
          <t>L1 전신마취환자수</t>
        </is>
      </c>
      <c r="B10" s="219" t="inlineStr">
        <is>
          <t>근거_전신마취환자수 42행 (2026~2030 연간)</t>
        </is>
      </c>
      <c r="C10" s="219" t="inlineStr">
        <is>
          <t>연령별 회귀/평균</t>
        </is>
      </c>
      <c r="D10" s="219" t="inlineStr">
        <is>
          <t>-2%</t>
        </is>
      </c>
      <c r="E10" s="219" t="inlineStr">
        <is>
          <t>+2%</t>
        </is>
      </c>
      <c r="F10" s="219" t="inlineStr">
        <is>
          <t>동등 산포의 레벨 쇼크(±2%) 근사</t>
        </is>
      </c>
    </row>
    <row r="11">
      <c r="A11" s="219" t="inlineStr">
        <is>
          <t>L2 상급종합 환자비율 상한</t>
        </is>
      </c>
      <c r="B11" s="219" t="inlineStr">
        <is>
          <t>근거_종별전신마취환자수 C25</t>
        </is>
      </c>
      <c r="C11" s="278" t="n">
        <v>0.41</v>
      </c>
      <c r="D11" s="278" t="n">
        <v>0.38</v>
      </c>
      <c r="E11" s="278" t="n">
        <v>0.44</v>
      </c>
      <c r="F11" s="219" t="inlineStr">
        <is>
          <t>회복모형 상한 ±3%p</t>
        </is>
      </c>
    </row>
    <row r="12">
      <c r="A12" s="219" t="inlineStr">
        <is>
          <t>L3 종합병원 환자비율 하한</t>
        </is>
      </c>
      <c r="B12" s="219" t="inlineStr">
        <is>
          <t>근거_종별전신마취환자수 C26</t>
        </is>
      </c>
      <c r="C12" s="278" t="n">
        <v>0.4</v>
      </c>
      <c r="D12" s="278" t="n">
        <v>0.37</v>
      </c>
      <c r="E12" s="278" t="n">
        <v>0.43</v>
      </c>
      <c r="F12" s="219" t="inlineStr">
        <is>
          <t>회복모형 하한 ±3%p</t>
        </is>
      </c>
    </row>
    <row r="13">
      <c r="A13" s="219" t="inlineStr">
        <is>
          <t>L4 환자당 Ramo 사용량</t>
        </is>
      </c>
      <c r="B13" s="219" t="inlineStr">
        <is>
          <t>근거_Ramosetron 시장 수량 16~19행 (2026~2030)</t>
        </is>
      </c>
      <c r="C13" s="219" t="inlineStr">
        <is>
          <t>선형회귀(상한) / flat</t>
        </is>
      </c>
      <c r="D13" s="219" t="inlineStr">
        <is>
          <t>-5%</t>
        </is>
      </c>
      <c r="E13" s="219" t="inlineStr">
        <is>
          <t>+5%</t>
        </is>
      </c>
      <c r="F13" s="219" t="inlineStr">
        <is>
          <t>연간모델 표본 부족에 따른 레벨 쇼크 ±5%</t>
        </is>
      </c>
    </row>
    <row r="14">
      <c r="A14" s="219" t="inlineStr">
        <is>
          <t>L5 NSA MS 상급종합 하한</t>
        </is>
      </c>
      <c r="B14" s="219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s="219" t="inlineStr">
        <is>
          <t>백테스트 MAPE 2.9% 기준 ±3%p</t>
        </is>
      </c>
    </row>
    <row r="15">
      <c r="A15" s="219" t="inlineStr">
        <is>
          <t>L6 NSA MS 종합병원 상한</t>
        </is>
      </c>
      <c r="B15" s="219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s="219" t="inlineStr">
        <is>
          <t>백테스트 MAPE 3.8% 기준 ±3%p</t>
        </is>
      </c>
    </row>
    <row r="16">
      <c r="A16" s="219" t="inlineStr">
        <is>
          <t>L7 NSA MS 병원·의원</t>
        </is>
      </c>
      <c r="B16" s="219" t="inlineStr">
        <is>
          <t>근거_NSA수량 51~52행 (2026Q2~2030Q4 수량)</t>
        </is>
      </c>
      <c r="C16" s="219" t="inlineStr">
        <is>
          <t>롤링4Q / EWMA</t>
        </is>
      </c>
      <c r="D16" s="219" t="inlineStr">
        <is>
          <t>-10%</t>
        </is>
      </c>
      <c r="E16" s="219" t="inlineStr">
        <is>
          <t>+10%</t>
        </is>
      </c>
      <c r="F16" s="219" t="inlineStr">
        <is>
          <t>백테스트 MAPE 8.9~10.3% 기준 ±10%</t>
        </is>
      </c>
    </row>
    <row r="17">
      <c r="A17" s="219" t="inlineStr">
        <is>
          <t>L8 NSA MS 전체 (시나리오)</t>
        </is>
      </c>
      <c r="B17" s="219" t="inlineStr">
        <is>
          <t>근거_매출 14·16행 (NSA 수량 ± MS×시장)</t>
        </is>
      </c>
      <c r="C17" s="219" t="inlineStr">
        <is>
          <t>종별 회귀 합산</t>
        </is>
      </c>
      <c r="D17" s="219" t="inlineStr">
        <is>
          <t>MS -10%p</t>
        </is>
      </c>
      <c r="E17" s="219" t="inlineStr">
        <is>
          <t>MS +10%p</t>
        </is>
      </c>
      <c r="F17" s="219" t="inlineStr">
        <is>
          <t>MTS 밴드와 동일 정의 (라이브 수식)</t>
        </is>
      </c>
    </row>
    <row r="18">
      <c r="A18" s="219" t="inlineStr">
        <is>
          <t>L9 전환비율</t>
        </is>
      </c>
      <c r="B18" s="219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s="219" t="inlineStr">
        <is>
          <t>FY2023~25 실측 최소·최대</t>
        </is>
      </c>
    </row>
    <row r="19"/>
    <row r="20"/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380">
        <f>근거_매출!K36/근거_매출!K32-1</f>
        <v/>
      </c>
      <c r="C23" s="380">
        <f>근거_매출!K35/근거_매출!K32-1</f>
        <v/>
      </c>
      <c r="D23" s="380">
        <f>근거_매출!N36/근거_매출!N32-1</f>
        <v/>
      </c>
      <c r="E23" s="380">
        <f>근거_매출!N35/근거_매출!N32-1</f>
        <v/>
      </c>
      <c r="F23" s="380">
        <f>MAX(ABS(D23),ABS(E23))</f>
        <v/>
      </c>
    </row>
    <row r="24">
      <c r="A24" s="290" t="inlineStr">
        <is>
          <t>L4 환자당 Ramo 사용량</t>
        </is>
      </c>
      <c r="B24" s="381">
        <f>-0.05237</f>
        <v/>
      </c>
      <c r="C24" s="381">
        <f>0.052672</f>
        <v/>
      </c>
      <c r="D24" s="381">
        <f>-0.054968</f>
        <v/>
      </c>
      <c r="E24" s="381">
        <f>0.056379</f>
        <v/>
      </c>
      <c r="F24" s="381">
        <f>MAX(ABS(D24),ABS(E24))</f>
        <v/>
      </c>
    </row>
    <row r="25">
      <c r="A25" s="290" t="inlineStr">
        <is>
          <t>L9 전환비율</t>
        </is>
      </c>
      <c r="B25" s="381">
        <f>-0.002857</f>
        <v/>
      </c>
      <c r="C25" s="381">
        <f>0.033672</f>
        <v/>
      </c>
      <c r="D25" s="381">
        <f>-0.002857</f>
        <v/>
      </c>
      <c r="E25" s="381">
        <f>0.033672</f>
        <v/>
      </c>
      <c r="F25" s="381">
        <f>MAX(ABS(D25),ABS(E25))</f>
        <v/>
      </c>
    </row>
    <row r="26">
      <c r="A26" s="290" t="inlineStr">
        <is>
          <t>L5 NSA MS 상급종합 하한</t>
        </is>
      </c>
      <c r="B26" s="381">
        <f>-0.000419</f>
        <v/>
      </c>
      <c r="C26" s="381">
        <f>0.020518</f>
        <v/>
      </c>
      <c r="D26" s="381">
        <f>-0.029562</f>
        <v/>
      </c>
      <c r="E26" s="381">
        <f>0.029562</f>
        <v/>
      </c>
      <c r="F26" s="381">
        <f>MAX(ABS(D26),ABS(E26))</f>
        <v/>
      </c>
    </row>
    <row r="27">
      <c r="A27" s="290" t="inlineStr">
        <is>
          <t>L6 NSA MS 종합병원 상한</t>
        </is>
      </c>
      <c r="B27" s="381">
        <f>-0.014146</f>
        <v/>
      </c>
      <c r="C27" s="381">
        <f>0.011442</f>
        <v/>
      </c>
      <c r="D27" s="381">
        <f>-0.022372</f>
        <v/>
      </c>
      <c r="E27" s="381">
        <f>0.021518</f>
        <v/>
      </c>
      <c r="F27" s="381">
        <f>MAX(ABS(D27),ABS(E27))</f>
        <v/>
      </c>
    </row>
    <row r="28">
      <c r="A28" s="290" t="inlineStr">
        <is>
          <t>L1 전신마취환자수</t>
        </is>
      </c>
      <c r="B28" s="381">
        <f>-0.02</f>
        <v/>
      </c>
      <c r="C28" s="381">
        <f>0.02</f>
        <v/>
      </c>
      <c r="D28" s="381">
        <f>-0.02</f>
        <v/>
      </c>
      <c r="E28" s="381">
        <f>0.02</f>
        <v/>
      </c>
      <c r="F28" s="381">
        <f>MAX(ABS(D28),ABS(E28))</f>
        <v/>
      </c>
    </row>
    <row r="29">
      <c r="A29" s="290" t="inlineStr">
        <is>
          <t>L2 상급종합 환자비율 상한</t>
        </is>
      </c>
      <c r="B29" s="381">
        <f>-0.009362</f>
        <v/>
      </c>
      <c r="C29" s="381">
        <f>0.000539</f>
        <v/>
      </c>
      <c r="D29" s="381">
        <f>-0.010356</f>
        <v/>
      </c>
      <c r="E29" s="381">
        <f>0.009761</f>
        <v/>
      </c>
      <c r="F29" s="381">
        <f>MAX(ABS(D29),ABS(E29))</f>
        <v/>
      </c>
    </row>
    <row r="30">
      <c r="A30" s="290" t="inlineStr">
        <is>
          <t>L7 NSA MS 병원·의원</t>
        </is>
      </c>
      <c r="B30" s="381">
        <f>-0.004034</f>
        <v/>
      </c>
      <c r="C30" s="381">
        <f>0.004034</f>
        <v/>
      </c>
      <c r="D30" s="381">
        <f>-0.002819</f>
        <v/>
      </c>
      <c r="E30" s="381">
        <f>0.002819</f>
        <v/>
      </c>
      <c r="F30" s="381">
        <f>MAX(ABS(D30),ABS(E30))</f>
        <v/>
      </c>
    </row>
    <row r="31">
      <c r="A31" s="290" t="inlineStr">
        <is>
          <t>L3 종합병원 환자비율 하한</t>
        </is>
      </c>
      <c r="B31" s="381">
        <f>-0.0025</f>
        <v/>
      </c>
      <c r="C31" s="381">
        <f>0.002361</f>
        <v/>
      </c>
      <c r="D31" s="381">
        <f>-0.00271</f>
        <v/>
      </c>
      <c r="E31" s="381">
        <f>0.002554</f>
        <v/>
      </c>
      <c r="F31" s="381">
        <f>MAX(ABS(D31),ABS(E31))</f>
        <v/>
      </c>
    </row>
    <row r="32"/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7"/>
    <row r="38"/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L3 종합병원 환자비율 하한</t>
        </is>
      </c>
      <c r="C40" s="296" t="inlineStr">
        <is>
          <t>L7 NSA MS 병원·의원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2"/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1"/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'근거_전신마취환자수'!B17</f>
        <v/>
      </c>
      <c r="B5" s="219" t="n">
        <v>2010</v>
      </c>
      <c r="C5" s="45">
        <f>'근거_전신마취환자수'!B42</f>
        <v/>
      </c>
      <c r="D5" s="297">
        <f>IFERROR(C5/A5,"")</f>
        <v/>
      </c>
      <c r="E5" s="229">
        <f>'근거_Ramosetron 시장 수량'!B27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'근거_전신마취환자수'!C17</f>
        <v/>
      </c>
      <c r="B6" s="219" t="n">
        <v>2011</v>
      </c>
      <c r="C6" s="45">
        <f>'근거_전신마취환자수'!C42</f>
        <v/>
      </c>
      <c r="D6" s="297">
        <f>IFERROR(C6/A6,"")</f>
        <v/>
      </c>
      <c r="E6" s="229">
        <f>'근거_Ramosetron 시장 수량'!C27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'근거_전신마취환자수'!D17</f>
        <v/>
      </c>
      <c r="B7" s="219" t="n">
        <v>2012</v>
      </c>
      <c r="C7" s="45">
        <f>'근거_전신마취환자수'!D42</f>
        <v/>
      </c>
      <c r="D7" s="297">
        <f>IFERROR(C7/A7,"")</f>
        <v/>
      </c>
      <c r="E7" s="229">
        <f>'근거_Ramosetron 시장 수량'!D27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'근거_전신마취환자수'!E17</f>
        <v/>
      </c>
      <c r="B8" s="219" t="n">
        <v>2013</v>
      </c>
      <c r="C8" s="45">
        <f>'근거_전신마취환자수'!E42</f>
        <v/>
      </c>
      <c r="D8" s="297">
        <f>IFERROR(C8/A8,"")</f>
        <v/>
      </c>
      <c r="E8" s="229">
        <f>'근거_Ramosetron 시장 수량'!E27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'근거_전신마취환자수'!F17</f>
        <v/>
      </c>
      <c r="B9" s="219" t="n">
        <v>2014</v>
      </c>
      <c r="C9" s="45">
        <f>'근거_전신마취환자수'!F42</f>
        <v/>
      </c>
      <c r="D9" s="297">
        <f>IFERROR(C9/A9,"")</f>
        <v/>
      </c>
      <c r="E9" s="229">
        <f>'근거_Ramosetron 시장 수량'!F27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'근거_전신마취환자수'!G17</f>
        <v/>
      </c>
      <c r="B10" s="219" t="n">
        <v>2015</v>
      </c>
      <c r="C10" s="45">
        <f>'근거_전신마취환자수'!G42</f>
        <v/>
      </c>
      <c r="D10" s="297">
        <f>IFERROR(C10/A10,"")</f>
        <v/>
      </c>
      <c r="E10" s="229">
        <f>'근거_Ramosetron 시장 수량'!G27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'근거_전신마취환자수'!H17</f>
        <v/>
      </c>
      <c r="B11" s="219" t="n">
        <v>2016</v>
      </c>
      <c r="C11" s="45">
        <f>'근거_전신마취환자수'!H42</f>
        <v/>
      </c>
      <c r="D11" s="297">
        <f>IFERROR(C11/A11,"")</f>
        <v/>
      </c>
      <c r="E11" s="229">
        <f>'근거_Ramosetron 시장 수량'!H27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'근거_전신마취환자수'!I17</f>
        <v/>
      </c>
      <c r="B12" s="219" t="n">
        <v>2017</v>
      </c>
      <c r="C12" s="45">
        <f>'근거_전신마취환자수'!I42</f>
        <v/>
      </c>
      <c r="D12" s="297">
        <f>IFERROR(C12/A12,"")</f>
        <v/>
      </c>
      <c r="E12" s="229">
        <f>'근거_Ramosetron 시장 수량'!I27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'근거_전신마취환자수'!J17</f>
        <v/>
      </c>
      <c r="B13" s="219" t="n">
        <v>2018</v>
      </c>
      <c r="C13" s="45">
        <f>'근거_전신마취환자수'!J42</f>
        <v/>
      </c>
      <c r="D13" s="297">
        <f>IFERROR(C13/A13,"")</f>
        <v/>
      </c>
      <c r="E13" s="229">
        <f>'근거_Ramosetron 시장 수량'!J27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'근거_전신마취환자수'!K17</f>
        <v/>
      </c>
      <c r="B14" s="219" t="n">
        <v>2019</v>
      </c>
      <c r="C14" s="45">
        <f>'근거_전신마취환자수'!K42</f>
        <v/>
      </c>
      <c r="D14" s="297">
        <f>IFERROR(C14/A14,"")</f>
        <v/>
      </c>
      <c r="E14" s="229">
        <f>'근거_Ramosetron 시장 수량'!K27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'근거_전신마취환자수'!L17</f>
        <v/>
      </c>
      <c r="B15" s="219" t="n">
        <v>2020</v>
      </c>
      <c r="C15" s="45">
        <f>'근거_전신마취환자수'!L42</f>
        <v/>
      </c>
      <c r="D15" s="297">
        <f>IFERROR(C15/A15,"")</f>
        <v/>
      </c>
      <c r="E15" s="229">
        <f>'근거_Ramosetron 시장 수량'!L27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'근거_전신마취환자수'!M17</f>
        <v/>
      </c>
      <c r="B16" s="219" t="n">
        <v>2021</v>
      </c>
      <c r="C16" s="45">
        <f>'근거_전신마취환자수'!M42</f>
        <v/>
      </c>
      <c r="D16" s="297">
        <f>IFERROR(C16/A16,"")</f>
        <v/>
      </c>
      <c r="E16" s="229">
        <f>'근거_Ramosetron 시장 수량'!M27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'근거_전신마취환자수'!N17</f>
        <v/>
      </c>
      <c r="B17" s="219" t="n">
        <v>2022</v>
      </c>
      <c r="C17" s="45">
        <f>'근거_전신마취환자수'!N42</f>
        <v/>
      </c>
      <c r="D17" s="297">
        <f>IFERROR(C17/A17,"")</f>
        <v/>
      </c>
      <c r="E17" s="229">
        <f>'근거_Ramosetron 시장 수량'!N27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'근거_전신마취환자수'!O17</f>
        <v/>
      </c>
      <c r="B18" s="219" t="n">
        <v>2023</v>
      </c>
      <c r="C18" s="45">
        <f>'근거_전신마취환자수'!O42</f>
        <v/>
      </c>
      <c r="D18" s="297">
        <f>IFERROR(C18/A18,"")</f>
        <v/>
      </c>
      <c r="E18" s="229">
        <f>'근거_Ramosetron 시장 수량'!O27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'근거_전신마취환자수'!P17</f>
        <v/>
      </c>
      <c r="B19" s="219" t="n">
        <v>2024</v>
      </c>
      <c r="C19" s="45">
        <f>'근거_전신마취환자수'!P42</f>
        <v/>
      </c>
      <c r="D19" s="297">
        <f>IFERROR(C19/A19,"")</f>
        <v/>
      </c>
      <c r="E19" s="229">
        <f>'근거_Ramosetron 시장 수량'!P27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'근거_전신마취환자수'!Q17</f>
        <v/>
      </c>
      <c r="B20" s="219" t="n">
        <v>2025</v>
      </c>
      <c r="C20" s="45">
        <f>'근거_전신마취환자수'!Q42</f>
        <v/>
      </c>
      <c r="D20" s="297">
        <f>IFERROR(C20/A20,"")</f>
        <v/>
      </c>
      <c r="E20" s="229">
        <f>'근거_Ramosetron 시장 수량'!Q27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'근거_전신마취환자수'!R17</f>
        <v/>
      </c>
      <c r="B21" s="219" t="n">
        <v>2026</v>
      </c>
      <c r="C21" s="45">
        <f>'근거_전신마취환자수'!R42</f>
        <v/>
      </c>
      <c r="D21" s="297">
        <f>IFERROR(C21/A21,"")</f>
        <v/>
      </c>
      <c r="E21" s="229">
        <f>'근거_Ramosetron 시장 수량'!R27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'근거_전신마취환자수'!S17</f>
        <v/>
      </c>
      <c r="B22" s="219" t="n">
        <v>2027</v>
      </c>
      <c r="C22" s="45">
        <f>'근거_전신마취환자수'!S42</f>
        <v/>
      </c>
      <c r="D22" s="297">
        <f>IFERROR(C22/A22,"")</f>
        <v/>
      </c>
      <c r="E22" s="229">
        <f>'근거_Ramosetron 시장 수량'!S27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'근거_전신마취환자수'!T17</f>
        <v/>
      </c>
      <c r="B23" s="219" t="n">
        <v>2028</v>
      </c>
      <c r="C23" s="45">
        <f>'근거_전신마취환자수'!T42</f>
        <v/>
      </c>
      <c r="D23" s="297">
        <f>IFERROR(C23/A23,"")</f>
        <v/>
      </c>
      <c r="E23" s="229">
        <f>'근거_Ramosetron 시장 수량'!T27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'근거_전신마취환자수'!U17</f>
        <v/>
      </c>
      <c r="B24" s="219" t="n">
        <v>2029</v>
      </c>
      <c r="C24" s="45">
        <f>'근거_전신마취환자수'!U42</f>
        <v/>
      </c>
      <c r="D24" s="297">
        <f>IFERROR(C24/A24,"")</f>
        <v/>
      </c>
      <c r="E24" s="229">
        <f>'근거_Ramosetron 시장 수량'!U27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'근거_전신마취환자수'!V17</f>
        <v/>
      </c>
      <c r="B25" s="219" t="n">
        <v>2030</v>
      </c>
      <c r="C25" s="45">
        <f>'근거_전신마취환자수'!V42</f>
        <v/>
      </c>
      <c r="D25" s="297">
        <f>IFERROR(C25/A25,"")</f>
        <v/>
      </c>
      <c r="E25" s="229">
        <f>'근거_Ramosetron 시장 수량'!V27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6"/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1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1"/>
    <row r="2">
      <c r="A2" s="267" t="inlineStr">
        <is>
          <t>NSA SAP매출 연간 예측 모델  —  고정비율 기반  (SAP 수량 = IQVIA ÷ k)</t>
        </is>
      </c>
    </row>
    <row r="3"/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s="219" t="inlineStr">
        <is>
          <t>고정비율 k  (IQVIA/SAP)</t>
        </is>
      </c>
      <c r="B6" s="314">
        <f>AVERAGE(D14:D19)</f>
        <v/>
      </c>
      <c r="C6" s="219" t="inlineStr">
        <is>
          <t xml:space="preserve"> FY2020~FY2025 평균 IQVIA/SAP 비율  ← 산출 자동</t>
        </is>
      </c>
    </row>
    <row r="7">
      <c r="A7" s="219" t="inlineStr">
        <is>
          <t>예측 공식</t>
        </is>
      </c>
      <c r="B7" s="219" t="inlineStr">
        <is>
          <t>SAP 매출 예측 수량  =  FY2026 IQVIA 예측수량  ÷  k</t>
        </is>
      </c>
    </row>
    <row r="8">
      <c r="A8" s="219" t="inlineStr">
        <is>
          <t>검증 MAPE</t>
        </is>
      </c>
      <c r="B8" s="219">
        <f>TEXT(AVERAGE(ABS(G17),ABS(G18),ABS(G19)),"0.00%")&amp;"  (FY2023~FY2025 평균 절대오차)"</f>
        <v/>
      </c>
    </row>
    <row r="9"/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s="219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82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s="219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82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s="219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82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s="219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82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s="219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82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s="219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82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s="219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82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s="2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82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83">
        <f>AVERAGE(G14:G19)</f>
        <v/>
      </c>
    </row>
    <row r="21"/>
    <row r="22">
      <c r="A22" s="287" t="inlineStr">
        <is>
          <t>③ FY2026 연간 예측  —  유일한 수동 입력: IQVIA 예측 수량</t>
        </is>
      </c>
    </row>
    <row r="23">
      <c r="A23" s="219" t="inlineStr">
        <is>
          <t>FY2026 IQVIA 예측수량 (A)</t>
        </is>
      </c>
      <c r="B23" s="318">
        <f>'근거_NSA수량(IQVIA기준)'!J27</f>
        <v/>
      </c>
      <c r="C23" s="219" t="inlineStr">
        <is>
          <t>← 유일한 수동 입력 (현재 바텀업 모델 FY2026 수량 연동; 독립 대조 시 값으로 덮어쓰기)</t>
        </is>
      </c>
    </row>
    <row r="24">
      <c r="A24" s="219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s="219" t="inlineStr">
        <is>
          <t>예측 성장률 (YoY)</t>
        </is>
      </c>
      <c r="B26" s="289">
        <f>B25/C19-1</f>
        <v/>
      </c>
    </row>
    <row r="27"/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 s="219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 s="219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s="219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s="219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s="219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 s="219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 s="219">
        <f>"낙관: IQVIA "&amp;TEXT(B36,"+0.0%;-0.0%")</f>
        <v/>
      </c>
    </row>
    <row r="37"/>
    <row r="38">
      <c r="A38" s="287" t="inlineStr">
        <is>
          <t>⑤ 모니터링 기준</t>
        </is>
      </c>
    </row>
    <row r="39">
      <c r="A39" s="219" t="inlineStr">
        <is>
          <t>고정비율 k 업데이트</t>
        </is>
      </c>
      <c r="B39" s="219" t="inlineStr">
        <is>
          <t>매 FY 종료 후 → 실적 추가하여 평균 재산출</t>
        </is>
      </c>
    </row>
    <row r="40">
      <c r="A40" s="219" t="inlineStr">
        <is>
          <t>비율 이상치 기준</t>
        </is>
      </c>
      <c r="B40" s="219" t="inlineStr">
        <is>
          <t>IQVIA/SAP 비율이 k ± 0.05 초과 시 → 원인 파악 필요 (재고·입찰 시점)</t>
        </is>
      </c>
    </row>
    <row r="41">
      <c r="A41" s="219" t="inlineStr">
        <is>
          <t>검증 MAPE</t>
        </is>
      </c>
      <c r="B41" s="219" t="inlineStr">
        <is>
          <t>FY2023~FY2025 기준 평균 절대오차 (B8 참조)</t>
        </is>
      </c>
    </row>
    <row r="42">
      <c r="A42" s="219" t="inlineStr">
        <is>
          <t>Rolling 갱신</t>
        </is>
      </c>
      <c r="B42" s="219" t="inlineStr">
        <is>
          <t>분기 실적 확정 시 원자료_분기실측 갱신 → 자동 재계산</t>
        </is>
      </c>
    </row>
    <row r="43"/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Q36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1"/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4"/>
    <row r="5">
      <c r="A5" s="287" t="inlineStr">
        <is>
          <t>■ 파라미터</t>
        </is>
      </c>
    </row>
    <row r="6">
      <c r="A6" s="219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s="219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s="219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s="21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s="219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s="219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2"/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s="219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수량'!V51,"")</f>
        <v/>
      </c>
      <c r="F15" s="384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84">
        <f>IFERROR(IF(OR(G15="",H15=""),"",G15/H15-1),"")</f>
        <v/>
      </c>
      <c r="J15" s="219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84">
        <f>IFERROR(IF(OR(K15="",L15=""),"",K15/L15-1),"")</f>
        <v/>
      </c>
      <c r="N15" s="219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84">
        <f>IFERROR(IF(OR(O15="",P15=""),"",O15/P15-1),"")</f>
        <v/>
      </c>
    </row>
    <row r="16">
      <c r="A16" s="219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수량'!W51,"")</f>
        <v/>
      </c>
      <c r="F16" s="384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84">
        <f>IFERROR(IF(OR(G16="",H16=""),"",G16/H16-1),"")</f>
        <v/>
      </c>
      <c r="J16" s="219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84">
        <f>IFERROR(IF(OR(K16="",L16=""),"",K16/L16-1),"")</f>
        <v/>
      </c>
      <c r="N16" s="219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84">
        <f>IFERROR(IF(OR(O16="",P16=""),"",O16/P16-1),"")</f>
        <v/>
      </c>
    </row>
    <row r="17">
      <c r="A17" s="219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수량'!X51,"")</f>
        <v/>
      </c>
      <c r="F17" s="384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84">
        <f>IFERROR(IF(OR(G17="",H17=""),"",G17/H17-1),"")</f>
        <v/>
      </c>
      <c r="J17" s="219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84">
        <f>IFERROR(IF(OR(K17="",L17=""),"",K17/L17-1),"")</f>
        <v/>
      </c>
      <c r="N17" s="219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84">
        <f>IFERROR(IF(OR(O17="",P17=""),"",O17/P17-1),"")</f>
        <v/>
      </c>
    </row>
    <row r="18">
      <c r="A18" s="219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수량'!Y51,"")</f>
        <v/>
      </c>
      <c r="F18" s="384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84">
        <f>IFERROR(IF(OR(G18="",H18=""),"",G18/H18-1),"")</f>
        <v/>
      </c>
      <c r="J18" s="219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84">
        <f>IFERROR(IF(OR(K18="",L18=""),"",K18/L18-1),"")</f>
        <v/>
      </c>
      <c r="N18" s="219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84">
        <f>IFERROR(IF(OR(O18="",P18=""),"",O18/P18-1),"")</f>
        <v/>
      </c>
    </row>
    <row r="19">
      <c r="A19" s="2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수량'!Z51,"")</f>
        <v/>
      </c>
      <c r="F19" s="384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84">
        <f>IFERROR(IF(OR(G19="",H19=""),"",G19/H19-1),"")</f>
        <v/>
      </c>
      <c r="J19" s="2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84">
        <f>IFERROR(IF(OR(K19="",L19=""),"",K19/L19-1),"")</f>
        <v/>
      </c>
      <c r="N19" s="2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84">
        <f>IFERROR(IF(OR(O19="",P19=""),"",O19/P19-1),"")</f>
        <v/>
      </c>
    </row>
    <row r="20">
      <c r="A20" s="219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수량'!AA51,"")</f>
        <v/>
      </c>
      <c r="F20" s="384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84">
        <f>IFERROR(IF(OR(G20="",H20=""),"",G20/H20-1),"")</f>
        <v/>
      </c>
      <c r="J20" s="219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84">
        <f>IFERROR(IF(OR(K20="",L20=""),"",K20/L20-1),"")</f>
        <v/>
      </c>
      <c r="N20" s="219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84">
        <f>IFERROR(IF(OR(O20="",P20=""),"",O20/P20-1),"")</f>
        <v/>
      </c>
    </row>
    <row r="21">
      <c r="A21" s="219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수량'!AB51,"")</f>
        <v/>
      </c>
      <c r="F21" s="384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84">
        <f>IFERROR(IF(OR(G21="",H21=""),"",G21/H21-1),"")</f>
        <v/>
      </c>
      <c r="J21" s="219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84">
        <f>IFERROR(IF(OR(K21="",L21=""),"",K21/L21-1),"")</f>
        <v/>
      </c>
      <c r="N21" s="219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84">
        <f>IFERROR(IF(OR(O21="",P21=""),"",O21/P21-1),"")</f>
        <v/>
      </c>
    </row>
    <row r="22">
      <c r="A22" s="219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수량'!AC51,"")</f>
        <v/>
      </c>
      <c r="F22" s="384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84">
        <f>IFERROR(IF(OR(G22="",H22=""),"",G22/H22-1),"")</f>
        <v/>
      </c>
      <c r="J22" s="219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84">
        <f>IFERROR(IF(OR(K22="",L22=""),"",K22/L22-1),"")</f>
        <v/>
      </c>
      <c r="N22" s="219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84">
        <f>IFERROR(IF(OR(O22="",P22=""),"",O22/P22-1),"")</f>
        <v/>
      </c>
    </row>
    <row r="23">
      <c r="A23" s="219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수량'!AD51,"")</f>
        <v/>
      </c>
      <c r="F23" s="384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84">
        <f>IFERROR(IF(OR(G23="",H23=""),"",G23/H23-1),"")</f>
        <v/>
      </c>
      <c r="J23" s="219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84">
        <f>IFERROR(IF(OR(K23="",L23=""),"",K23/L23-1),"")</f>
        <v/>
      </c>
      <c r="N23" s="219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84">
        <f>IFERROR(IF(OR(O23="",P23=""),"",O23/P23-1),"")</f>
        <v/>
      </c>
    </row>
    <row r="24">
      <c r="A24" s="219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수량'!AE51,"")</f>
        <v/>
      </c>
      <c r="F24" s="384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84">
        <f>IFERROR(IF(OR(G24="",H24=""),"",G24/H24-1),"")</f>
        <v/>
      </c>
      <c r="J24" s="219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84">
        <f>IFERROR(IF(OR(K24="",L24=""),"",K24/L24-1),"")</f>
        <v/>
      </c>
      <c r="N24" s="219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84">
        <f>IFERROR(IF(OR(O24="",P24=""),"",O24/P24-1),"")</f>
        <v/>
      </c>
    </row>
    <row r="25">
      <c r="A25" s="219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수량'!AF51,"")</f>
        <v/>
      </c>
      <c r="F25" s="384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84">
        <f>IFERROR(IF(OR(G25="",H25=""),"",G25/H25-1),"")</f>
        <v/>
      </c>
      <c r="J25" s="219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84">
        <f>IFERROR(IF(OR(K25="",L25=""),"",K25/L25-1),"")</f>
        <v/>
      </c>
      <c r="N25" s="219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84">
        <f>IFERROR(IF(OR(O25="",P25=""),"",O25/P25-1),"")</f>
        <v/>
      </c>
    </row>
    <row r="26">
      <c r="A26" s="219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수량'!AG51,"")</f>
        <v/>
      </c>
      <c r="F26" s="384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84">
        <f>IFERROR(IF(OR(G26="",H26=""),"",G26/H26-1),"")</f>
        <v/>
      </c>
      <c r="J26" s="219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84">
        <f>IFERROR(IF(OR(K26="",L26=""),"",K26/L26-1),"")</f>
        <v/>
      </c>
      <c r="N26" s="219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84">
        <f>IFERROR(IF(OR(O26="",P26=""),"",O26/P26-1),"")</f>
        <v/>
      </c>
    </row>
    <row r="27"/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  <row r="32"/>
    <row r="33">
      <c r="A33" s="327" t="inlineStr">
        <is>
          <t>※ 청구 범위 변화 점검 (포괄수가·신포괄수가 확대)</t>
        </is>
      </c>
    </row>
    <row r="34">
      <c r="A34" s="322" t="inlineStr">
        <is>
          <t xml:space="preserve">  · 근거_전신마취환자수의 환자수가 급감하는데 IQVIA Ramosetron 수량은 유지되면 → 실제 시장 축소가 아니라 행위별 청구 범위 변화(신포괄수가 참여기관 확대, 포괄수가 질병군 추가)를 먼저 의심합니다</t>
        </is>
      </c>
    </row>
    <row r="35">
      <c r="A35" s="322" t="inlineStr">
        <is>
          <t xml:space="preserve">  · 이 경우 환자수 시트를 수정하지 말고, 근거_Ramosetron 시장 수량 C(종별 환자당 사용량)를 변화 시점 이후 데이터로 재산정하여 환자수 × 사용량이 IQVIA 수량과 다시 일치하도록 보정합니다</t>
        </is>
      </c>
    </row>
    <row r="36">
      <c r="A36" s="322" t="inlineStr">
        <is>
          <t xml:space="preserve">  · 선례: 2012.7 / 2013.7 포괄수가 의무화로 2013~2014년 환자수 -14% (근거_전신마취환자수 하단 유의사항 ①~⑤)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0"/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5"/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8" t="n"/>
      <c r="C22" s="328" t="n"/>
      <c r="D22" s="328" t="n"/>
      <c r="E22" s="328" t="n"/>
      <c r="F22" s="328" t="n"/>
      <c r="G22" s="328" t="n"/>
      <c r="H22" s="328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8" t="n"/>
      <c r="S22" s="328" t="n"/>
      <c r="T22" s="328" t="n"/>
      <c r="U22" s="328" t="n"/>
      <c r="V22" s="328" t="n"/>
      <c r="W22" s="328" t="n"/>
      <c r="X22" s="328" t="n"/>
      <c r="Y22" s="328" t="n"/>
      <c r="Z22" s="328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7"/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9" t="n"/>
      <c r="C30" s="329" t="n"/>
      <c r="D30" s="329" t="n"/>
      <c r="E30" s="329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9" t="n"/>
      <c r="C31" s="329" t="n"/>
      <c r="D31" s="329" t="n"/>
      <c r="E31" s="329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9" t="n"/>
      <c r="C32" s="329" t="n"/>
      <c r="D32" s="329" t="n"/>
      <c r="E32" s="329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30" t="n"/>
      <c r="C33" s="330" t="n"/>
      <c r="D33" s="330" t="n"/>
      <c r="E33" s="330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8" t="n"/>
      <c r="C34" s="328" t="n"/>
      <c r="D34" s="328" t="n"/>
      <c r="E34" s="328" t="n"/>
      <c r="F34" s="328" t="n"/>
      <c r="G34" s="328" t="n"/>
      <c r="H34" s="328" t="n"/>
      <c r="I34" s="328" t="n"/>
      <c r="J34" s="328" t="n"/>
      <c r="K34" s="328" t="n"/>
      <c r="L34" s="328" t="n"/>
      <c r="M34" s="328" t="n"/>
      <c r="N34" s="328" t="n"/>
      <c r="O34" s="328" t="n"/>
      <c r="P34" s="328" t="n"/>
      <c r="Q34" s="328" t="n"/>
      <c r="R34" s="328" t="n"/>
      <c r="S34" s="328" t="n"/>
      <c r="T34" s="328" t="n"/>
      <c r="U34" s="328" t="n"/>
      <c r="V34" s="328" t="n"/>
      <c r="W34" s="328" t="n"/>
      <c r="X34" s="328" t="n"/>
      <c r="Y34" s="328" t="n"/>
      <c r="Z34" s="328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9" t="n"/>
      <c r="C36" s="329" t="n"/>
      <c r="D36" s="329" t="n"/>
      <c r="E36" s="329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9" t="n"/>
      <c r="C37" s="329" t="n"/>
      <c r="D37" s="329" t="n"/>
      <c r="E37" s="329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9" t="n"/>
      <c r="C38" s="329" t="n"/>
      <c r="D38" s="329" t="n"/>
      <c r="E38" s="329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8" t="n"/>
      <c r="C39" s="328" t="n"/>
      <c r="D39" s="328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1">
        <f>B42/B41</f>
        <v/>
      </c>
      <c r="C43" s="331">
        <f>C42/C41</f>
        <v/>
      </c>
      <c r="D43" s="331">
        <f>D42/D41</f>
        <v/>
      </c>
      <c r="E43" s="331">
        <f>E42/E41</f>
        <v/>
      </c>
      <c r="F43" s="331">
        <f>F42/F41</f>
        <v/>
      </c>
      <c r="G43" s="331">
        <f>G42/G41</f>
        <v/>
      </c>
      <c r="H43" s="331">
        <f>H42/H41</f>
        <v/>
      </c>
      <c r="I43" s="331">
        <f>I42/I41</f>
        <v/>
      </c>
      <c r="J43" s="331">
        <f>J42/J41</f>
        <v/>
      </c>
      <c r="K43" s="331">
        <f>K42/K41</f>
        <v/>
      </c>
      <c r="L43" s="331">
        <f>L42/L41</f>
        <v/>
      </c>
      <c r="M43" s="331">
        <f>M42/M41</f>
        <v/>
      </c>
      <c r="N43" s="331">
        <f>N42/N41</f>
        <v/>
      </c>
      <c r="O43" s="331">
        <f>O42/O41</f>
        <v/>
      </c>
      <c r="P43" s="331">
        <f>P42/P41</f>
        <v/>
      </c>
      <c r="Q43" s="331">
        <f>Q42/Q41</f>
        <v/>
      </c>
      <c r="R43" s="331">
        <f>R42/R41</f>
        <v/>
      </c>
      <c r="S43" s="331">
        <f>S42/S41</f>
        <v/>
      </c>
      <c r="T43" s="331">
        <f>T42/T41</f>
        <v/>
      </c>
      <c r="U43" s="331">
        <f>U42/U41</f>
        <v/>
      </c>
      <c r="V43" s="331">
        <f>V42/V41</f>
        <v/>
      </c>
      <c r="W43" s="331">
        <f>W42/W41</f>
        <v/>
      </c>
      <c r="X43" s="331">
        <f>X42/X41</f>
        <v/>
      </c>
      <c r="Y43" s="331">
        <f>Y42/Y41</f>
        <v/>
      </c>
      <c r="Z43" s="331">
        <f>Z42/Z41</f>
        <v/>
      </c>
      <c r="AA43" s="331">
        <f>AA42/AA41</f>
        <v/>
      </c>
      <c r="AC43" s="331">
        <f>AC42/AC41</f>
        <v/>
      </c>
    </row>
    <row r="44"/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0"/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2">
        <f>IFERROR(B$41*B23/B5,"")</f>
        <v/>
      </c>
      <c r="C52" s="332">
        <f>IFERROR(C$41*C23/C5,"")</f>
        <v/>
      </c>
      <c r="D52" s="332">
        <f>IFERROR(D$41*D23/D5,"")</f>
        <v/>
      </c>
      <c r="E52" s="332">
        <f>IFERROR(E$41*E23/E5,"")</f>
        <v/>
      </c>
      <c r="F52" s="332">
        <f>IFERROR(F$41*F23/F5,"")</f>
        <v/>
      </c>
      <c r="G52" s="332">
        <f>IFERROR(G$41*G23/G5,"")</f>
        <v/>
      </c>
      <c r="H52" s="332">
        <f>IFERROR(H$41*H23/H5,"")</f>
        <v/>
      </c>
      <c r="I52" s="332">
        <f>IFERROR(I$41*I23/I5,"")</f>
        <v/>
      </c>
      <c r="J52" s="332">
        <f>IFERROR(J$41*J23/J5,"")</f>
        <v/>
      </c>
      <c r="K52" s="332">
        <f>IFERROR(K$41*K23/K5,"")</f>
        <v/>
      </c>
      <c r="L52" s="332">
        <f>IFERROR(L$41*L23/L5,"")</f>
        <v/>
      </c>
      <c r="M52" s="332">
        <f>IFERROR(M$41*M23/M5,"")</f>
        <v/>
      </c>
      <c r="N52" s="332">
        <f>IFERROR(N$41*N23/N5,"")</f>
        <v/>
      </c>
      <c r="O52" s="332">
        <f>IFERROR(O$41*O23/O5,"")</f>
        <v/>
      </c>
      <c r="P52" s="332">
        <f>IFERROR(P$41*P23/P5,"")</f>
        <v/>
      </c>
      <c r="Q52" s="332">
        <f>IFERROR(Q$41*Q23/Q5,"")</f>
        <v/>
      </c>
      <c r="R52" s="332">
        <f>IFERROR(R$41*R23/R5,"")</f>
        <v/>
      </c>
      <c r="S52" s="332">
        <f>IFERROR(S$41*S23/S5,"")</f>
        <v/>
      </c>
      <c r="T52" s="332">
        <f>IFERROR(T$41*T23/T5,"")</f>
        <v/>
      </c>
      <c r="U52" s="332">
        <f>IFERROR(U$41*U23/U5,"")</f>
        <v/>
      </c>
      <c r="V52" s="332">
        <f>IFERROR(V$41*V23/V5,"")</f>
        <v/>
      </c>
      <c r="W52" s="332">
        <f>IFERROR(W$41*W23/W5,"")</f>
        <v/>
      </c>
      <c r="X52" s="332">
        <f>IFERROR(X$41*X23/X5,"")</f>
        <v/>
      </c>
      <c r="Y52" s="332">
        <f>IFERROR(Y$41*Y23/Y5,"")</f>
        <v/>
      </c>
      <c r="Z52" s="332">
        <f>IFERROR(Z$41*Z23/Z5,"")</f>
        <v/>
      </c>
      <c r="AA52" s="332">
        <f>IFERROR(AA$41*AA23/AA5,"")</f>
        <v/>
      </c>
      <c r="AB52" s="332" t="n"/>
    </row>
    <row r="53">
      <c r="A53" s="219" t="inlineStr">
        <is>
          <t>종합병원</t>
        </is>
      </c>
      <c r="B53" s="332">
        <f>IFERROR(B$41*B24/B6,"")</f>
        <v/>
      </c>
      <c r="C53" s="332">
        <f>IFERROR(C$41*C24/C6,"")</f>
        <v/>
      </c>
      <c r="D53" s="332">
        <f>IFERROR(D$41*D24/D6,"")</f>
        <v/>
      </c>
      <c r="E53" s="332">
        <f>IFERROR(E$41*E24/E6,"")</f>
        <v/>
      </c>
      <c r="F53" s="332">
        <f>IFERROR(F$41*F24/F6,"")</f>
        <v/>
      </c>
      <c r="G53" s="332">
        <f>IFERROR(G$41*G24/G6,"")</f>
        <v/>
      </c>
      <c r="H53" s="332">
        <f>IFERROR(H$41*H24/H6,"")</f>
        <v/>
      </c>
      <c r="I53" s="332">
        <f>IFERROR(I$41*I24/I6,"")</f>
        <v/>
      </c>
      <c r="J53" s="332">
        <f>IFERROR(J$41*J24/J6,"")</f>
        <v/>
      </c>
      <c r="K53" s="332">
        <f>IFERROR(K$41*K24/K6,"")</f>
        <v/>
      </c>
      <c r="L53" s="332">
        <f>IFERROR(L$41*L24/L6,"")</f>
        <v/>
      </c>
      <c r="M53" s="332">
        <f>IFERROR(M$41*M24/M6,"")</f>
        <v/>
      </c>
      <c r="N53" s="332">
        <f>IFERROR(N$41*N24/N6,"")</f>
        <v/>
      </c>
      <c r="O53" s="332">
        <f>IFERROR(O$41*O24/O6,"")</f>
        <v/>
      </c>
      <c r="P53" s="332">
        <f>IFERROR(P$41*P24/P6,"")</f>
        <v/>
      </c>
      <c r="Q53" s="332">
        <f>IFERROR(Q$41*Q24/Q6,"")</f>
        <v/>
      </c>
      <c r="R53" s="332">
        <f>IFERROR(R$41*R24/R6,"")</f>
        <v/>
      </c>
      <c r="S53" s="332">
        <f>IFERROR(S$41*S24/S6,"")</f>
        <v/>
      </c>
      <c r="T53" s="332">
        <f>IFERROR(T$41*T24/T6,"")</f>
        <v/>
      </c>
      <c r="U53" s="332">
        <f>IFERROR(U$41*U24/U6,"")</f>
        <v/>
      </c>
      <c r="V53" s="332">
        <f>IFERROR(V$41*V24/V6,"")</f>
        <v/>
      </c>
      <c r="W53" s="332">
        <f>IFERROR(W$41*W24/W6,"")</f>
        <v/>
      </c>
      <c r="X53" s="332">
        <f>IFERROR(X$41*X24/X6,"")</f>
        <v/>
      </c>
      <c r="Y53" s="332">
        <f>IFERROR(Y$41*Y24/Y6,"")</f>
        <v/>
      </c>
      <c r="Z53" s="332">
        <f>IFERROR(Z$41*Z24/Z6,"")</f>
        <v/>
      </c>
      <c r="AA53" s="332">
        <f>IFERROR(AA$41*AA24/AA6,"")</f>
        <v/>
      </c>
      <c r="AB53" s="332" t="n"/>
    </row>
    <row r="54">
      <c r="A54" s="219" t="inlineStr">
        <is>
          <t xml:space="preserve">병원 </t>
        </is>
      </c>
      <c r="B54" s="332">
        <f>IFERROR(B$41*B25/B7,"")</f>
        <v/>
      </c>
      <c r="C54" s="332">
        <f>IFERROR(C$41*C25/C7,"")</f>
        <v/>
      </c>
      <c r="D54" s="332">
        <f>IFERROR(D$41*D25/D7,"")</f>
        <v/>
      </c>
      <c r="E54" s="332">
        <f>IFERROR(E$41*E25/E7,"")</f>
        <v/>
      </c>
      <c r="F54" s="332">
        <f>IFERROR(F$41*F25/F7,"")</f>
        <v/>
      </c>
      <c r="G54" s="332">
        <f>IFERROR(G$41*G25/G7,"")</f>
        <v/>
      </c>
      <c r="H54" s="332">
        <f>IFERROR(H$41*H25/H7,"")</f>
        <v/>
      </c>
      <c r="I54" s="332">
        <f>IFERROR(I$41*I25/I7,"")</f>
        <v/>
      </c>
      <c r="J54" s="332">
        <f>IFERROR(J$41*J25/J7,"")</f>
        <v/>
      </c>
      <c r="K54" s="332">
        <f>IFERROR(K$41*K25/K7,"")</f>
        <v/>
      </c>
      <c r="L54" s="332">
        <f>IFERROR(L$41*L25/L7,"")</f>
        <v/>
      </c>
      <c r="M54" s="332">
        <f>IFERROR(M$41*M25/M7,"")</f>
        <v/>
      </c>
      <c r="N54" s="332">
        <f>IFERROR(N$41*N25/N7,"")</f>
        <v/>
      </c>
      <c r="O54" s="332">
        <f>IFERROR(O$41*O25/O7,"")</f>
        <v/>
      </c>
      <c r="P54" s="332">
        <f>IFERROR(P$41*P25/P7,"")</f>
        <v/>
      </c>
      <c r="Q54" s="332">
        <f>IFERROR(Q$41*Q25/Q7,"")</f>
        <v/>
      </c>
      <c r="R54" s="332">
        <f>IFERROR(R$41*R25/R7,"")</f>
        <v/>
      </c>
      <c r="S54" s="332">
        <f>IFERROR(S$41*S25/S7,"")</f>
        <v/>
      </c>
      <c r="T54" s="332">
        <f>IFERROR(T$41*T25/T7,"")</f>
        <v/>
      </c>
      <c r="U54" s="332">
        <f>IFERROR(U$41*U25/U7,"")</f>
        <v/>
      </c>
      <c r="V54" s="332">
        <f>IFERROR(V$41*V25/V7,"")</f>
        <v/>
      </c>
      <c r="W54" s="332">
        <f>IFERROR(W$41*W25/W7,"")</f>
        <v/>
      </c>
      <c r="X54" s="332">
        <f>IFERROR(X$41*X25/X7,"")</f>
        <v/>
      </c>
      <c r="Y54" s="332">
        <f>IFERROR(Y$41*Y25/Y7,"")</f>
        <v/>
      </c>
      <c r="Z54" s="332">
        <f>IFERROR(Z$41*Z25/Z7,"")</f>
        <v/>
      </c>
      <c r="AA54" s="332">
        <f>IFERROR(AA$41*AA25/AA7,"")</f>
        <v/>
      </c>
      <c r="AB54" s="332" t="n"/>
    </row>
    <row r="55">
      <c r="A55" s="219" t="inlineStr">
        <is>
          <t>의원</t>
        </is>
      </c>
      <c r="B55" s="332">
        <f>IFERROR(B$41*B26/B8,"")</f>
        <v/>
      </c>
      <c r="C55" s="332">
        <f>IFERROR(C$41*C26/C8,"")</f>
        <v/>
      </c>
      <c r="D55" s="332">
        <f>IFERROR(D$41*D26/D8,"")</f>
        <v/>
      </c>
      <c r="E55" s="332">
        <f>IFERROR(E$41*E26/E8,"")</f>
        <v/>
      </c>
      <c r="F55" s="332">
        <f>IFERROR(F$41*F26/F8,"")</f>
        <v/>
      </c>
      <c r="G55" s="332">
        <f>IFERROR(G$41*G26/G8,"")</f>
        <v/>
      </c>
      <c r="H55" s="332">
        <f>IFERROR(H$41*H26/H8,"")</f>
        <v/>
      </c>
      <c r="I55" s="332">
        <f>IFERROR(I$41*I26/I8,"")</f>
        <v/>
      </c>
      <c r="J55" s="332">
        <f>IFERROR(J$41*J26/J8,"")</f>
        <v/>
      </c>
      <c r="K55" s="332">
        <f>IFERROR(K$41*K26/K8,"")</f>
        <v/>
      </c>
      <c r="L55" s="332">
        <f>IFERROR(L$41*L26/L8,"")</f>
        <v/>
      </c>
      <c r="M55" s="332">
        <f>IFERROR(M$41*M26/M8,"")</f>
        <v/>
      </c>
      <c r="N55" s="332">
        <f>IFERROR(N$41*N26/N8,"")</f>
        <v/>
      </c>
      <c r="O55" s="332">
        <f>IFERROR(O$41*O26/O8,"")</f>
        <v/>
      </c>
      <c r="P55" s="332">
        <f>IFERROR(P$41*P26/P8,"")</f>
        <v/>
      </c>
      <c r="Q55" s="332">
        <f>IFERROR(Q$41*Q26/Q8,"")</f>
        <v/>
      </c>
      <c r="R55" s="332">
        <f>IFERROR(R$41*R26/R8,"")</f>
        <v/>
      </c>
      <c r="S55" s="332">
        <f>IFERROR(S$41*S26/S8,"")</f>
        <v/>
      </c>
      <c r="T55" s="332">
        <f>IFERROR(T$41*T26/T8,"")</f>
        <v/>
      </c>
      <c r="U55" s="332">
        <f>IFERROR(U$41*U26/U8,"")</f>
        <v/>
      </c>
      <c r="V55" s="332">
        <f>IFERROR(V$41*V26/V8,"")</f>
        <v/>
      </c>
      <c r="W55" s="332">
        <f>IFERROR(W$41*W26/W8,"")</f>
        <v/>
      </c>
      <c r="X55" s="332">
        <f>IFERROR(X$41*X26/X8,"")</f>
        <v/>
      </c>
      <c r="Y55" s="332">
        <f>IFERROR(Y$41*Y26/Y8,"")</f>
        <v/>
      </c>
      <c r="Z55" s="332">
        <f>IFERROR(Z$41*Z26/Z8,"")</f>
        <v/>
      </c>
      <c r="AA55" s="332">
        <f>IFERROR(AA$41*AA26/AA8,"")</f>
        <v/>
      </c>
      <c r="AB55" s="332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2026-09-15T13:29:20Z</dcterms:modified>
  <cp:lastModifiedBy>Eun-Woo Kim | 김은우</cp:lastModifiedBy>
  <cp:revision>0</cp:revision>
  <cp:lastPrinted>2026-07-22T06:37:31Z</cp:lastPrinted>
</cp:coreProperties>
</file>