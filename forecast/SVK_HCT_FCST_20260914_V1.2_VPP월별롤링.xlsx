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6" activeTab="0" autoFilterDateGrouping="1"/>
  </bookViews>
  <sheets>
    <sheet name="표지" sheetId="1" state="visible" r:id="rId1"/>
    <sheet name="FCST RESULT" sheetId="2" state="visible" r:id="rId2"/>
    <sheet name="변동요인분석" sheetId="3" state="visible" r:id="rId3"/>
    <sheet name="FCST FLOW" sheetId="4" state="visible" r:id="rId4"/>
    <sheet name="근거_유병환자수" sheetId="5" state="visible" r:id="rId5"/>
    <sheet name="근거_의료이용환자수" sheetId="6" state="visible" r:id="rId6"/>
    <sheet name="근거_고혈압치료환자수" sheetId="7" state="visible" r:id="rId7"/>
    <sheet name="근거_ARB처방환자수" sheetId="8" state="visible" r:id="rId8"/>
    <sheet name="근거_ARB처방량" sheetId="9" state="visible" r:id="rId9"/>
    <sheet name="근거_ARB+CCB+DU복합제처방량" sheetId="10" state="visible" r:id="rId10"/>
    <sheet name="근거_SVK HCT처방량" sheetId="11" state="visible" r:id="rId11"/>
    <sheet name="SVK HCT_MS_예측" sheetId="12" state="hidden" r:id="rId12"/>
    <sheet name="근거_매출" sheetId="13" state="visible" r:id="rId13"/>
    <sheet name="근거_제네릭벤치마크" sheetId="14" state="visible" r:id="rId14"/>
    <sheet name="근거_민감도" sheetId="15" state="visible" r:id="rId15"/>
    <sheet name="CALC" sheetId="16" state="visible" r:id="rId16"/>
    <sheet name="원본_SVK_연간예측" sheetId="17" state="visible" r:id="rId17"/>
    <sheet name="원본_월별" sheetId="18" state="visible" r:id="rId18"/>
    <sheet name="모니터링_월별" sheetId="19" state="visible" r:id="rId19"/>
    <sheet name="원본_RAW" sheetId="20" state="visible" r:id="rId20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26">
    <numFmt numFmtId="164" formatCode="#,##0.0"/>
    <numFmt numFmtId="165" formatCode="0.0%"/>
    <numFmt numFmtId="166" formatCode="0.00000"/>
    <numFmt numFmtId="167" formatCode="0.0000"/>
    <numFmt numFmtId="168" formatCode="0.000"/>
    <numFmt numFmtId="169" formatCode="_-* #,##0_-;\-* #,##0_-;_-* \-_-;_-@_-"/>
    <numFmt numFmtId="170" formatCode="#,##0&quot;원&quot;"/>
    <numFmt numFmtId="171" formatCode="\+0.0%;\-0.0%"/>
    <numFmt numFmtId="172" formatCode="_-* #,##0.000_-;\-* #,##0.000_-;_-* \-??_-;_-@_-"/>
    <numFmt numFmtId="173" formatCode="_-* #,##0.00000000_-;\-* #,##0.00000000_-;_-* \-??_-;_-@_-"/>
    <numFmt numFmtId="174" formatCode="0.00000000"/>
    <numFmt numFmtId="175" formatCode="_-* #,##0.000_-;\-* #,##0.000_-;_-* \-_-;_-@_-"/>
    <numFmt numFmtId="176" formatCode="_-* #,##0_-;\-* #,##0_-;_-* &quot;-&quot;_-;_-@_-"/>
    <numFmt numFmtId="177" formatCode="_-* #,##0.0_-;\-* #,##0.0_-;_-* &quot;-&quot;_-;_-@_-"/>
    <numFmt numFmtId="178" formatCode="0.00_ "/>
    <numFmt numFmtId="179" formatCode="0.0"/>
    <numFmt numFmtId="180" formatCode="0.0_ "/>
    <numFmt numFmtId="181" formatCode="#,##0_ "/>
    <numFmt numFmtId="182" formatCode="0_ "/>
    <numFmt numFmtId="183" formatCode="0.000000"/>
    <numFmt numFmtId="184" formatCode="_-* #,##0.000000_-;\-* #,##0.000000_-;_-* &quot;-&quot;??????_-;_-@_-"/>
    <numFmt numFmtId="185" formatCode="_(* #,##0_);_(* \(#,##0\);_(* \-_);_(@_)"/>
    <numFmt numFmtId="186" formatCode="\+0.0%;\-0.0%;0.0%"/>
    <numFmt numFmtId="187" formatCode="+0.0000;-0.0000"/>
    <numFmt numFmtId="188" formatCode="+0.000%;-0.000%"/>
    <numFmt numFmtId="189" formatCode="+0.0%;-0.0%"/>
  </numFmts>
  <fonts count="149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Noto Sans CJK SC"/>
      <family val="2"/>
      <b val="1"/>
      <color rgb="FFFFFFFF"/>
      <sz val="12"/>
    </font>
    <font>
      <name val="Noto Sans CJK SC"/>
      <charset val="1"/>
      <family val="2"/>
      <b val="1"/>
      <color rgb="FF1F3864"/>
      <sz val="14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맑은 고딕"/>
      <charset val="129"/>
      <family val="3"/>
      <b val="1"/>
      <color theme="1"/>
      <sz val="13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Noto Sans CJK SC"/>
      <family val="2"/>
      <color rgb="FF808080"/>
      <sz val="10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3"/>
      <b val="1"/>
      <color theme="1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color rgb="FF787878"/>
      <sz val="9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color rgb="FF0000FF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color theme="1"/>
      <sz val="14"/>
    </font>
    <font>
      <name val="Noto Sans CJK SC"/>
      <family val="2"/>
      <b val="1"/>
      <color theme="1"/>
      <sz val="14"/>
    </font>
    <font>
      <name val="맑은 고딕"/>
      <charset val="129"/>
      <family val="3"/>
      <i val="1"/>
      <color rgb="FF787878"/>
      <sz val="11"/>
    </font>
    <font>
      <name val="맑은 고딕"/>
      <charset val="129"/>
      <family val="3"/>
      <color theme="1"/>
      <sz val="9"/>
    </font>
    <font>
      <name val="Noto Sans CJK SC"/>
      <charset val="1"/>
      <family val="2"/>
      <color theme="1"/>
      <sz val="9"/>
    </font>
    <font>
      <name val="맑은 고딕"/>
      <charset val="129"/>
      <family val="3"/>
      <b val="1"/>
      <sz val="10"/>
    </font>
    <font>
      <name val="Noto Sans CJK SC"/>
      <family val="2"/>
      <b val="1"/>
      <color rgb="FFFFFFFF"/>
      <sz val="11"/>
    </font>
    <font>
      <name val="맑은 고딕"/>
      <charset val="129"/>
      <family val="2"/>
      <color theme="1"/>
      <sz val="9"/>
    </font>
    <font>
      <name val="맑은 고딕"/>
      <charset val="129"/>
      <family val="3"/>
      <b val="1"/>
      <sz val="14"/>
    </font>
    <font>
      <name val="맑은 고딕"/>
      <charset val="129"/>
      <family val="3"/>
      <sz val="9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rgb="FFFF0000"/>
      <sz val="11"/>
    </font>
    <font>
      <name val="Cambria"/>
      <family val="1"/>
      <i val="1"/>
      <sz val="9"/>
    </font>
    <font>
      <name val="Noto Sans CJK SC"/>
      <family val="2"/>
      <i val="1"/>
      <sz val="9"/>
    </font>
    <font>
      <name val="Noto Sans CJK SC"/>
      <family val="2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2"/>
      <color rgb="FF535353"/>
      <sz val="9"/>
    </font>
    <font>
      <name val="맑은 고딕"/>
      <charset val="129"/>
      <family val="2"/>
      <color theme="0" tint="-0.499984740745262"/>
      <sz val="10"/>
    </font>
    <font>
      <name val="Noto Sans CJK SC"/>
      <family val="2"/>
      <color theme="0" tint="-0.499984740745262"/>
      <sz val="10"/>
    </font>
    <font>
      <name val="맑은 고딕"/>
      <charset val="129"/>
      <family val="2"/>
      <sz val="11"/>
    </font>
    <font>
      <name val="맑은 고딕"/>
      <charset val="129"/>
      <family val="2"/>
      <color rgb="FF000000"/>
      <sz val="11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b val="1"/>
      <color theme="1"/>
      <sz val="11"/>
    </font>
    <font>
      <name val="Noto Sans CJK SC"/>
      <charset val="129"/>
      <family val="3"/>
      <b val="1"/>
      <color theme="1"/>
      <sz val="11"/>
    </font>
    <font>
      <name val="Arial"/>
      <family val="2"/>
      <color theme="0" tint="-0.499984740745262"/>
      <sz val="10"/>
    </font>
    <font>
      <name val="맑은 고딕"/>
      <charset val="129"/>
      <family val="2"/>
      <color theme="0" tint="-0.49998474074526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color rgb="FF0070C0"/>
      <sz val="11"/>
    </font>
    <font>
      <name val="Cambria"/>
      <family val="1"/>
      <color rgb="FF0070C0"/>
      <sz val="11"/>
    </font>
    <font>
      <name val="Cambria"/>
      <family val="1"/>
      <color rgb="FF00B050"/>
      <sz val="11"/>
    </font>
    <font>
      <name val="Noto Sans CJK SC"/>
      <family val="2"/>
      <color rgb="FF00B050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10"/>
      <vertAlign val="superscript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0"/>
    </font>
    <font>
      <name val="Arial"/>
      <family val="2"/>
      <b val="1"/>
      <sz val="10"/>
    </font>
    <font>
      <name val="맑은 고딕"/>
      <charset val="129"/>
      <family val="3"/>
      <sz val="10"/>
      <vertAlign val="superscript"/>
    </font>
    <font>
      <name val="맑은 고딕"/>
      <charset val="129"/>
      <family val="3"/>
      <color rgb="FFC00000"/>
      <sz val="9"/>
    </font>
    <font>
      <name val="맑은 고딕"/>
      <family val="2"/>
      <color theme="1" tint="0.499984740745262"/>
      <sz val="10"/>
      <scheme val="minor"/>
    </font>
    <font>
      <name val="Arial"/>
      <family val="2"/>
      <b val="1"/>
      <color theme="1"/>
      <sz val="14"/>
    </font>
    <font>
      <name val="Noto Sans CJK SC"/>
      <charset val="129"/>
      <family val="3"/>
      <b val="1"/>
      <color theme="1"/>
      <sz val="14"/>
    </font>
    <font>
      <name val="Arial"/>
      <family val="2"/>
      <b val="1"/>
      <color rgb="FFFF0000"/>
      <sz val="10"/>
    </font>
    <font>
      <name val="Segoe UI Symbol"/>
      <family val="1"/>
      <b val="1"/>
      <color theme="1"/>
      <sz val="11"/>
    </font>
    <font>
      <name val="맑은 고딕"/>
      <charset val="129"/>
      <family val="3"/>
      <color rgb="FF808080"/>
      <sz val="9"/>
      <scheme val="minor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theme="0" tint="-0.499984740745262"/>
      <sz val="10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3"/>
      <sz val="8"/>
    </font>
    <font>
      <name val="맑은 고딕"/>
      <charset val="129"/>
      <family val="3"/>
      <b val="1"/>
      <sz val="9"/>
    </font>
    <font>
      <name val="맑은 고딕"/>
      <charset val="129"/>
      <family val="2"/>
      <b val="1"/>
      <sz val="14"/>
    </font>
    <font>
      <name val="맑은 고딕"/>
      <charset val="129"/>
      <family val="3"/>
      <color theme="0" tint="-0.499984740745262"/>
      <sz val="11"/>
    </font>
    <font>
      <name val="맑은 고딕"/>
      <charset val="129"/>
      <family val="2"/>
      <color rgb="FF0000FF"/>
      <sz val="10"/>
    </font>
    <font>
      <name val="Arial"/>
      <family val="2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2"/>
      <b val="1"/>
      <sz val="11"/>
    </font>
    <font>
      <name val="Noto Sans CJK SC"/>
      <family val="2"/>
      <sz val="9"/>
    </font>
    <font>
      <name val="Noto Sans CJK SC"/>
      <family val="2"/>
      <b val="1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FF0000"/>
      <sz val="10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1F3864"/>
      <sz val="26"/>
    </font>
    <font>
      <name val="맑은 고딕"/>
      <b val="1"/>
      <color rgb="001F3864"/>
      <sz val="20"/>
    </font>
    <font>
      <name val="맑은 고딕"/>
      <color rgb="00808080"/>
      <sz val="12"/>
    </font>
    <font>
      <name val="맑은 고딕"/>
      <b val="1"/>
      <color rgb="00FFFFFF"/>
      <sz val="11"/>
    </font>
    <font>
      <name val="맑은 고딕"/>
      <color rgb="001F4E78"/>
      <sz val="11"/>
    </font>
    <font>
      <name val="맑은 고딕"/>
      <color rgb="00005BAA"/>
      <u val="single"/>
    </font>
    <font>
      <name val="맑은 고딕"/>
      <color rgb="00808080"/>
      <sz val="10"/>
    </font>
    <font>
      <name val="맑은 고딕"/>
      <b val="1"/>
      <color rgb="001F3864"/>
      <sz val="16"/>
    </font>
    <font>
      <name val="맑은 고딕"/>
      <b val="1"/>
      <color rgb="00808080"/>
      <sz val="9"/>
    </font>
    <font>
      <name val="맑은 고딕"/>
      <b val="1"/>
      <color rgb="000000FF"/>
      <sz val="11"/>
    </font>
    <font>
      <name val="맑은 고딕"/>
      <b val="1"/>
      <color rgb="001F3864"/>
      <sz val="11"/>
    </font>
    <font>
      <name val="맑은 고딕"/>
      <sz val="11"/>
    </font>
    <font>
      <name val="맑은 고딕"/>
      <b val="1"/>
      <color rgb="00005BAA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9AA0A8"/>
      <sz val="11"/>
    </font>
    <font>
      <name val="맑은 고딕"/>
      <b val="1"/>
      <sz val="14"/>
    </font>
    <font>
      <name val="맑은 고딕"/>
      <b val="1"/>
      <color rgb="00333333"/>
      <sz val="11"/>
    </font>
    <font>
      <name val="맑은 고딕"/>
      <color rgb="006B7280"/>
      <sz val="11"/>
    </font>
    <font>
      <name val="맑은 고딕"/>
      <color rgb="00808080"/>
      <sz val="9"/>
    </font>
    <font>
      <name val="맑은 고딕"/>
      <color rgb="00005BAA"/>
      <sz val="11"/>
    </font>
    <font>
      <name val="맑은 고딕"/>
      <color rgb="006B7280"/>
      <sz val="9"/>
    </font>
    <font>
      <name val="맑은 고딕"/>
      <color rgb="00005BAA"/>
      <sz val="9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008000"/>
      <sz val="11"/>
    </font>
    <font>
      <name val="맑은 고딕"/>
      <b val="1"/>
      <color rgb="001F4E5F"/>
      <sz val="11"/>
    </font>
    <font>
      <name val="맑은 고딕"/>
      <color rgb="00707070"/>
      <sz val="11"/>
    </font>
    <font>
      <name val="맑은 고딕"/>
      <color rgb="00008000"/>
      <sz val="11"/>
    </font>
  </fonts>
  <fills count="37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EAEAE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D9F2D0"/>
      </patternFill>
    </fill>
    <fill>
      <patternFill patternType="solid">
        <fgColor theme="9" tint="0.7998901333658864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theme="5" tint="0.7999816888943144"/>
        <bgColor rgb="FFDCEAF7"/>
      </patternFill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EEF3F9"/>
      </patternFill>
    </fill>
    <fill>
      <patternFill patternType="solid">
        <fgColor rgb="0017375E"/>
      </patternFill>
    </fill>
    <fill>
      <patternFill patternType="solid">
        <fgColor rgb="00167C74"/>
      </patternFill>
    </fill>
    <fill>
      <patternFill patternType="solid">
        <fgColor rgb="005B388C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53C5F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1F4E5F"/>
      </patternFill>
    </fill>
    <fill>
      <patternFill patternType="solid">
        <fgColor rgb="00E8F1F5"/>
      </patternFill>
    </fill>
  </fills>
  <borders count="26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</borders>
  <cellStyleXfs count="7">
    <xf numFmtId="0" fontId="73" fillId="0" borderId="0" applyAlignment="1">
      <alignment vertical="center"/>
    </xf>
    <xf numFmtId="9" fontId="2" fillId="0" borderId="0" applyAlignment="1">
      <alignment vertical="center"/>
    </xf>
    <xf numFmtId="185" fontId="2" fillId="0" borderId="0" applyAlignment="1">
      <alignment vertical="center"/>
    </xf>
    <xf numFmtId="0" fontId="73" fillId="0" borderId="0" applyAlignment="1">
      <alignment vertical="center"/>
    </xf>
    <xf numFmtId="0" fontId="2" fillId="0" borderId="0" applyAlignment="1">
      <alignment vertical="center"/>
    </xf>
    <xf numFmtId="176" fontId="73" fillId="0" borderId="0" applyAlignment="1">
      <alignment vertical="center"/>
    </xf>
    <xf numFmtId="9" fontId="73" fillId="0" borderId="0" applyAlignment="1">
      <alignment vertical="center"/>
    </xf>
  </cellStyleXfs>
  <cellXfs count="537">
    <xf numFmtId="0" fontId="0" fillId="0" borderId="0" applyAlignment="1" pivotButton="0" quotePrefix="0" xfId="0">
      <alignment vertical="center"/>
    </xf>
    <xf numFmtId="0" fontId="17" fillId="6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left" vertical="center"/>
    </xf>
    <xf numFmtId="3" fontId="21" fillId="0" borderId="3" applyAlignment="1" pivotButton="0" quotePrefix="0" xfId="0">
      <alignment horizontal="right" vertical="center"/>
    </xf>
    <xf numFmtId="0" fontId="2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4" fontId="21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3" fontId="24" fillId="10" borderId="3" applyAlignment="1" pivotButton="0" quotePrefix="0" xfId="0">
      <alignment horizontal="right" vertical="center"/>
    </xf>
    <xf numFmtId="0" fontId="24" fillId="10" borderId="3" applyAlignment="1" pivotButton="0" quotePrefix="0" xfId="0">
      <alignment vertical="center"/>
    </xf>
    <xf numFmtId="3" fontId="26" fillId="10" borderId="3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2"/>
    </xf>
    <xf numFmtId="0" fontId="33" fillId="0" borderId="0" applyAlignment="1" pivotButton="0" quotePrefix="0" xfId="0">
      <alignment vertical="center"/>
    </xf>
    <xf numFmtId="0" fontId="17" fillId="7" borderId="0" applyAlignment="1" pivotButton="0" quotePrefix="0" xfId="0">
      <alignment horizontal="center" vertical="center"/>
    </xf>
    <xf numFmtId="1" fontId="34" fillId="7" borderId="0" applyAlignment="1" pivotButton="0" quotePrefix="0" xfId="0">
      <alignment horizontal="center" vertical="center"/>
    </xf>
    <xf numFmtId="1" fontId="34" fillId="11" borderId="0" applyAlignment="1" pivotButton="0" quotePrefix="0" xfId="0">
      <alignment horizontal="center" vertical="center"/>
    </xf>
    <xf numFmtId="0" fontId="24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36" fillId="10" borderId="0" applyAlignment="1" pivotButton="0" quotePrefix="0" xfId="0">
      <alignment vertical="center"/>
    </xf>
    <xf numFmtId="3" fontId="24" fillId="10" borderId="0" applyAlignment="1" pivotButton="0" quotePrefix="0" xfId="0">
      <alignment vertical="center"/>
    </xf>
    <xf numFmtId="0" fontId="39" fillId="0" borderId="0" applyAlignment="1" pivotButton="0" quotePrefix="0" xfId="0">
      <alignment horizontal="left" vertical="center" indent="7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3" fontId="35" fillId="0" borderId="0" pivotButton="0" quotePrefix="0" xfId="0"/>
    <xf numFmtId="0" fontId="43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left" vertical="center" indent="1"/>
    </xf>
    <xf numFmtId="0" fontId="45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vertical="center"/>
    </xf>
    <xf numFmtId="3" fontId="47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0" fillId="0" borderId="0" applyAlignment="1" pivotButton="0" quotePrefix="0" xfId="0">
      <alignment horizontal="left" vertical="center" indent="1"/>
    </xf>
    <xf numFmtId="0" fontId="5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/>
    </xf>
    <xf numFmtId="0" fontId="24" fillId="2" borderId="0" applyAlignment="1" pivotButton="0" quotePrefix="0" xfId="0">
      <alignment vertical="center"/>
    </xf>
    <xf numFmtId="3" fontId="24" fillId="2" borderId="0" applyAlignment="1" pivotButton="0" quotePrefix="0" xfId="0">
      <alignment vertical="center"/>
    </xf>
    <xf numFmtId="0" fontId="37" fillId="2" borderId="0" applyAlignment="1" pivotButton="0" quotePrefix="0" xfId="0">
      <alignment horizontal="left" vertical="center" indent="5"/>
    </xf>
    <xf numFmtId="0" fontId="39" fillId="2" borderId="0" applyAlignment="1" pivotButton="0" quotePrefix="0" xfId="0">
      <alignment vertical="center"/>
    </xf>
    <xf numFmtId="0" fontId="42" fillId="2" borderId="0" applyAlignment="1" pivotButton="0" quotePrefix="0" xfId="0">
      <alignment horizontal="left" vertical="center"/>
    </xf>
    <xf numFmtId="169" fontId="0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 indent="7"/>
    </xf>
    <xf numFmtId="0" fontId="34" fillId="7" borderId="0" applyAlignment="1" pivotButton="0" quotePrefix="0" xfId="0">
      <alignment horizontal="center" vertical="center"/>
    </xf>
    <xf numFmtId="0" fontId="34" fillId="11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165" fontId="35" fillId="2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36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165" fontId="0" fillId="15" borderId="0" applyAlignment="1" pivotButton="0" quotePrefix="0" xfId="0">
      <alignment vertical="center"/>
    </xf>
    <xf numFmtId="0" fontId="24" fillId="15" borderId="0" applyAlignment="1" pivotButton="0" quotePrefix="0" xfId="0">
      <alignment vertical="center"/>
    </xf>
    <xf numFmtId="165" fontId="0" fillId="0" borderId="0" pivotButton="0" quotePrefix="0" xfId="0"/>
    <xf numFmtId="0" fontId="24" fillId="15" borderId="0" pivotButton="0" quotePrefix="0" xfId="0"/>
    <xf numFmtId="9" fontId="0" fillId="15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4" fillId="15" borderId="0" applyAlignment="1" pivotButton="0" quotePrefix="0" xfId="0">
      <alignment horizontal="left"/>
    </xf>
    <xf numFmtId="0" fontId="61" fillId="0" borderId="0" applyAlignment="1" pivotButton="0" quotePrefix="0" xfId="0">
      <alignment vertical="center"/>
    </xf>
    <xf numFmtId="0" fontId="18" fillId="0" borderId="0" pivotButton="0" quotePrefix="0" xfId="0"/>
    <xf numFmtId="0" fontId="62" fillId="0" borderId="0" pivotButton="0" quotePrefix="0" xfId="0"/>
    <xf numFmtId="3" fontId="0" fillId="14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170" fontId="35" fillId="0" borderId="0" applyAlignment="1" pivotButton="0" quotePrefix="0" xfId="0">
      <alignment horizontal="center" vertical="center"/>
    </xf>
    <xf numFmtId="3" fontId="65" fillId="10" borderId="0" applyAlignment="1" pivotButton="0" quotePrefix="0" xfId="0">
      <alignment vertical="center"/>
    </xf>
    <xf numFmtId="3" fontId="66" fillId="10" borderId="0" applyAlignment="1" pivotButton="0" quotePrefix="0" xfId="0">
      <alignment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0" fontId="42" fillId="0" borderId="0" applyAlignment="1" pivotButton="0" quotePrefix="0" xfId="0">
      <alignment horizontal="right" vertical="center"/>
    </xf>
    <xf numFmtId="164" fontId="35" fillId="14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4" fillId="13" borderId="0" applyAlignment="1" pivotButton="0" quotePrefix="0" xfId="0">
      <alignment vertical="center"/>
    </xf>
    <xf numFmtId="0" fontId="36" fillId="13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72" fillId="5" borderId="0" applyAlignment="1" pivotButton="0" quotePrefix="0" xfId="0">
      <alignment vertical="center"/>
    </xf>
    <xf numFmtId="0" fontId="65" fillId="13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76" fillId="13" borderId="0" applyAlignment="1" pivotButton="0" quotePrefix="0" xfId="0">
      <alignment vertical="center"/>
    </xf>
    <xf numFmtId="165" fontId="77" fillId="0" borderId="0" pivotButton="0" quotePrefix="0" xfId="6"/>
    <xf numFmtId="165" fontId="78" fillId="0" borderId="0" applyAlignment="1" pivotButton="0" quotePrefix="0" xfId="0">
      <alignment vertical="center"/>
    </xf>
    <xf numFmtId="176" fontId="73" fillId="0" borderId="0" applyAlignment="1" pivotButton="0" quotePrefix="0" xfId="5">
      <alignment vertical="center"/>
    </xf>
    <xf numFmtId="176" fontId="73" fillId="0" borderId="0" pivotButton="0" quotePrefix="0" xfId="5"/>
    <xf numFmtId="165" fontId="60" fillId="0" borderId="0" applyAlignment="1" pivotButton="0" quotePrefix="0" xfId="0">
      <alignment vertical="center"/>
    </xf>
    <xf numFmtId="165" fontId="73" fillId="0" borderId="0" pivotButton="0" quotePrefix="0" xfId="6"/>
    <xf numFmtId="165" fontId="73" fillId="0" borderId="0" applyAlignment="1" pivotButton="0" quotePrefix="0" xfId="6">
      <alignment vertical="center"/>
    </xf>
    <xf numFmtId="9" fontId="73" fillId="0" borderId="0" pivotButton="0" quotePrefix="0" xfId="6"/>
    <xf numFmtId="0" fontId="80" fillId="0" borderId="0" applyAlignment="1" pivotButton="0" quotePrefix="0" xfId="0">
      <alignment vertical="center"/>
    </xf>
    <xf numFmtId="10" fontId="8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0" fontId="81" fillId="0" borderId="0" applyAlignment="1" pivotButton="0" quotePrefix="0" xfId="0">
      <alignment vertical="center"/>
    </xf>
    <xf numFmtId="0" fontId="80" fillId="0" borderId="0" pivotButton="0" quotePrefix="0" xfId="0"/>
    <xf numFmtId="0" fontId="82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76" fontId="0" fillId="0" borderId="0" pivotButton="0" quotePrefix="0" xfId="5"/>
    <xf numFmtId="177" fontId="0" fillId="0" borderId="0" pivotButton="0" quotePrefix="0" xfId="5"/>
    <xf numFmtId="165" fontId="0" fillId="0" borderId="0" pivotButton="0" quotePrefix="0" xfId="6"/>
    <xf numFmtId="0" fontId="84" fillId="0" borderId="0" applyAlignment="1" pivotButton="0" quotePrefix="0" xfId="0">
      <alignment horizontal="left" indent="11"/>
    </xf>
    <xf numFmtId="0" fontId="86" fillId="0" borderId="0" applyAlignment="1" pivotButton="0" quotePrefix="0" xfId="0">
      <alignment horizontal="left" vertical="center" indent="12"/>
    </xf>
    <xf numFmtId="0" fontId="88" fillId="0" borderId="0" applyAlignment="1" pivotButton="0" quotePrefix="0" xfId="0">
      <alignment horizontal="left" vertical="center" indent="12"/>
    </xf>
    <xf numFmtId="0" fontId="37" fillId="2" borderId="0" applyAlignment="1" pivotButton="0" quotePrefix="0" xfId="0">
      <alignment horizontal="right" vertical="center" indent="6"/>
    </xf>
    <xf numFmtId="0" fontId="55" fillId="0" borderId="0" applyAlignment="1" pivotButton="0" quotePrefix="0" xfId="0">
      <alignment horizontal="left" indent="11"/>
    </xf>
    <xf numFmtId="0" fontId="55" fillId="17" borderId="4" applyAlignment="1" pivotButton="0" quotePrefix="0" xfId="0">
      <alignment horizontal="center" vertical="center" wrapText="1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applyAlignment="1" pivotButton="0" quotePrefix="0" xfId="6">
      <alignment vertical="center"/>
    </xf>
    <xf numFmtId="0" fontId="55" fillId="0" borderId="0" applyAlignment="1" pivotButton="0" quotePrefix="0" xfId="0">
      <alignment horizontal="left" indent="19"/>
    </xf>
    <xf numFmtId="0" fontId="55" fillId="21" borderId="7" applyAlignment="1" pivotButton="0" quotePrefix="0" xfId="0">
      <alignment horizontal="center"/>
    </xf>
    <xf numFmtId="0" fontId="55" fillId="18" borderId="0" applyAlignment="1" pivotButton="0" quotePrefix="0" xfId="0">
      <alignment horizontal="center"/>
    </xf>
    <xf numFmtId="0" fontId="93" fillId="0" borderId="0" pivotButton="0" quotePrefix="0" xfId="0"/>
    <xf numFmtId="0" fontId="86" fillId="0" borderId="8" pivotButton="0" quotePrefix="0" xfId="0"/>
    <xf numFmtId="168" fontId="86" fillId="18" borderId="0" applyAlignment="1" pivotButton="0" quotePrefix="0" xfId="0">
      <alignment horizontal="center"/>
    </xf>
    <xf numFmtId="10" fontId="86" fillId="18" borderId="0" applyAlignment="1" pivotButton="0" quotePrefix="0" xfId="0">
      <alignment horizontal="center"/>
    </xf>
    <xf numFmtId="0" fontId="94" fillId="0" borderId="0" pivotButton="0" quotePrefix="0" xfId="0"/>
    <xf numFmtId="0" fontId="18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0" fontId="55" fillId="21" borderId="8" applyAlignment="1" pivotButton="0" quotePrefix="0" xfId="0">
      <alignment horizontal="center"/>
    </xf>
    <xf numFmtId="0" fontId="96" fillId="0" borderId="0" applyAlignment="1" pivotButton="0" quotePrefix="0" xfId="0">
      <alignment horizontal="left" vertical="center" indent="1"/>
    </xf>
    <xf numFmtId="3" fontId="0" fillId="0" borderId="6" applyAlignment="1" pivotButton="0" quotePrefix="0" xfId="0">
      <alignment vertical="center"/>
    </xf>
    <xf numFmtId="0" fontId="36" fillId="10" borderId="6" applyAlignment="1" pivotButton="0" quotePrefix="0" xfId="0">
      <alignment vertical="center"/>
    </xf>
    <xf numFmtId="3" fontId="47" fillId="2" borderId="6" applyAlignment="1" pivotButton="0" quotePrefix="0" xfId="0">
      <alignment vertical="center"/>
    </xf>
    <xf numFmtId="3" fontId="24" fillId="10" borderId="6" applyAlignment="1" pivotButton="0" quotePrefix="0" xfId="0">
      <alignment vertical="center"/>
    </xf>
    <xf numFmtId="165" fontId="49" fillId="0" borderId="6" applyAlignment="1" pivotButton="0" quotePrefix="0" xfId="0">
      <alignment vertical="center"/>
    </xf>
    <xf numFmtId="0" fontId="24" fillId="12" borderId="7" applyAlignment="1" pivotButton="0" quotePrefix="0" xfId="0">
      <alignment vertical="center"/>
    </xf>
    <xf numFmtId="0" fontId="0" fillId="12" borderId="7" applyAlignment="1" pivotButton="0" quotePrefix="0" xfId="0">
      <alignment vertical="center"/>
    </xf>
    <xf numFmtId="3" fontId="35" fillId="0" borderId="0" applyAlignment="1" pivotButton="0" quotePrefix="0" xfId="0">
      <alignment vertical="center"/>
    </xf>
    <xf numFmtId="0" fontId="36" fillId="0" borderId="6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0" fontId="0" fillId="0" borderId="6" applyAlignment="1" pivotButton="0" quotePrefix="0" xfId="0">
      <alignment vertical="center"/>
    </xf>
    <xf numFmtId="0" fontId="19" fillId="0" borderId="6" applyAlignment="1" pivotButton="0" quotePrefix="0" xfId="0">
      <alignment horizontal="right" vertical="center"/>
    </xf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3" fontId="35" fillId="2" borderId="0" applyAlignment="1" pivotButton="0" quotePrefix="0" xfId="0">
      <alignment vertical="center"/>
    </xf>
    <xf numFmtId="181" fontId="49" fillId="20" borderId="0" pivotButton="0" quotePrefix="0" xfId="0"/>
    <xf numFmtId="165" fontId="97" fillId="16" borderId="8" pivotButton="0" quotePrefix="0" xfId="6"/>
    <xf numFmtId="176" fontId="73" fillId="0" borderId="6" applyAlignment="1" pivotButton="0" quotePrefix="0" xfId="5">
      <alignment vertical="center"/>
    </xf>
    <xf numFmtId="0" fontId="43" fillId="0" borderId="0" applyAlignment="1" pivotButton="0" quotePrefix="0" xfId="0">
      <alignment horizontal="left" vertical="center" wrapText="1"/>
    </xf>
    <xf numFmtId="0" fontId="55" fillId="17" borderId="5" applyAlignment="1" pivotButton="0" quotePrefix="0" xfId="0">
      <alignment horizontal="center" vertical="center" wrapText="1"/>
    </xf>
    <xf numFmtId="0" fontId="55" fillId="17" borderId="9" applyAlignment="1" pivotButton="0" quotePrefix="0" xfId="0">
      <alignment horizontal="center" vertical="center" wrapText="1"/>
    </xf>
    <xf numFmtId="0" fontId="55" fillId="18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/>
    </xf>
    <xf numFmtId="174" fontId="86" fillId="18" borderId="5" pivotButton="0" quotePrefix="0" xfId="0"/>
    <xf numFmtId="9" fontId="86" fillId="18" borderId="9" pivotButton="0" quotePrefix="0" xfId="0"/>
    <xf numFmtId="3" fontId="86" fillId="18" borderId="0" applyAlignment="1" pivotButton="0" quotePrefix="0" xfId="0">
      <alignment horizontal="center"/>
    </xf>
    <xf numFmtId="0" fontId="99" fillId="0" borderId="0" applyAlignment="1" pivotButton="0" quotePrefix="0" xfId="0">
      <alignment horizontal="left"/>
    </xf>
    <xf numFmtId="167" fontId="86" fillId="18" borderId="0" pivotButton="0" quotePrefix="0" xfId="0"/>
    <xf numFmtId="9" fontId="86" fillId="18" borderId="0" pivotButton="0" quotePrefix="0" xfId="0"/>
    <xf numFmtId="3" fontId="86" fillId="18" borderId="0" applyAlignment="1" pivotButton="0" quotePrefix="0" xfId="0">
      <alignment horizontal="right"/>
    </xf>
    <xf numFmtId="0" fontId="1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10" fontId="0" fillId="0" borderId="6" applyAlignment="1" pivotButton="0" quotePrefix="0" xfId="0">
      <alignment vertical="center"/>
    </xf>
    <xf numFmtId="165" fontId="0" fillId="14" borderId="6" applyAlignment="1" pivotButton="0" quotePrefix="0" xfId="0">
      <alignment vertical="center"/>
    </xf>
    <xf numFmtId="0" fontId="24" fillId="10" borderId="6" applyAlignment="1" pivotButton="0" quotePrefix="0" xfId="0">
      <alignment vertical="center"/>
    </xf>
    <xf numFmtId="0" fontId="55" fillId="17" borderId="9" applyAlignment="1" pivotButton="0" quotePrefix="0" xfId="0">
      <alignment vertical="center"/>
    </xf>
    <xf numFmtId="2" fontId="101" fillId="16" borderId="9" applyAlignment="1" pivotButton="0" quotePrefix="0" xfId="0">
      <alignment vertical="center"/>
    </xf>
    <xf numFmtId="2" fontId="86" fillId="0" borderId="9" applyAlignment="1" pivotButton="0" quotePrefix="0" xfId="0">
      <alignment vertical="center"/>
    </xf>
    <xf numFmtId="1" fontId="86" fillId="0" borderId="9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horizontal="right" vertical="center"/>
    </xf>
    <xf numFmtId="0" fontId="55" fillId="0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vertical="center"/>
    </xf>
    <xf numFmtId="0" fontId="0" fillId="0" borderId="9" pivotButton="0" quotePrefix="0" xfId="0"/>
    <xf numFmtId="176" fontId="73" fillId="0" borderId="0" applyAlignment="1" pivotButton="0" quotePrefix="0" xfId="5">
      <alignment horizontal="left" vertical="center" indent="1"/>
    </xf>
    <xf numFmtId="0" fontId="102" fillId="0" borderId="9" pivotButton="0" quotePrefix="0" xfId="0"/>
    <xf numFmtId="167" fontId="102" fillId="0" borderId="9" pivotButton="0" quotePrefix="0" xfId="0"/>
    <xf numFmtId="3" fontId="24" fillId="2" borderId="6" applyAlignment="1" pivotButton="0" quotePrefix="0" xfId="0">
      <alignment vertical="center"/>
    </xf>
    <xf numFmtId="2" fontId="0" fillId="0" borderId="6" applyAlignment="1" pivotButton="0" quotePrefix="0" xfId="0">
      <alignment vertical="center"/>
    </xf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0" fontId="55" fillId="0" borderId="0" applyAlignment="1" pivotButton="0" quotePrefix="0" xfId="0">
      <alignment horizontal="left"/>
    </xf>
    <xf numFmtId="0" fontId="55" fillId="21" borderId="9" applyAlignment="1" pivotButton="0" quotePrefix="0" xfId="0">
      <alignment horizontal="center"/>
    </xf>
    <xf numFmtId="0" fontId="86" fillId="0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59" fillId="0" borderId="0" applyAlignment="1" pivotButton="0" quotePrefix="0" xfId="0">
      <alignment horizontal="left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9" fontId="35" fillId="2" borderId="6" applyAlignment="1" pivotButton="0" quotePrefix="0" xfId="0">
      <alignment vertical="center"/>
    </xf>
    <xf numFmtId="9" fontId="78" fillId="0" borderId="0" applyAlignment="1" pivotButton="0" quotePrefix="0" xfId="6">
      <alignment vertical="center"/>
    </xf>
    <xf numFmtId="167" fontId="101" fillId="16" borderId="9" pivotButton="0" quotePrefix="0" xfId="0"/>
    <xf numFmtId="0" fontId="86" fillId="0" borderId="9" applyAlignment="1" pivotButton="0" quotePrefix="0" xfId="0">
      <alignment vertical="top" wrapText="1"/>
    </xf>
    <xf numFmtId="0" fontId="55" fillId="0" borderId="0" pivotButton="0" quotePrefix="0" xfId="0"/>
    <xf numFmtId="0" fontId="59" fillId="0" borderId="0" pivotButton="0" quotePrefix="0" xfId="0"/>
    <xf numFmtId="0" fontId="104" fillId="0" borderId="0" pivotButton="0" quotePrefix="0" xfId="0"/>
    <xf numFmtId="0" fontId="105" fillId="21" borderId="9" applyAlignment="1" pivotButton="0" quotePrefix="0" xfId="0">
      <alignment horizontal="center"/>
    </xf>
    <xf numFmtId="0" fontId="59" fillId="0" borderId="9" pivotButton="0" quotePrefix="0" xfId="0"/>
    <xf numFmtId="0" fontId="104" fillId="0" borderId="9" pivotButton="0" quotePrefix="0" xfId="0"/>
    <xf numFmtId="0" fontId="24" fillId="12" borderId="15" applyAlignment="1" pivotButton="0" quotePrefix="0" xfId="0">
      <alignment vertical="center"/>
    </xf>
    <xf numFmtId="0" fontId="0" fillId="12" borderId="4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3" fontId="0" fillId="0" borderId="14" applyAlignment="1" pivotButton="0" quotePrefix="0" xfId="0">
      <alignment vertical="center"/>
    </xf>
    <xf numFmtId="0" fontId="107" fillId="0" borderId="0" applyAlignment="1" pivotButton="0" quotePrefix="0" xfId="0">
      <alignment horizontal="right"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0" fontId="24" fillId="10" borderId="13" applyAlignment="1" pivotButton="0" quotePrefix="0" xfId="0">
      <alignment vertical="center"/>
    </xf>
    <xf numFmtId="3" fontId="24" fillId="10" borderId="14" applyAlignment="1" pivotButton="0" quotePrefix="0" xfId="0">
      <alignment vertical="center"/>
    </xf>
    <xf numFmtId="0" fontId="86" fillId="0" borderId="9" applyAlignment="1" pivotButton="0" quotePrefix="0" xfId="0">
      <alignment vertical="center" wrapText="1"/>
    </xf>
    <xf numFmtId="0" fontId="57" fillId="2" borderId="0" applyAlignment="1" pivotButton="0" quotePrefix="0" xfId="0">
      <alignment vertical="center"/>
    </xf>
    <xf numFmtId="0" fontId="54" fillId="0" borderId="0" applyAlignment="1" pivotButton="0" quotePrefix="0" xfId="0">
      <alignment horizontal="left" vertical="center"/>
    </xf>
    <xf numFmtId="0" fontId="86" fillId="0" borderId="9" applyAlignment="1" pivotButton="0" quotePrefix="0" xfId="0">
      <alignment horizontal="center" vertical="center" wrapText="1"/>
    </xf>
    <xf numFmtId="167" fontId="55" fillId="0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101" fillId="16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0" fontId="19" fillId="0" borderId="3" applyAlignment="1" pivotButton="0" quotePrefix="0" xfId="0">
      <alignment horizontal="center" vertical="center"/>
    </xf>
    <xf numFmtId="0" fontId="24" fillId="0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5" fontId="73" fillId="0" borderId="0" applyAlignment="1" pivotButton="0" quotePrefix="0" xfId="6">
      <alignment vertical="center"/>
    </xf>
    <xf numFmtId="0" fontId="110" fillId="22" borderId="0" pivotButton="0" quotePrefix="0" xfId="0"/>
    <xf numFmtId="0" fontId="113" fillId="0" borderId="10" pivotButton="0" quotePrefix="0" xfId="0"/>
    <xf numFmtId="0" fontId="105" fillId="0" borderId="10" applyAlignment="1" pivotButton="0" quotePrefix="0" xfId="0">
      <alignment horizontal="center"/>
    </xf>
    <xf numFmtId="0" fontId="105" fillId="0" borderId="8" applyAlignment="1" pivotButton="0" quotePrefix="0" xfId="0">
      <alignment horizontal="center"/>
    </xf>
    <xf numFmtId="0" fontId="105" fillId="0" borderId="5" applyAlignment="1" pivotButton="0" quotePrefix="0" xfId="0">
      <alignment horizontal="center"/>
    </xf>
    <xf numFmtId="0" fontId="113" fillId="0" borderId="9" applyAlignment="1" pivotButton="0" quotePrefix="0" xfId="0">
      <alignment horizontal="center"/>
    </xf>
    <xf numFmtId="0" fontId="113" fillId="0" borderId="8" applyAlignment="1" pivotButton="0" quotePrefix="0" xfId="0">
      <alignment horizontal="center"/>
    </xf>
    <xf numFmtId="0" fontId="114" fillId="0" borderId="11" pivotButton="0" quotePrefix="0" xfId="0"/>
    <xf numFmtId="3" fontId="115" fillId="0" borderId="11" pivotButton="0" quotePrefix="0" xfId="0"/>
    <xf numFmtId="3" fontId="115" fillId="0" borderId="0" pivotButton="0" quotePrefix="0" xfId="0"/>
    <xf numFmtId="3" fontId="115" fillId="0" borderId="12" pivotButton="0" quotePrefix="0" xfId="0"/>
    <xf numFmtId="3" fontId="114" fillId="0" borderId="16" pivotButton="0" quotePrefix="0" xfId="0"/>
    <xf numFmtId="3" fontId="114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2" applyAlignment="1" pivotButton="0" quotePrefix="0" xfId="0">
      <alignment vertical="center"/>
    </xf>
    <xf numFmtId="3" fontId="114" fillId="0" borderId="0" pivotButton="0" quotePrefix="0" xfId="0"/>
    <xf numFmtId="165" fontId="114" fillId="0" borderId="12" pivotButton="0" quotePrefix="0" xfId="0"/>
    <xf numFmtId="165" fontId="114" fillId="0" borderId="16" pivotButton="0" quotePrefix="0" xfId="0"/>
    <xf numFmtId="10" fontId="114" fillId="0" borderId="0" pivotButton="0" quotePrefix="0" xfId="0"/>
    <xf numFmtId="165" fontId="114" fillId="0" borderId="0" pivotButton="0" quotePrefix="0" xfId="0"/>
    <xf numFmtId="2" fontId="116" fillId="16" borderId="12" pivotButton="0" quotePrefix="0" xfId="0"/>
    <xf numFmtId="10" fontId="114" fillId="0" borderId="12" pivotButton="0" quotePrefix="0" xfId="0"/>
    <xf numFmtId="2" fontId="114" fillId="0" borderId="12" pivotButton="0" quotePrefix="0" xfId="0"/>
    <xf numFmtId="0" fontId="114" fillId="0" borderId="13" pivotButton="0" quotePrefix="0" xfId="0"/>
    <xf numFmtId="3" fontId="115" fillId="0" borderId="13" pivotButton="0" quotePrefix="0" xfId="0"/>
    <xf numFmtId="3" fontId="115" fillId="0" borderId="6" pivotButton="0" quotePrefix="0" xfId="0"/>
    <xf numFmtId="3" fontId="115" fillId="0" borderId="14" pivotButton="0" quotePrefix="0" xfId="0"/>
    <xf numFmtId="3" fontId="114" fillId="0" borderId="17" pivotButton="0" quotePrefix="0" xfId="0"/>
    <xf numFmtId="3" fontId="114" fillId="0" borderId="13" pivotButton="0" quotePrefix="0" xfId="0"/>
    <xf numFmtId="3" fontId="114" fillId="0" borderId="6" pivotButton="0" quotePrefix="0" xfId="0"/>
    <xf numFmtId="10" fontId="114" fillId="0" borderId="14" pivotButton="0" quotePrefix="0" xfId="0"/>
    <xf numFmtId="165" fontId="114" fillId="0" borderId="17" pivotButton="0" quotePrefix="0" xfId="0"/>
    <xf numFmtId="10" fontId="114" fillId="0" borderId="6" pivotButton="0" quotePrefix="0" xfId="0"/>
    <xf numFmtId="2" fontId="114" fillId="0" borderId="14" pivotButton="0" quotePrefix="0" xfId="0"/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3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3" fontId="8" fillId="2" borderId="1" applyAlignment="1" pivotButton="0" quotePrefix="0" xfId="0">
      <alignment horizontal="center" vertical="center"/>
    </xf>
    <xf numFmtId="0" fontId="17" fillId="7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55" fillId="17" borderId="10" applyAlignment="1" pivotButton="0" quotePrefix="0" xfId="0">
      <alignment horizontal="center" vertical="center"/>
    </xf>
    <xf numFmtId="0" fontId="55" fillId="17" borderId="8" applyAlignment="1" pivotButton="0" quotePrefix="0" xfId="0">
      <alignment horizontal="center" vertical="center"/>
    </xf>
    <xf numFmtId="3" fontId="86" fillId="18" borderId="10" applyAlignment="1" pivotButton="0" quotePrefix="0" xfId="0">
      <alignment horizontal="right"/>
    </xf>
    <xf numFmtId="3" fontId="86" fillId="18" borderId="8" applyAlignment="1" pivotButton="0" quotePrefix="0" xfId="0">
      <alignment horizontal="right"/>
    </xf>
    <xf numFmtId="0" fontId="55" fillId="17" borderId="9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 indent="1"/>
    </xf>
    <xf numFmtId="0" fontId="86" fillId="0" borderId="10" applyAlignment="1" pivotButton="0" quotePrefix="0" xfId="0">
      <alignment horizontal="left"/>
    </xf>
    <xf numFmtId="0" fontId="86" fillId="0" borderId="5" applyAlignment="1" pivotButton="0" quotePrefix="0" xfId="0">
      <alignment horizontal="left"/>
    </xf>
    <xf numFmtId="0" fontId="55" fillId="21" borderId="10" applyAlignment="1" pivotButton="0" quotePrefix="0" xfId="0">
      <alignment horizontal="center"/>
    </xf>
    <xf numFmtId="0" fontId="55" fillId="21" borderId="5" applyAlignment="1" pivotButton="0" quotePrefix="0" xfId="0">
      <alignment horizontal="center"/>
    </xf>
    <xf numFmtId="0" fontId="58" fillId="0" borderId="0" applyAlignment="1" pivotButton="0" quotePrefix="0" xfId="0">
      <alignment horizontal="left" vertical="center" indent="1"/>
    </xf>
    <xf numFmtId="0" fontId="55" fillId="21" borderId="9" applyAlignment="1" pivotButton="0" quotePrefix="0" xfId="0">
      <alignment horizontal="center"/>
    </xf>
    <xf numFmtId="0" fontId="86" fillId="0" borderId="9" applyAlignment="1" pivotButton="0" quotePrefix="0" xfId="0">
      <alignment horizontal="left" vertical="center" wrapText="1"/>
    </xf>
    <xf numFmtId="0" fontId="53" fillId="0" borderId="10" applyAlignment="1" pivotButton="0" quotePrefix="0" xfId="0">
      <alignment vertical="center"/>
    </xf>
    <xf numFmtId="0" fontId="53" fillId="0" borderId="8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164" fontId="0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181" fontId="49" fillId="20" borderId="0" pivotButton="0" quotePrefix="0" xfId="0"/>
    <xf numFmtId="165" fontId="77" fillId="0" borderId="0" applyAlignment="1" pivotButton="0" quotePrefix="0" xfId="6">
      <alignment vertical="center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pivotButton="0" quotePrefix="0" xfId="6"/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165" fontId="97" fillId="16" borderId="8" pivotButton="0" quotePrefix="0" xfId="6"/>
    <xf numFmtId="168" fontId="86" fillId="18" borderId="0" applyAlignment="1" pivotButton="0" quotePrefix="0" xfId="0">
      <alignment horizontal="center"/>
    </xf>
    <xf numFmtId="165" fontId="49" fillId="0" borderId="6" applyAlignment="1" pivotButton="0" quotePrefix="0" xfId="0">
      <alignment vertical="center"/>
    </xf>
    <xf numFmtId="0" fontId="0" fillId="0" borderId="8" pivotButton="0" quotePrefix="0" xfId="0"/>
    <xf numFmtId="174" fontId="86" fillId="18" borderId="5" pivotButton="0" quotePrefix="0" xfId="0"/>
    <xf numFmtId="167" fontId="86" fillId="18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14" borderId="6" applyAlignment="1" pivotButton="0" quotePrefix="0" xfId="0">
      <alignment vertical="center"/>
    </xf>
    <xf numFmtId="165" fontId="78" fillId="0" borderId="0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0" fillId="0" borderId="5" pivotButton="0" quotePrefix="0" xfId="0"/>
    <xf numFmtId="167" fontId="102" fillId="0" borderId="9" pivotButton="0" quotePrefix="0" xfId="0"/>
    <xf numFmtId="165" fontId="73" fillId="0" borderId="0" applyAlignment="1" pivotButton="0" quotePrefix="0" xfId="6">
      <alignment vertical="center"/>
    </xf>
    <xf numFmtId="165" fontId="73" fillId="0" borderId="0" pivotButton="0" quotePrefix="0" xfId="6"/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165" fontId="114" fillId="0" borderId="12" pivotButton="0" quotePrefix="0" xfId="0"/>
    <xf numFmtId="165" fontId="114" fillId="0" borderId="16" pivotButton="0" quotePrefix="0" xfId="0"/>
    <xf numFmtId="165" fontId="114" fillId="0" borderId="0" pivotButton="0" quotePrefix="0" xfId="0"/>
    <xf numFmtId="165" fontId="114" fillId="0" borderId="17" pivotButton="0" quotePrefix="0" xfId="0"/>
    <xf numFmtId="169" fontId="0" fillId="0" borderId="0" applyAlignment="1" pivotButton="0" quotePrefix="0" xfId="0">
      <alignment vertical="center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5" fontId="0" fillId="0" borderId="0" pivotButton="0" quotePrefix="0" xfId="0"/>
    <xf numFmtId="169" fontId="35" fillId="2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7" fontId="101" fillId="16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86" fillId="0" borderId="9" applyAlignment="1" pivotButton="0" quotePrefix="0" xfId="0">
      <alignment horizontal="left"/>
    </xf>
    <xf numFmtId="165" fontId="0" fillId="0" borderId="0" pivotButton="0" quotePrefix="0" xfId="6"/>
    <xf numFmtId="177" fontId="0" fillId="0" borderId="0" pivotButton="0" quotePrefix="0" xfId="5"/>
    <xf numFmtId="165" fontId="35" fillId="2" borderId="0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167" fontId="101" fillId="16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55" fillId="0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165" fontId="0" fillId="15" borderId="0" applyAlignment="1" pivotButton="0" quotePrefix="0" xfId="0">
      <alignment vertical="center"/>
    </xf>
    <xf numFmtId="165" fontId="6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70" fontId="35" fillId="0" borderId="0" applyAlignment="1" pivotButton="0" quotePrefix="0" xfId="0">
      <alignment horizontal="center"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164" fontId="35" fillId="14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23" borderId="0" pivotButton="0" quotePrefix="0" xfId="0"/>
    <xf numFmtId="0" fontId="0" fillId="23" borderId="0" pivotButton="0" quotePrefix="0" xfId="0"/>
    <xf numFmtId="0" fontId="125" fillId="0" borderId="0" pivotButton="0" quotePrefix="0" xfId="0"/>
    <xf numFmtId="0" fontId="126" fillId="0" borderId="0" pivotButton="0" quotePrefix="0" xfId="0"/>
    <xf numFmtId="0" fontId="123" fillId="0" borderId="0" pivotButton="0" quotePrefix="0" xfId="0"/>
    <xf numFmtId="0" fontId="127" fillId="0" borderId="0" pivotButton="0" quotePrefix="0" xfId="0"/>
    <xf numFmtId="0" fontId="128" fillId="0" borderId="0" pivotButton="0" quotePrefix="0" xfId="0"/>
    <xf numFmtId="0" fontId="129" fillId="0" borderId="0" pivotButton="0" quotePrefix="0" xfId="0"/>
    <xf numFmtId="0" fontId="118" fillId="0" borderId="0" pivotButton="0" quotePrefix="0" xfId="0"/>
    <xf numFmtId="0" fontId="123" fillId="24" borderId="0" applyAlignment="1" pivotButton="0" quotePrefix="0" xfId="0">
      <alignment horizontal="center" vertical="center"/>
    </xf>
    <xf numFmtId="0" fontId="130" fillId="25" borderId="0" pivotButton="0" quotePrefix="0" xfId="0"/>
    <xf numFmtId="164" fontId="131" fillId="25" borderId="0" pivotButton="0" quotePrefix="0" xfId="0"/>
    <xf numFmtId="0" fontId="132" fillId="0" borderId="0" pivotButton="0" quotePrefix="0" xfId="0"/>
    <xf numFmtId="164" fontId="131" fillId="0" borderId="0" pivotButton="0" quotePrefix="0" xfId="0"/>
    <xf numFmtId="0" fontId="133" fillId="0" borderId="0" pivotButton="0" quotePrefix="0" xfId="0"/>
    <xf numFmtId="0" fontId="134" fillId="0" borderId="0" pivotButton="0" quotePrefix="0" xfId="0"/>
    <xf numFmtId="3" fontId="131" fillId="25" borderId="0" pivotButton="0" quotePrefix="0" xfId="0"/>
    <xf numFmtId="3" fontId="131" fillId="0" borderId="0" pivotButton="0" quotePrefix="0" xfId="0"/>
    <xf numFmtId="0" fontId="135" fillId="0" borderId="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0" borderId="0" pivotButton="0" quotePrefix="0" xfId="0"/>
    <xf numFmtId="0" fontId="139" fillId="0" borderId="0" pivotButton="0" quotePrefix="0" xfId="0"/>
    <xf numFmtId="0" fontId="123" fillId="26" borderId="0" applyAlignment="1" pivotButton="0" quotePrefix="0" xfId="0">
      <alignment horizontal="center" vertical="center"/>
    </xf>
    <xf numFmtId="0" fontId="123" fillId="23" borderId="0" applyAlignment="1" pivotButton="0" quotePrefix="0" xfId="0">
      <alignment horizontal="center" vertical="center"/>
    </xf>
    <xf numFmtId="0" fontId="131" fillId="0" borderId="0" pivotButton="0" quotePrefix="0" xfId="0"/>
    <xf numFmtId="0" fontId="131" fillId="0" borderId="0" applyAlignment="1" pivotButton="0" quotePrefix="0" xfId="0">
      <alignment vertical="center" wrapText="1"/>
    </xf>
    <xf numFmtId="3" fontId="124" fillId="0" borderId="0" pivotButton="0" quotePrefix="0" xfId="0"/>
    <xf numFmtId="0" fontId="140" fillId="0" borderId="0" pivotButton="0" quotePrefix="0" xfId="0"/>
    <xf numFmtId="0" fontId="123" fillId="27" borderId="0" applyAlignment="1" pivotButton="0" quotePrefix="0" xfId="0">
      <alignment horizontal="center" vertical="center"/>
    </xf>
    <xf numFmtId="4" fontId="124" fillId="0" borderId="0" pivotButton="0" quotePrefix="0" xfId="0"/>
    <xf numFmtId="0" fontId="123" fillId="28" borderId="0" applyAlignment="1" pivotButton="0" quotePrefix="0" xfId="0">
      <alignment horizontal="center" vertical="center"/>
    </xf>
    <xf numFmtId="165" fontId="131" fillId="0" borderId="0" pivotButton="0" quotePrefix="0" xfId="0"/>
    <xf numFmtId="165" fontId="124" fillId="0" borderId="0" pivotButton="0" quotePrefix="0" xfId="0"/>
    <xf numFmtId="0" fontId="123" fillId="29" borderId="0" applyAlignment="1" pivotButton="0" quotePrefix="0" xfId="0">
      <alignment horizontal="center" vertical="center"/>
    </xf>
    <xf numFmtId="0" fontId="118" fillId="30" borderId="0" pivotButton="0" quotePrefix="0" xfId="0"/>
    <xf numFmtId="3" fontId="118" fillId="30" borderId="0" pivotButton="0" quotePrefix="0" xfId="0"/>
    <xf numFmtId="0" fontId="141" fillId="0" borderId="0" pivotButton="0" quotePrefix="0" xfId="0"/>
    <xf numFmtId="0" fontId="142" fillId="0" borderId="0" pivotButton="0" quotePrefix="0" xfId="0"/>
    <xf numFmtId="0" fontId="119" fillId="0" borderId="0" pivotButton="0" quotePrefix="0" xfId="0"/>
    <xf numFmtId="0" fontId="130" fillId="0" borderId="0" pivotButton="0" quotePrefix="0" xfId="0"/>
    <xf numFmtId="0" fontId="118" fillId="31" borderId="0" pivotButton="0" quotePrefix="0" xfId="0"/>
    <xf numFmtId="3" fontId="0" fillId="0" borderId="0" pivotButton="0" quotePrefix="0" xfId="0"/>
    <xf numFmtId="171" fontId="0" fillId="0" borderId="0" pivotButton="0" quotePrefix="0" xfId="0"/>
    <xf numFmtId="0" fontId="143" fillId="0" borderId="0" pivotButton="0" quotePrefix="0" xfId="0"/>
    <xf numFmtId="0" fontId="144" fillId="0" borderId="0" pivotButton="0" quotePrefix="0" xfId="0"/>
    <xf numFmtId="0" fontId="123" fillId="23" borderId="0" applyAlignment="1" pivotButton="0" quotePrefix="0" xfId="0">
      <alignment horizontal="center"/>
    </xf>
    <xf numFmtId="0" fontId="123" fillId="32" borderId="0" applyAlignment="1" pivotButton="0" quotePrefix="0" xfId="0">
      <alignment horizontal="center"/>
    </xf>
    <xf numFmtId="3" fontId="117" fillId="30" borderId="0" pivotButton="0" quotePrefix="0" xfId="0"/>
    <xf numFmtId="3" fontId="117" fillId="0" borderId="0" pivotButton="0" quotePrefix="0" xfId="0"/>
    <xf numFmtId="3" fontId="129" fillId="30" borderId="0" pivotButton="0" quotePrefix="0" xfId="0"/>
    <xf numFmtId="0" fontId="133" fillId="30" borderId="0" pivotButton="0" quotePrefix="0" xfId="0"/>
    <xf numFmtId="3" fontId="133" fillId="30" borderId="0" pivotButton="0" quotePrefix="0" xfId="0"/>
    <xf numFmtId="0" fontId="134" fillId="30" borderId="0" pivotButton="0" quotePrefix="0" xfId="0"/>
    <xf numFmtId="3" fontId="134" fillId="30" borderId="0" pivotButton="0" quotePrefix="0" xfId="0"/>
    <xf numFmtId="165" fontId="0" fillId="33" borderId="0" pivotButton="0" quotePrefix="0" xfId="0"/>
    <xf numFmtId="10" fontId="0" fillId="0" borderId="0" pivotButton="0" quotePrefix="0" xfId="0"/>
    <xf numFmtId="179" fontId="129" fillId="0" borderId="0" pivotButton="0" quotePrefix="0" xfId="0"/>
    <xf numFmtId="9" fontId="117" fillId="0" borderId="0" pivotButton="0" quotePrefix="0" xfId="0"/>
    <xf numFmtId="3" fontId="0" fillId="33" borderId="0" pivotButton="0" quotePrefix="0" xfId="0"/>
    <xf numFmtId="170" fontId="117" fillId="0" borderId="0" pivotButton="0" quotePrefix="0" xfId="0"/>
    <xf numFmtId="0" fontId="118" fillId="31" borderId="0" applyAlignment="1" pivotButton="0" quotePrefix="0" xfId="0">
      <alignment horizontal="center" vertical="center"/>
    </xf>
    <xf numFmtId="186" fontId="118" fillId="0" borderId="0" pivotButton="0" quotePrefix="0" xfId="0"/>
    <xf numFmtId="186" fontId="131" fillId="0" borderId="0" pivotButton="0" quotePrefix="0" xfId="0"/>
    <xf numFmtId="0" fontId="118" fillId="13" borderId="0" applyAlignment="1" pivotButton="0" quotePrefix="0" xfId="0">
      <alignment vertical="center"/>
    </xf>
    <xf numFmtId="0" fontId="119" fillId="13" borderId="0" applyAlignment="1" pivotButton="0" quotePrefix="0" xfId="0">
      <alignment vertical="center"/>
    </xf>
    <xf numFmtId="174" fontId="117" fillId="0" borderId="0" applyAlignment="1" pivotButton="0" quotePrefix="0" xfId="0">
      <alignment vertical="center"/>
    </xf>
    <xf numFmtId="164" fontId="0" fillId="0" borderId="0" pivotButton="0" quotePrefix="0" xfId="0"/>
    <xf numFmtId="171" fontId="35" fillId="0" borderId="0" applyAlignment="1" pivotButton="0" quotePrefix="0" xfId="0">
      <alignment vertical="center"/>
    </xf>
    <xf numFmtId="174" fontId="117" fillId="0" borderId="0" pivotButton="0" quotePrefix="0" xfId="0"/>
    <xf numFmtId="167" fontId="118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117" fillId="34" borderId="0" pivotButton="0" quotePrefix="0" xfId="0"/>
    <xf numFmtId="3" fontId="145" fillId="0" borderId="0" pivotButton="0" quotePrefix="0" xfId="0"/>
    <xf numFmtId="0" fontId="146" fillId="0" borderId="0" pivotButton="0" quotePrefix="0" xfId="0"/>
    <xf numFmtId="0" fontId="123" fillId="35" borderId="0" pivotButton="0" quotePrefix="0" xfId="0"/>
    <xf numFmtId="0" fontId="123" fillId="35" borderId="0" applyAlignment="1" pivotButton="0" quotePrefix="0" xfId="0">
      <alignment horizontal="center"/>
    </xf>
    <xf numFmtId="3" fontId="0" fillId="36" borderId="0" pivotButton="0" quotePrefix="0" xfId="0"/>
    <xf numFmtId="0" fontId="147" fillId="0" borderId="0" pivotButton="0" quotePrefix="0" xfId="0"/>
    <xf numFmtId="2" fontId="0" fillId="0" borderId="0" pivotButton="0" quotePrefix="0" xfId="0"/>
    <xf numFmtId="0" fontId="117" fillId="0" borderId="0" pivotButton="0" quotePrefix="0" xfId="0"/>
    <xf numFmtId="0" fontId="148" fillId="0" borderId="0" pivotButton="0" quotePrefix="0" xfId="0"/>
    <xf numFmtId="167" fontId="117" fillId="0" borderId="0" pivotButton="0" quotePrefix="0" xfId="0"/>
    <xf numFmtId="0" fontId="123" fillId="35" borderId="0" applyAlignment="1" pivotButton="0" quotePrefix="0" xfId="0">
      <alignment horizontal="center" vertical="center"/>
    </xf>
    <xf numFmtId="189" fontId="0" fillId="0" borderId="0" pivotButton="0" quotePrefix="0" xfId="0"/>
  </cellXfs>
  <cellStyles count="7">
    <cellStyle name="표준" xfId="0" builtinId="0"/>
    <cellStyle name="백분율 2" xfId="1"/>
    <cellStyle name="쉼표 [0] 2" xfId="2"/>
    <cellStyle name="표준 2" xfId="3"/>
    <cellStyle name="표준 3" xfId="4"/>
    <cellStyle name="쉼표 [0]" xfId="5" builtinId="6"/>
    <cellStyle name="백분율" xfId="6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EAEAEA"/>
      <rgbColor rgb="FF000080"/>
      <rgbColor rgb="FFFF00FF"/>
      <rgbColor rgb="FFFFFF00"/>
      <rgbColor rgb="FF00FFFF"/>
      <rgbColor rgb="FF800080"/>
      <rgbColor rgb="FF800000"/>
      <rgbColor rgb="FF1F4E78"/>
      <rgbColor rgb="FF0000FF"/>
      <rgbColor rgb="FF00B4ED"/>
      <rgbColor rgb="FFDDEBF7"/>
      <rgbColor rgb="FFD9F2D0"/>
      <rgbColor rgb="FFE2EFDA"/>
      <rgbColor rgb="FF99CCFF"/>
      <rgbColor rgb="FFFF99CC"/>
      <rgbColor rgb="FFCC99FF"/>
      <rgbColor rgb="FFF2F2F2"/>
      <rgbColor rgb="FF3366FF"/>
      <rgbColor rgb="FF33CCCC"/>
      <rgbColor rgb="FF6BB745"/>
      <rgbColor rgb="FFFFCC00"/>
      <rgbColor rgb="FFFF9900"/>
      <rgbColor rgb="FFFF6600"/>
      <rgbColor rgb="FF787878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RESULT'!$C$22:$G$22</f>
            </numRef>
          </val>
          <smooth val="0"/>
        </ser>
        <ser>
          <idx val="1"/>
          <order val="1"/>
          <tx>
            <v>MKT Base</v>
          </tx>
          <spPr>
            <a:ln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>
                <a:srgbClr val="005BAA"/>
              </a:solidFill>
              <a:ln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RESULT'!$C$23:$G$23</f>
            </numRef>
          </val>
          <smooth val="0"/>
        </ser>
        <ser>
          <idx val="2"/>
          <order val="2"/>
          <tx>
            <v>Best (침투 -10%p)</v>
          </tx>
          <spPr>
            <a:ln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>
                <a:srgbClr val="00A656"/>
              </a:solidFill>
              <a:ln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RESULT'!$C$24:$G$24</f>
            </numRef>
          </val>
          <smooth val="0"/>
        </ser>
        <ser>
          <idx val="3"/>
          <order val="3"/>
          <tx>
            <v>Worst (침투 +10%p)</v>
          </tx>
          <spPr>
            <a:ln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>
                <a:srgbClr val="CC2B2B"/>
              </a:solidFill>
              <a:ln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RESULT'!$C$25:$G$25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RESULT'!$C$45:$G$45</f>
            </numRef>
          </val>
          <smooth val="0"/>
        </ser>
        <ser>
          <idx val="1"/>
          <order val="1"/>
          <tx>
            <v>MKT Base</v>
          </tx>
          <spPr>
            <a:ln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>
                <a:srgbClr val="005BAA"/>
              </a:solidFill>
              <a:ln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RESULT'!$C$46:$G$46</f>
            </numRef>
          </val>
          <smooth val="0"/>
        </ser>
        <ser>
          <idx val="2"/>
          <order val="2"/>
          <tx>
            <v>Best (침투 -10%p)</v>
          </tx>
          <spPr>
            <a:ln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>
                <a:srgbClr val="00A656"/>
              </a:solidFill>
              <a:ln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RESULT'!$C$47:$G$47</f>
            </numRef>
          </val>
          <smooth val="0"/>
        </ser>
        <ser>
          <idx val="3"/>
          <order val="3"/>
          <tx>
            <v>Worst (침투 +10%p)</v>
          </tx>
          <spPr>
            <a:ln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>
                <a:srgbClr val="CC2B2B"/>
              </a:solidFill>
              <a:ln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RESULT'!$C$48:$G$48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매출 변동 요인 분석 (단위: 매출 대비 ±%)</a:t>
            </a:r>
          </a:p>
        </rich>
      </tx>
    </title>
    <plotArea>
      <barChart>
        <barDir val="bar"/>
        <grouping val="clustered"/>
        <ser>
          <idx val="0"/>
          <order val="0"/>
          <tx>
            <v>영향(%)</v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'근거_민감도'!$B$42:$K$42</f>
            </numRef>
          </cat>
          <val>
            <numRef>
              <f>'근거_민감도'!$B$43:$K$43</f>
            </numRef>
          </val>
        </ser>
        <dLbls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제네릭 침투 시나리오별 매출 격차 (단위: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v>매출</v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'근거_민감도'!$B$45:$D$45</f>
            </numRef>
          </cat>
          <val>
            <numRef>
              <f>'근거_민감도'!$B$46:$D$46</f>
            </numRef>
          </val>
        </ser>
        <dLbls>
          <showLegendKey val="0"/>
          <showVal val="1"/>
          <showCatName val="0"/>
          <showSerName val="0"/>
          <showPercent val="0"/>
        </dLbls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근거_ARB처방량!$J$4:$V$4</f>
              <strCache>
                <ptCount val="13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</strCache>
            </strRef>
          </cat>
          <val>
            <numRef>
              <f>근거_ARB처방량!$J$12:$V$12</f>
              <numCache>
                <formatCode>General</formatCode>
                <ptCount val="13"/>
                <pt idx="0">
                  <v>320.0768387668892</v>
                </pt>
                <pt idx="1">
                  <v>318.7786188116657</v>
                </pt>
                <pt idx="2">
                  <v>318.6504359614596</v>
                </pt>
                <pt idx="3">
                  <v>317.4152603450032</v>
                </pt>
                <pt idx="4">
                  <v>318.582418344994</v>
                </pt>
                <pt idx="5">
                  <v>320.4554969581267</v>
                </pt>
                <pt idx="6">
                  <v>322.7623048541997</v>
                </pt>
                <pt idx="7">
                  <v>326.4936131843899</v>
                </pt>
                <pt idx="8">
                  <v>329.4936131843899</v>
                </pt>
                <pt idx="9">
                  <v>331.4936131843899</v>
                </pt>
                <pt idx="10">
                  <v>332.4936131843899</v>
                </pt>
                <pt idx="11">
                  <v>332.4936131843899</v>
                </pt>
                <pt idx="12">
                  <v>332.4936131843899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45919488"/>
        <axId val="995728400"/>
      </lineChart>
      <catAx>
        <axId val="745919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95728400"/>
        <crosses val="autoZero"/>
        <auto val="1"/>
        <lblAlgn val="ctr"/>
        <lblOffset val="100"/>
        <noMultiLvlLbl val="0"/>
      </catAx>
      <valAx>
        <axId val="9957284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4591948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제네릭 침투율 (성분 내 제네릭 비중)</a:t>
            </a:r>
          </a:p>
        </rich>
      </tx>
    </title>
    <plotArea>
      <lineChart>
        <grouping val="standard"/>
        <ser>
          <idx val="0"/>
          <order val="0"/>
          <tx>
            <v>세비카HCT HP (성분 내 제네릭 비중)</v>
          </tx>
          <spPr>
            <a:ln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'근거_제네릭벤치마크'!$A$7:$A$35</f>
            </numRef>
          </cat>
          <val>
            <numRef>
              <f>'근거_제네릭벤치마크'!$B$7:$B$35</f>
            </numRef>
          </val>
          <smooth val="0"/>
        </ser>
        <ser>
          <idx val="1"/>
          <order val="1"/>
          <tx>
            <v>세비카HCT GP (성분 내 제네릭 비중)</v>
          </tx>
          <spPr>
            <a:ln>
              <a:solidFill>
                <a:srgbClr val="005BA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'근거_제네릭벤치마크'!$A$7:$A$35</f>
            </numRef>
          </cat>
          <val>
            <numRef>
              <f>'근거_제네릭벤치마크'!$C$7:$C$35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tc={237C4786-54BF-46D2-BC15-C465E6CA2155}</author>
  </authors>
  <commentList>
    <comment ref="T2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최종성장률 (T열) =w×YoY + (1−w)×장기평균prior 
YoY와 장기평균을 가중평균한, 실제로 쓰이는 성장률 값.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5" authorId="0" shapeId="0">
      <text>
        <t>Yu-Hyun, Lee | 이유현:
Sacubitril·Valsartan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9267825" cy="554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55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29</row>
      <rowOff>0</rowOff>
    </from>
    <ext cx="55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366834</colOff>
      <row>15</row>
      <rowOff>19630</rowOff>
    </from>
    <to>
      <col>18</col>
      <colOff>113392</colOff>
      <row>26</row>
      <rowOff>246743</rowOff>
    </to>
    <pic>
      <nvPicPr>
        <cNvPr id="3" name="그림 2"/>
        <cNvPicPr/>
      </nvPicPr>
      <blipFill>
        <a:blip r:embed="rId1"/>
        <a:stretch>
          <a:fillRect/>
        </a:stretch>
      </blipFill>
      <spPr>
        <a:xfrm>
          <a:off x="11387259" y="3105730"/>
          <a:ext cx="5137708" cy="2875063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338137</colOff>
      <row>12</row>
      <rowOff>200025</rowOff>
    </from>
    <to>
      <col>10</col>
      <colOff>52387</colOff>
      <row>23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tabSelected="1" workbookViewId="0">
      <selection activeCell="A1" sqref="A1"/>
    </sheetView>
  </sheetViews>
  <sheetFormatPr baseColWidth="8" defaultRowHeight="15"/>
  <cols>
    <col width="2.8" customWidth="1" style="9" min="1" max="1"/>
    <col width="11.8" customWidth="1" style="9" min="2" max="2"/>
    <col width="11.8" customWidth="1" style="9" min="3" max="3"/>
    <col width="11.8" customWidth="1" style="9" min="4" max="4"/>
    <col width="11.8" customWidth="1" style="9" min="5" max="5"/>
    <col width="11.8" customWidth="1" style="9" min="6" max="6"/>
    <col width="11.8" customWidth="1" style="9" min="7" max="7"/>
    <col width="11.8" customWidth="1" style="9" min="8" max="8"/>
    <col width="11.8" customWidth="1" style="9" min="9" max="9"/>
    <col width="11.8" customWidth="1" style="9" min="10" max="10"/>
  </cols>
  <sheetData>
    <row r="2">
      <c r="B2" s="448" t="inlineStr">
        <is>
          <t>SVK HCT</t>
        </is>
      </c>
    </row>
    <row r="4">
      <c r="B4" s="449" t="inlineStr">
        <is>
          <t>SVK HCT Sales Forecast</t>
        </is>
      </c>
    </row>
    <row r="5">
      <c r="B5" s="450" t="inlineStr">
        <is>
          <t>FY2027 Budget  ·  FY2028~2030 MTS</t>
        </is>
      </c>
    </row>
    <row r="8">
      <c r="B8" s="451" t="inlineStr">
        <is>
          <t>요약 · 보고</t>
        </is>
      </c>
      <c r="C8" s="452" t="n"/>
      <c r="D8" s="452" t="n"/>
      <c r="E8" s="452" t="n"/>
      <c r="F8" s="452" t="n"/>
      <c r="G8" s="452" t="n"/>
    </row>
    <row r="9">
      <c r="B9" s="453" t="inlineStr">
        <is>
          <t>FCST RESULT</t>
        </is>
      </c>
    </row>
    <row r="10">
      <c r="B10" s="453" t="inlineStr">
        <is>
          <t>변동요인분석</t>
        </is>
      </c>
    </row>
    <row r="11">
      <c r="B11" s="453" t="inlineStr">
        <is>
          <t>FCST FLOW</t>
        </is>
      </c>
    </row>
    <row r="13">
      <c r="B13" s="451" t="inlineStr">
        <is>
          <t>산출 근거 체인</t>
        </is>
      </c>
      <c r="C13" s="452" t="n"/>
      <c r="D13" s="452" t="n"/>
      <c r="E13" s="452" t="n"/>
      <c r="F13" s="452" t="n"/>
      <c r="G13" s="452" t="n"/>
    </row>
    <row r="14">
      <c r="B14" s="453" t="inlineStr">
        <is>
          <t>1  유병환자수</t>
        </is>
      </c>
    </row>
    <row r="15">
      <c r="B15" s="453" t="inlineStr">
        <is>
          <t>2  의료이용환자수</t>
        </is>
      </c>
    </row>
    <row r="16">
      <c r="B16" s="453" t="inlineStr">
        <is>
          <t>3  고혈압 치료환자수</t>
        </is>
      </c>
    </row>
    <row r="17">
      <c r="B17" s="453" t="inlineStr">
        <is>
          <t>4  ARB 처방환자수</t>
        </is>
      </c>
    </row>
    <row r="18">
      <c r="B18" s="453" t="inlineStr">
        <is>
          <t>5  ARB 처방량 · VPP</t>
        </is>
      </c>
    </row>
    <row r="19">
      <c r="B19" s="453" t="inlineStr">
        <is>
          <t>6  ARB+CCB+DU 복합제 처방량</t>
        </is>
      </c>
    </row>
    <row r="20">
      <c r="B20" s="453" t="inlineStr">
        <is>
          <t>7  SVK HCT 처방량 · MS</t>
        </is>
      </c>
    </row>
    <row r="21">
      <c r="B21" s="453" t="inlineStr">
        <is>
          <t>8  매출</t>
        </is>
      </c>
    </row>
    <row r="22">
      <c r="B22" s="453" t="inlineStr">
        <is>
          <t>참고  제네릭 벤치마크 · 민감도</t>
        </is>
      </c>
    </row>
    <row r="24">
      <c r="B24" s="451" t="inlineStr">
        <is>
          <t>데이터 · 운영</t>
        </is>
      </c>
      <c r="C24" s="452" t="n"/>
      <c r="D24" s="452" t="n"/>
      <c r="E24" s="452" t="n"/>
      <c r="F24" s="452" t="n"/>
      <c r="G24" s="452" t="n"/>
    </row>
    <row r="25">
      <c r="B25" s="453" t="inlineStr">
        <is>
          <t>원본_RAW  (월별 붙여넣기)</t>
        </is>
      </c>
    </row>
    <row r="26">
      <c r="B26" s="453" t="inlineStr">
        <is>
          <t>원본_월별 · 모니터링_월별</t>
        </is>
      </c>
    </row>
    <row r="27">
      <c r="B27" s="454" t="inlineStr">
        <is>
          <t>갱신: 매월 UBIST 파일을 원본_RAW A21에 붙여넣으면 전체가 자동 재계산됩니다</t>
        </is>
      </c>
    </row>
    <row r="29">
      <c r="B29" s="454" t="inlineStr">
        <is>
          <t>작성일 : 2026-09-14  (V1.1 → LIX V4.0 구조 정렬본)</t>
        </is>
      </c>
    </row>
  </sheetData>
  <hyperlinks>
    <hyperlink ref="B9" location="'FCST RESULT'!A1" display="FCST RESULT"/>
    <hyperlink ref="B10" location="변동요인분석!A1" display="변동요인분석"/>
    <hyperlink ref="B11" location="'FCST FLOW'!A1" display="FCST FLOW"/>
    <hyperlink ref="B14" location="근거_유병환자수!A1" display="1  유병환자수"/>
    <hyperlink ref="B15" location="근거_의료이용환자수!A1" display="2  의료이용환자수"/>
    <hyperlink ref="B16" location="근거_고혈압치료환자수!A1" display="3  고혈압 치료환자수"/>
    <hyperlink ref="B17" location="근거_ARB처방환자수!A1" display="4  ARB 처방환자수"/>
    <hyperlink ref="B18" location="근거_ARB처방량!A1" display="5  ARB 처방량 · VPP"/>
    <hyperlink ref="B19" location="'근거_ARB+CCB+DU복합제처방량'!A1" display="6  ARB+CCB+DU 복합제 처방량"/>
    <hyperlink ref="B20" location="'근거_SVK HCT처방량'!A1" display="7  SVK HCT 처방량 · MS"/>
    <hyperlink ref="B21" location="근거_매출!A1" display="8  매출"/>
    <hyperlink ref="B22" location="근거_제네릭벤치마크!A1" display="참고  제네릭 벤치마크 · 민감도"/>
    <hyperlink ref="B25" location="원본_RAW!A1" display="원본_RAW  (월별 붙여넣기)"/>
    <hyperlink ref="B26" location="모니터링_월별!A1" display="원본_월별 · 모니터링_월별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P51"/>
  <sheetViews>
    <sheetView showGridLines="0" tabSelected="0" zoomScale="95" workbookViewId="0">
      <selection activeCell="A1" sqref="A1"/>
    </sheetView>
  </sheetViews>
  <sheetFormatPr baseColWidth="8" defaultRowHeight="15"/>
  <cols>
    <col width="3.8" customWidth="1" style="9" min="1" max="1"/>
    <col width="26.8" customWidth="1" style="9" min="2" max="2"/>
    <col width="18.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8.800000000000001" customWidth="1" style="9" min="8" max="8"/>
  </cols>
  <sheetData>
    <row r="2">
      <c r="B2" s="455" t="inlineStr">
        <is>
          <t> </t>
        </is>
      </c>
    </row>
    <row r="3">
      <c r="B3" s="456" t="inlineStr">
        <is>
          <t>SVK HCT SALES FORECAST</t>
        </is>
      </c>
    </row>
    <row r="4">
      <c r="O4" s="457" t="inlineStr">
        <is>
          <t>표시연도 ▶</t>
        </is>
      </c>
      <c r="P4" s="458" t="n">
        <v>2026</v>
      </c>
    </row>
    <row r="6">
      <c r="B6" s="459" t="inlineStr">
        <is>
          <t>1. 매출수량 (백만 T)</t>
        </is>
      </c>
    </row>
    <row r="21">
      <c r="B21" s="460" t="inlineStr">
        <is>
          <t>구분</t>
        </is>
      </c>
      <c r="C21" s="460" t="inlineStr">
        <is>
          <t>FY2026</t>
        </is>
      </c>
      <c r="D21" s="460" t="inlineStr">
        <is>
          <t>FY2027</t>
        </is>
      </c>
      <c r="E21" s="460" t="inlineStr">
        <is>
          <t>FY2028</t>
        </is>
      </c>
      <c r="F21" s="460" t="inlineStr">
        <is>
          <t>FY2029</t>
        </is>
      </c>
      <c r="G21" s="460" t="inlineStr">
        <is>
          <t>FY2030</t>
        </is>
      </c>
    </row>
    <row r="22">
      <c r="B22" s="461" t="inlineStr">
        <is>
          <t>Model Base</t>
        </is>
      </c>
      <c r="C22" s="462">
        <f>근거_매출!J10/1000000</f>
        <v/>
      </c>
      <c r="D22" s="462">
        <f>근거_매출!K10/1000000</f>
        <v/>
      </c>
      <c r="E22" s="462">
        <f>근거_매출!L10/1000000</f>
        <v/>
      </c>
      <c r="F22" s="462">
        <f>근거_매출!M10/1000000</f>
        <v/>
      </c>
      <c r="G22" s="462">
        <f>근거_매출!N10/1000000</f>
        <v/>
      </c>
    </row>
    <row r="23">
      <c r="B23" s="463" t="inlineStr">
        <is>
          <t>MKT Base</t>
        </is>
      </c>
      <c r="C23" s="464">
        <f>근거_매출!J12/1000000</f>
        <v/>
      </c>
      <c r="D23" s="464">
        <f>근거_매출!K12/1000000</f>
        <v/>
      </c>
      <c r="E23" s="464">
        <f>근거_매출!L12/1000000</f>
        <v/>
      </c>
      <c r="F23" s="464">
        <f>근거_매출!M12/1000000</f>
        <v/>
      </c>
      <c r="G23" s="464">
        <f>근거_매출!N12/1000000</f>
        <v/>
      </c>
    </row>
    <row r="24">
      <c r="B24" s="465" t="inlineStr">
        <is>
          <t>Best (침투 -10%p)</t>
        </is>
      </c>
      <c r="C24" s="464">
        <f>근거_매출!J14/1000000</f>
        <v/>
      </c>
      <c r="D24" s="464">
        <f>근거_매출!K14/1000000</f>
        <v/>
      </c>
      <c r="E24" s="464">
        <f>근거_매출!L14/1000000</f>
        <v/>
      </c>
      <c r="F24" s="464">
        <f>근거_매출!M14/1000000</f>
        <v/>
      </c>
      <c r="G24" s="464">
        <f>근거_매출!N14/1000000</f>
        <v/>
      </c>
    </row>
    <row r="25">
      <c r="B25" s="466" t="inlineStr">
        <is>
          <t>Worst (침투 +10%p)</t>
        </is>
      </c>
      <c r="C25" s="464">
        <f>근거_매출!J16/1000000</f>
        <v/>
      </c>
      <c r="D25" s="464">
        <f>근거_매출!K16/1000000</f>
        <v/>
      </c>
      <c r="E25" s="464">
        <f>근거_매출!L16/1000000</f>
        <v/>
      </c>
      <c r="F25" s="464">
        <f>근거_매출!M16/1000000</f>
        <v/>
      </c>
      <c r="G25" s="464">
        <f>근거_매출!N16/1000000</f>
        <v/>
      </c>
    </row>
    <row r="29">
      <c r="B29" s="459" t="inlineStr">
        <is>
          <t>2. 매출액 (백만원)</t>
        </is>
      </c>
    </row>
    <row r="44">
      <c r="B44" s="460" t="inlineStr">
        <is>
          <t>구분</t>
        </is>
      </c>
      <c r="C44" s="460" t="inlineStr">
        <is>
          <t>FY2026</t>
        </is>
      </c>
      <c r="D44" s="460" t="inlineStr">
        <is>
          <t>FY2027</t>
        </is>
      </c>
      <c r="E44" s="460" t="inlineStr">
        <is>
          <t>FY2028</t>
        </is>
      </c>
      <c r="F44" s="460" t="inlineStr">
        <is>
          <t>FY2029</t>
        </is>
      </c>
      <c r="G44" s="460" t="inlineStr">
        <is>
          <t>FY2030</t>
        </is>
      </c>
    </row>
    <row r="45">
      <c r="B45" s="461" t="inlineStr">
        <is>
          <t>Model Base</t>
        </is>
      </c>
      <c r="C45" s="467">
        <f>근거_매출!J28</f>
        <v/>
      </c>
      <c r="D45" s="467">
        <f>근거_매출!K28</f>
        <v/>
      </c>
      <c r="E45" s="467">
        <f>근거_매출!L28</f>
        <v/>
      </c>
      <c r="F45" s="467">
        <f>근거_매출!M28</f>
        <v/>
      </c>
      <c r="G45" s="467">
        <f>근거_매출!N28</f>
        <v/>
      </c>
    </row>
    <row r="46">
      <c r="B46" s="463" t="inlineStr">
        <is>
          <t>MKT Base</t>
        </is>
      </c>
      <c r="C46" s="468">
        <f>근거_매출!J30</f>
        <v/>
      </c>
      <c r="D46" s="468">
        <f>근거_매출!K30</f>
        <v/>
      </c>
      <c r="E46" s="468">
        <f>근거_매출!L30</f>
        <v/>
      </c>
      <c r="F46" s="468">
        <f>근거_매출!M30</f>
        <v/>
      </c>
      <c r="G46" s="468">
        <f>근거_매출!N30</f>
        <v/>
      </c>
    </row>
    <row r="47">
      <c r="B47" s="465" t="inlineStr">
        <is>
          <t>Best (침투 -10%p)</t>
        </is>
      </c>
      <c r="C47" s="468">
        <f>근거_매출!J31</f>
        <v/>
      </c>
      <c r="D47" s="468">
        <f>근거_매출!K31</f>
        <v/>
      </c>
      <c r="E47" s="468">
        <f>근거_매출!L31</f>
        <v/>
      </c>
      <c r="F47" s="468">
        <f>근거_매출!M31</f>
        <v/>
      </c>
      <c r="G47" s="468">
        <f>근거_매출!N31</f>
        <v/>
      </c>
    </row>
    <row r="48">
      <c r="B48" s="466" t="inlineStr">
        <is>
          <t>Worst (침투 +10%p)</t>
        </is>
      </c>
      <c r="C48" s="468">
        <f>근거_매출!J32</f>
        <v/>
      </c>
      <c r="D48" s="468">
        <f>근거_매출!K32</f>
        <v/>
      </c>
      <c r="E48" s="468">
        <f>근거_매출!L32</f>
        <v/>
      </c>
      <c r="F48" s="468">
        <f>근거_매출!M32</f>
        <v/>
      </c>
      <c r="G48" s="468">
        <f>근거_매출!N32</f>
        <v/>
      </c>
    </row>
    <row r="51">
      <c r="B51" s="469" t="inlineStr">
        <is>
          <t> </t>
        </is>
      </c>
    </row>
  </sheetData>
  <mergeCells count="2">
    <mergeCell ref="B3:G3"/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2:D48"/>
  <sheetViews>
    <sheetView showGridLines="0" tabSelected="0" workbookViewId="0">
      <selection activeCell="A1" sqref="A1"/>
    </sheetView>
  </sheetViews>
  <sheetFormatPr baseColWidth="8" defaultRowHeight="15"/>
  <cols>
    <col width="16" customWidth="1" style="9" min="1" max="1"/>
    <col width="42" customWidth="1" style="9" min="2" max="2"/>
    <col width="12" customWidth="1" style="9" min="3" max="3"/>
    <col width="12" customWidth="1" style="9" min="4" max="4"/>
  </cols>
  <sheetData>
    <row r="2">
      <c r="A2" s="470" t="inlineStr">
        <is>
          <t>SVK HCT FCST 변동 요인 분석과 시뮬레이션</t>
        </is>
      </c>
    </row>
    <row r="4">
      <c r="A4" s="471" t="inlineStr">
        <is>
          <t xml:space="preserve">① 변동 요인 분석  </t>
        </is>
      </c>
    </row>
    <row r="5">
      <c r="A5" t="inlineStr">
        <is>
          <t>- 핵심 변동 요인 : 제네릭 침투(성분 내 Original 비율) (매출 변동성 ±20.9%로, 타 요인 대비 압도적인 영향력을 행사함)</t>
        </is>
      </c>
    </row>
    <row r="6">
      <c r="A6" t="inlineStr">
        <is>
          <t>- 기타 변동 요인: Olmesartan MS 하한(±9.2%), ARB+CCB+DU 비율 상한 L(±8.5%), 의료이용비율(±5.9%) 등 (구조 파라미터 성격, 실측 갱신 시 자동 재추정)</t>
        </is>
      </c>
    </row>
    <row r="7">
      <c r="A7" t="inlineStr">
        <is>
          <t>- 예외 요인: 약가 인하 고시(현재 없음) 및 MKT 제출 수치와의 차이는 본 시뮬레이션 외 별도 리스크로 분류 · 환자 체인(L1~L4)은 VPP 역산 구조로 방향이 직관과 반대일 수 있어 해석 주의</t>
        </is>
      </c>
    </row>
    <row r="25">
      <c r="A25" s="471" t="inlineStr">
        <is>
          <t xml:space="preserve">② 시뮬레이션 : 제네릭 침투 방어의 재무적 가치 </t>
        </is>
      </c>
    </row>
    <row r="26">
      <c r="A26">
        <f>"- Best (침투 방어): 성분 내 Original 비율 +10%p 방어 시 → FY2030 매출 "&amp;TEXT(근거_매출!N31/100,"#,##0")&amp;"억 (상단)"</f>
        <v/>
      </c>
    </row>
    <row r="27">
      <c r="A27">
        <f>"- Worst (침투 확대): 성분 내 Original 비율 -10%p 잠식 시 → FY2030 매출 "&amp;TEXT(근거_매출!N32/100,"#,##0")&amp;"억 (하단)"</f>
        <v/>
      </c>
    </row>
    <row r="28">
      <c r="A28">
        <f>"(※ 기준선 Base: "&amp;TEXT(근거_매출!N28/100,"#,##0")&amp;"억)"</f>
        <v/>
      </c>
    </row>
    <row r="47">
      <c r="A47" s="472" t="inlineStr">
        <is>
          <t xml:space="preserve">  · 근거: 근거_민감도 참조</t>
        </is>
      </c>
    </row>
    <row r="48">
      <c r="A48" s="472" t="inlineStr">
        <is>
          <t> </t>
        </is>
      </c>
    </row>
  </sheetData>
  <mergeCells count="2">
    <mergeCell ref="A4:D4"/>
    <mergeCell ref="A25:D2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7375E"/>
    <outlinePr summaryBelow="1" summaryRight="1"/>
    <pageSetUpPr/>
  </sheetPr>
  <dimension ref="A2:J42"/>
  <sheetViews>
    <sheetView showGridLines="0" tabSelected="0" zoomScale="100" workbookViewId="0">
      <selection activeCell="A1" sqref="A1"/>
    </sheetView>
  </sheetViews>
  <sheetFormatPr baseColWidth="8" defaultRowHeight="15"/>
  <cols>
    <col width="15.5" customWidth="1" style="9" min="1" max="1"/>
    <col width="31" customWidth="1" style="9" min="2" max="2"/>
    <col width="16.8" customWidth="1" style="9" min="3" max="3"/>
    <col width="64.8" customWidth="1" style="9" min="4" max="4"/>
    <col width="14.8" customWidth="1" style="9" min="5" max="5"/>
    <col width="13" customWidth="1" style="9" min="6" max="6"/>
    <col width="13" customWidth="1" style="9" min="7" max="7"/>
    <col width="13" customWidth="1" style="9" min="8" max="8"/>
    <col width="13" customWidth="1" style="9" min="9" max="9"/>
    <col width="11.1" customWidth="1" style="9" min="10" max="10"/>
  </cols>
  <sheetData>
    <row r="2">
      <c r="A2" s="470" t="inlineStr">
        <is>
          <t xml:space="preserve">SVK HCT Sales FCST FLOW  </t>
        </is>
      </c>
    </row>
    <row r="3">
      <c r="J3" s="473" t="inlineStr">
        <is>
          <t>각 행의 [▶ 근거] 를 클릭하면 해당 백데이터 시트로 이동 (기준수치·예측수치는 백데이터 참조)</t>
        </is>
      </c>
    </row>
    <row r="5">
      <c r="A5" s="474" t="inlineStr">
        <is>
          <t>단계</t>
        </is>
      </c>
      <c r="B5" s="474" t="inlineStr">
        <is>
          <t>항목</t>
        </is>
      </c>
      <c r="C5" s="474" t="inlineStr">
        <is>
          <t>기준 수치</t>
        </is>
      </c>
      <c r="D5" s="474" t="inlineStr">
        <is>
          <t>모델 방법</t>
        </is>
      </c>
      <c r="E5" s="474" t="inlineStr">
        <is>
          <t>FY2026E</t>
        </is>
      </c>
      <c r="F5" s="474" t="inlineStr">
        <is>
          <t>FY2027</t>
        </is>
      </c>
      <c r="G5" s="474" t="inlineStr">
        <is>
          <t>FY2028</t>
        </is>
      </c>
      <c r="H5" s="474" t="inlineStr">
        <is>
          <t>FY2029</t>
        </is>
      </c>
      <c r="I5" s="474" t="inlineStr">
        <is>
          <t>FY2030</t>
        </is>
      </c>
      <c r="J5" s="474" t="inlineStr">
        <is>
          <t>근거</t>
        </is>
      </c>
    </row>
    <row r="6">
      <c r="A6" s="475" t="inlineStr">
        <is>
          <t>① 환자 현황</t>
        </is>
      </c>
      <c r="B6" s="476" t="inlineStr">
        <is>
          <t xml:space="preserve">고혈압 유병환자수 </t>
        </is>
      </c>
      <c r="C6" s="468">
        <f>CALC!C19</f>
        <v/>
      </c>
      <c r="D6" s="477" t="inlineStr">
        <is>
          <t xml:space="preserve"> · 추계인구(통계청 중위) × 연령별 유병률 복합예측</t>
        </is>
      </c>
      <c r="E6" s="478">
        <f>INDEX(CALC!$C$5:$C$25,MATCH(표시연도,CALC!$B$5:$B$25,0))</f>
        <v/>
      </c>
      <c r="F6" s="478">
        <f>INDEX(CALC!$C$5:$C$25,MATCH(2027,CALC!$B$5:$B$25,0))</f>
        <v/>
      </c>
      <c r="G6" s="478">
        <f>INDEX(CALC!$C$5:$C$25,MATCH(2028,CALC!$B$5:$B$25,0))</f>
        <v/>
      </c>
      <c r="H6" s="478">
        <f>INDEX(CALC!$C$5:$C$25,MATCH(2029,CALC!$B$5:$B$25,0))</f>
        <v/>
      </c>
      <c r="I6" s="478">
        <f>INDEX(CALC!$C$5:$C$25,MATCH(2030,CALC!$B$5:$B$25,0))</f>
        <v/>
      </c>
      <c r="J6" s="479" t="inlineStr">
        <is>
          <t>▶ 근거</t>
        </is>
      </c>
    </row>
    <row r="7">
      <c r="B7" s="476" t="inlineStr">
        <is>
          <t>고혈압 의료이용환자수</t>
        </is>
      </c>
      <c r="C7" s="468">
        <f>CALC!E19</f>
        <v/>
      </c>
      <c r="D7" s="477" t="inlineStr">
        <is>
          <t xml:space="preserve"> · 고혈압 유병환자수 × 의료이용비율 (직전 4개년 평균비율)</t>
        </is>
      </c>
      <c r="E7" s="478">
        <f>INDEX(CALC!$E$5:$E$25,MATCH(표시연도,CALC!$B$5:$B$25,0))</f>
        <v/>
      </c>
      <c r="F7" s="478">
        <f>INDEX(CALC!$E$5:$E$25,MATCH(2027,CALC!$B$5:$B$25,0))</f>
        <v/>
      </c>
      <c r="G7" s="478">
        <f>INDEX(CALC!$E$5:$E$25,MATCH(2028,CALC!$B$5:$B$25,0))</f>
        <v/>
      </c>
      <c r="H7" s="478">
        <f>INDEX(CALC!$E$5:$E$25,MATCH(2029,CALC!$B$5:$B$25,0))</f>
        <v/>
      </c>
      <c r="I7" s="478">
        <f>INDEX(CALC!$E$5:$E$25,MATCH(2030,CALC!$B$5:$B$25,0))</f>
        <v/>
      </c>
      <c r="J7" s="479" t="inlineStr">
        <is>
          <t>▶ 근거</t>
        </is>
      </c>
    </row>
    <row r="8">
      <c r="B8" s="476" t="inlineStr">
        <is>
          <t>고혈압 치료환자수</t>
        </is>
      </c>
      <c r="C8" s="468">
        <f>CALC!G18</f>
        <v/>
      </c>
      <c r="D8" s="477" t="inlineStr">
        <is>
          <t xml:space="preserve"> · 고혈압 의료이용환자수 × 치료비율 (2014~23 선형회귀)</t>
        </is>
      </c>
      <c r="E8" s="478">
        <f>INDEX(CALC!$G$5:$G$25,MATCH(표시연도,CALC!$B$5:$B$25,0))</f>
        <v/>
      </c>
      <c r="F8" s="478">
        <f>INDEX(CALC!$G$5:$G$25,MATCH(2027,CALC!$B$5:$B$25,0))</f>
        <v/>
      </c>
      <c r="G8" s="478">
        <f>INDEX(CALC!$G$5:$G$25,MATCH(2028,CALC!$B$5:$B$25,0))</f>
        <v/>
      </c>
      <c r="H8" s="478">
        <f>INDEX(CALC!$G$5:$G$25,MATCH(2029,CALC!$B$5:$B$25,0))</f>
        <v/>
      </c>
      <c r="I8" s="478">
        <f>INDEX(CALC!$G$5:$G$25,MATCH(2030,CALC!$B$5:$B$25,0))</f>
        <v/>
      </c>
      <c r="J8" s="479" t="inlineStr">
        <is>
          <t>▶ 근거</t>
        </is>
      </c>
    </row>
    <row r="9">
      <c r="B9" s="476" t="inlineStr">
        <is>
          <t>ARB 처방 환자수</t>
        </is>
      </c>
      <c r="C9" s="468">
        <f>CALC!I18</f>
        <v/>
      </c>
      <c r="D9" s="477" t="inlineStr">
        <is>
          <t xml:space="preserve"> · 고혈압 치료환자수 × ARB 처방률 (로지스틱 S-curve)</t>
        </is>
      </c>
      <c r="E9" s="478">
        <f>INDEX(CALC!$I$5:$I$25,MATCH(표시연도,CALC!$B$5:$B$25,0))</f>
        <v/>
      </c>
      <c r="F9" s="478">
        <f>INDEX(CALC!$I$5:$I$25,MATCH(2027,CALC!$B$5:$B$25,0))</f>
        <v/>
      </c>
      <c r="G9" s="478">
        <f>INDEX(CALC!$I$5:$I$25,MATCH(2028,CALC!$B$5:$B$25,0))</f>
        <v/>
      </c>
      <c r="H9" s="478">
        <f>INDEX(CALC!$I$5:$I$25,MATCH(2029,CALC!$B$5:$B$25,0))</f>
        <v/>
      </c>
      <c r="I9" s="478">
        <f>INDEX(CALC!$I$5:$I$25,MATCH(2030,CALC!$B$5:$B$25,0))</f>
        <v/>
      </c>
      <c r="J9" s="479" t="inlineStr">
        <is>
          <t>▶ 근거</t>
        </is>
      </c>
    </row>
    <row r="10">
      <c r="A10" s="480" t="inlineStr">
        <is>
          <t>② 시장 구조</t>
        </is>
      </c>
      <c r="B10" s="476" t="inlineStr">
        <is>
          <t>환자당 처방량(VPP)</t>
        </is>
      </c>
      <c r="C10" s="464">
        <f>INDEX(CALC!$L$5:$L$25,MATCH(표시연도-1,CALC!$B$5:$B$25,0))</f>
        <v/>
      </c>
      <c r="D10" s="477" t="inlineStr">
        <is>
          <t xml:space="preserve"> · FY2026 : 월별 롤링(실측 YTD × 가중 성장률) ÷ 환자수 / FY2027~ : 최근 3개년 증가 일수 평균 반영, 28년부터 고정</t>
        </is>
      </c>
      <c r="E10" s="481">
        <f>INDEX(CALC!$L$5:$L$25,MATCH(표시연도,CALC!$B$5:$B$25,0))</f>
        <v/>
      </c>
      <c r="F10" s="481">
        <f>INDEX(CALC!$L$5:$L$25,MATCH(2027,CALC!$B$5:$B$25,0))</f>
        <v/>
      </c>
      <c r="G10" s="481">
        <f>INDEX(CALC!$L$5:$L$25,MATCH(2028,CALC!$B$5:$B$25,0))</f>
        <v/>
      </c>
      <c r="H10" s="481">
        <f>INDEX(CALC!$L$5:$L$25,MATCH(2029,CALC!$B$5:$B$25,0))</f>
        <v/>
      </c>
      <c r="I10" s="481">
        <f>INDEX(CALC!$L$5:$L$25,MATCH(2030,CALC!$B$5:$B$25,0))</f>
        <v/>
      </c>
      <c r="J10" s="479" t="inlineStr">
        <is>
          <t>▶ 근거</t>
        </is>
      </c>
    </row>
    <row r="11">
      <c r="B11" s="476" t="inlineStr">
        <is>
          <t>ARB 처방량</t>
        </is>
      </c>
      <c r="C11" s="468">
        <f>INDEX(CALC!$M$5:$M$25,MATCH(표시연도-1,CALC!$B$5:$B$25,0))</f>
        <v/>
      </c>
      <c r="D11" s="477" t="inlineStr">
        <is>
          <t xml:space="preserve"> · ARB 처방환자수 × VPP </t>
        </is>
      </c>
      <c r="E11" s="478">
        <f>INDEX(CALC!$M$5:$M$25,MATCH(표시연도,CALC!$B$5:$B$25,0))</f>
        <v/>
      </c>
      <c r="F11" s="478">
        <f>INDEX(CALC!$M$5:$M$25,MATCH(2027,CALC!$B$5:$B$25,0))</f>
        <v/>
      </c>
      <c r="G11" s="478">
        <f>INDEX(CALC!$M$5:$M$25,MATCH(2028,CALC!$B$5:$B$25,0))</f>
        <v/>
      </c>
      <c r="H11" s="478">
        <f>INDEX(CALC!$M$5:$M$25,MATCH(2029,CALC!$B$5:$B$25,0))</f>
        <v/>
      </c>
      <c r="I11" s="478">
        <f>INDEX(CALC!$M$5:$M$25,MATCH(2030,CALC!$B$5:$B$25,0))</f>
        <v/>
      </c>
      <c r="J11" s="479" t="inlineStr">
        <is>
          <t>▶ 근거</t>
        </is>
      </c>
    </row>
    <row r="12">
      <c r="B12" s="476" t="inlineStr">
        <is>
          <t>ARB+CCB+DU 복합제 처방량(시장 전체)</t>
        </is>
      </c>
      <c r="C12" s="468">
        <f>INDEX(CALC!$O$5:$O$25,MATCH(표시연도-1,CALC!$B$5:$B$25,0))</f>
        <v/>
      </c>
      <c r="D12" s="477" t="inlineStr">
        <is>
          <t xml:space="preserve"> · ARB 처방량 × ARB 복합제 비율(하한형 S-curve) × ARB+CCB+DU 비율(상한형 S-curve)</t>
        </is>
      </c>
      <c r="E12" s="478">
        <f>INDEX(CALC!$O$5:$O$25,MATCH(표시연도,CALC!$B$5:$B$25,0))</f>
        <v/>
      </c>
      <c r="F12" s="478">
        <f>INDEX(CALC!$O$5:$O$25,MATCH(2027,CALC!$B$5:$B$25,0))</f>
        <v/>
      </c>
      <c r="G12" s="478">
        <f>INDEX(CALC!$O$5:$O$25,MATCH(2028,CALC!$B$5:$B$25,0))</f>
        <v/>
      </c>
      <c r="H12" s="478">
        <f>INDEX(CALC!$O$5:$O$25,MATCH(2029,CALC!$B$5:$B$25,0))</f>
        <v/>
      </c>
      <c r="I12" s="478">
        <f>INDEX(CALC!$O$5:$O$25,MATCH(2030,CALC!$B$5:$B$25,0))</f>
        <v/>
      </c>
      <c r="J12" s="479" t="inlineStr">
        <is>
          <t>▶ 근거</t>
        </is>
      </c>
    </row>
    <row r="13">
      <c r="B13" s="476" t="inlineStr">
        <is>
          <t>ARB+CCB+DU 복합제 처방량(HP)</t>
        </is>
      </c>
      <c r="C13" s="468">
        <f>INDEX(CALC!$Q$5:$Q$25,MATCH(표시연도-1,CALC!$B$5:$B$25,0))</f>
        <v/>
      </c>
      <c r="D13" s="477" t="inlineStr">
        <is>
          <t xml:space="preserve"> · ARB+CCB+DU복합제 처방량 x HP:GP 비율 (로지스틱, 하한고정 22.0%, FY2024Q3 이후 분기회귀)</t>
        </is>
      </c>
      <c r="E13" s="478">
        <f>INDEX(CALC!$Q$5:$Q$25,MATCH(표시연도,CALC!$B$5:$B$25,0))</f>
        <v/>
      </c>
      <c r="F13" s="478">
        <f>INDEX(CALC!$Q$5:$Q$25,MATCH(2027,CALC!$B$5:$B$25,0))</f>
        <v/>
      </c>
      <c r="G13" s="478">
        <f>INDEX(CALC!$Q$5:$Q$25,MATCH(2028,CALC!$B$5:$B$25,0))</f>
        <v/>
      </c>
      <c r="H13" s="478">
        <f>INDEX(CALC!$Q$5:$Q$25,MATCH(2029,CALC!$B$5:$B$25,0))</f>
        <v/>
      </c>
      <c r="I13" s="478">
        <f>INDEX(CALC!$Q$5:$Q$25,MATCH(2030,CALC!$B$5:$B$25,0))</f>
        <v/>
      </c>
      <c r="J13" s="479" t="inlineStr">
        <is>
          <t>▶ 근거</t>
        </is>
      </c>
    </row>
    <row r="14">
      <c r="B14" s="476" t="inlineStr">
        <is>
          <t>ARB+CCB+DU 복합제 처방량(GP)</t>
        </is>
      </c>
      <c r="C14" s="468">
        <f>INDEX(CALC!$S$5:$S$25,MATCH(표시연도-1,CALC!$B$5:$B$25,0))</f>
        <v/>
      </c>
      <c r="D14" s="477" t="inlineStr">
        <is>
          <t xml:space="preserve"> · ARB+CCB+DU복합제 처방량 x HP:GP 비율 (로지스틱, 하한고정 22.0%, FY2024Q3 이후 분기회귀)</t>
        </is>
      </c>
      <c r="E14" s="478">
        <f>INDEX(CALC!$S$5:$S$25,MATCH(표시연도,CALC!$B$5:$B$25,0))</f>
        <v/>
      </c>
      <c r="F14" s="478">
        <f>INDEX(CALC!$S$5:$S$25,MATCH(2027,CALC!$B$5:$B$25,0))</f>
        <v/>
      </c>
      <c r="G14" s="478">
        <f>INDEX(CALC!$S$5:$S$25,MATCH(2028,CALC!$B$5:$B$25,0))</f>
        <v/>
      </c>
      <c r="H14" s="478">
        <f>INDEX(CALC!$S$5:$S$25,MATCH(2029,CALC!$B$5:$B$25,0))</f>
        <v/>
      </c>
      <c r="I14" s="478">
        <f>INDEX(CALC!$S$5:$S$25,MATCH(2030,CALC!$B$5:$B$25,0))</f>
        <v/>
      </c>
      <c r="J14" s="479" t="inlineStr">
        <is>
          <t>▶ 근거</t>
        </is>
      </c>
    </row>
    <row r="15">
      <c r="A15" s="482" t="inlineStr">
        <is>
          <t>③ 경쟁 현황</t>
        </is>
      </c>
      <c r="B15" s="476" t="inlineStr">
        <is>
          <t>(HP 내) SVK HCT MS</t>
        </is>
      </c>
      <c r="C15" s="483">
        <f>INDEX(CALC!$V$5:$V$25,MATCH(표시연도-1,CALC!$B$5:$B$25,0))</f>
        <v/>
      </c>
      <c r="D15" s="477" t="inlineStr">
        <is>
          <t xml:space="preserve"> · Olmesartan 비율=하한고정(로지스틱, 하한 47.0%), 성분 내 Original비율=직접 선형회귀
→ 상세: 근거_SVK HCT처방량 시트 하단, 근거_제네릭벤치마크 시트</t>
        </is>
      </c>
      <c r="E15" s="484">
        <f>INDEX(CALC!$V$5:$V$25,MATCH(표시연도,CALC!$B$5:$B$25,0))</f>
        <v/>
      </c>
      <c r="F15" s="484">
        <f>INDEX(CALC!$V$5:$V$25,MATCH(2027,CALC!$B$5:$B$25,0))</f>
        <v/>
      </c>
      <c r="G15" s="484">
        <f>INDEX(CALC!$V$5:$V$25,MATCH(2028,CALC!$B$5:$B$25,0))</f>
        <v/>
      </c>
      <c r="H15" s="484">
        <f>INDEX(CALC!$V$5:$V$25,MATCH(2029,CALC!$B$5:$B$25,0))</f>
        <v/>
      </c>
      <c r="I15" s="484">
        <f>INDEX(CALC!$V$5:$V$25,MATCH(2030,CALC!$B$5:$B$25,0))</f>
        <v/>
      </c>
      <c r="J15" s="479" t="inlineStr">
        <is>
          <t>▶ 근거</t>
        </is>
      </c>
    </row>
    <row r="16">
      <c r="B16" s="476" t="inlineStr">
        <is>
          <t>(GP 내) SVK HCT MS</t>
        </is>
      </c>
      <c r="C16" s="483">
        <f>INDEX(CALC!$Y$5:$Y$25,MATCH(표시연도-1,CALC!$B$5:$B$25,0))</f>
        <v/>
      </c>
      <c r="D16" s="477" t="inlineStr">
        <is>
          <t xml:space="preserve"> · Olmesartan 비율=하한고정(로지스틱, 하한 37.9%), 최근5분기 자동연동 / 성분 내 Original비율=로짓 변환 회귀</t>
        </is>
      </c>
      <c r="E16" s="484">
        <f>INDEX(CALC!$Y$5:$Y$25,MATCH(표시연도,CALC!$B$5:$B$25,0))</f>
        <v/>
      </c>
      <c r="F16" s="484">
        <f>INDEX(CALC!$Y$5:$Y$25,MATCH(2027,CALC!$B$5:$B$25,0))</f>
        <v/>
      </c>
      <c r="G16" s="484">
        <f>INDEX(CALC!$Y$5:$Y$25,MATCH(2028,CALC!$B$5:$B$25,0))</f>
        <v/>
      </c>
      <c r="H16" s="484">
        <f>INDEX(CALC!$Y$5:$Y$25,MATCH(2029,CALC!$B$5:$B$25,0))</f>
        <v/>
      </c>
      <c r="I16" s="484">
        <f>INDEX(CALC!$Y$5:$Y$25,MATCH(2030,CALC!$B$5:$B$25,0))</f>
        <v/>
      </c>
      <c r="J16" s="479" t="inlineStr">
        <is>
          <t>▶ 근거</t>
        </is>
      </c>
    </row>
    <row r="17">
      <c r="A17" s="485" t="inlineStr">
        <is>
          <t>④ 시장매출</t>
        </is>
      </c>
      <c r="B17" s="476" t="inlineStr">
        <is>
          <t>DSKR 매출수량 (T)</t>
        </is>
      </c>
      <c r="C17" s="468">
        <f>INDEX(근거_매출!$B$10:$N$10,표시연도-1-2017)</f>
        <v/>
      </c>
      <c r="D17" s="477" t="inlineStr">
        <is>
          <t xml:space="preserve"> · SVK HCT 처방량(UBIST, 정) ÷ 전환비율(FY22~25 평균 0.987) → 판매 수량 환산</t>
        </is>
      </c>
      <c r="E17" s="478">
        <f>INDEX(근거_매출!$B$10:$N$10,표시연도-2017)</f>
        <v/>
      </c>
      <c r="F17" s="478">
        <f>INDEX(근거_매출!$B$10:$N$10,2027-2017)</f>
        <v/>
      </c>
      <c r="G17" s="478">
        <f>INDEX(근거_매출!$B$10:$N$10,2028-2017)</f>
        <v/>
      </c>
      <c r="H17" s="478">
        <f>INDEX(근거_매출!$B$10:$N$10,2029-2017)</f>
        <v/>
      </c>
      <c r="I17" s="478">
        <f>INDEX(근거_매출!$B$10:$N$10,2030-2017)</f>
        <v/>
      </c>
      <c r="J17" s="479" t="inlineStr">
        <is>
          <t>▶ 근거</t>
        </is>
      </c>
    </row>
    <row r="18">
      <c r="B18" s="476" t="inlineStr">
        <is>
          <t>연도별 단가 (원/T)</t>
        </is>
      </c>
      <c r="C18" s="468">
        <f>근거_매출!B23</f>
        <v/>
      </c>
      <c r="D18" s="477" t="inlineStr">
        <is>
          <t xml:space="preserve"> · 기준단가 615.6원(FY26 목표단가 채널·용량 물량가중) × 약가 배율 (인하 고시 없음 → 100% 유지, 근거_매출 24행에서 조정)</t>
        </is>
      </c>
      <c r="E18" s="478">
        <f>INDEX(근거_매출!$B$25:$N$25,표시연도-2017)</f>
        <v/>
      </c>
      <c r="F18" s="478">
        <f>INDEX(근거_매출!$B$25:$N$25,2027-2017)</f>
        <v/>
      </c>
      <c r="G18" s="478">
        <f>INDEX(근거_매출!$B$25:$N$25,2028-2017)</f>
        <v/>
      </c>
      <c r="H18" s="478">
        <f>INDEX(근거_매출!$B$25:$N$25,2029-2017)</f>
        <v/>
      </c>
      <c r="I18" s="478">
        <f>INDEX(근거_매출!$B$25:$N$25,2030-2017)</f>
        <v/>
      </c>
      <c r="J18" s="479" t="inlineStr">
        <is>
          <t>▶ 근거</t>
        </is>
      </c>
    </row>
    <row r="20">
      <c r="A20" s="474" t="inlineStr">
        <is>
          <t>▶ 결과</t>
        </is>
      </c>
      <c r="B20" s="486" t="inlineStr">
        <is>
          <t>ARB+CCB+DU 복합제 시장 (처방량)</t>
        </is>
      </c>
      <c r="C20" s="487">
        <f>INDEX(CALC!$O$5:$O$25,MATCH(표시연도-1,CALC!$B$5:$B$25,0))</f>
        <v/>
      </c>
      <c r="D20" s="486" t="inlineStr">
        <is>
          <t>ARB 처방량 × ARB 복합제 비율 × ARB+CCB+DU 비율</t>
        </is>
      </c>
      <c r="E20" s="487">
        <f>INDEX(CALC!$O$5:$O$25,MATCH(표시연도,CALC!$B$5:$B$25,0))</f>
        <v/>
      </c>
      <c r="F20" s="487">
        <f>INDEX(CALC!$O$5:$O$25,MATCH(2027,CALC!$B$5:$B$25,0))</f>
        <v/>
      </c>
      <c r="G20" s="487">
        <f>INDEX(CALC!$O$5:$O$25,MATCH(2028,CALC!$B$5:$B$25,0))</f>
        <v/>
      </c>
      <c r="H20" s="487">
        <f>INDEX(CALC!$O$5:$O$25,MATCH(2029,CALC!$B$5:$B$25,0))</f>
        <v/>
      </c>
      <c r="I20" s="487">
        <f>INDEX(CALC!$O$5:$O$25,MATCH(2030,CALC!$B$5:$B$25,0))</f>
        <v/>
      </c>
      <c r="J20" s="479" t="inlineStr">
        <is>
          <t>▶ 근거</t>
        </is>
      </c>
    </row>
    <row r="21">
      <c r="B21" s="486" t="inlineStr">
        <is>
          <t>SVK HCT 처방 (UBIST)</t>
        </is>
      </c>
      <c r="C21" s="487">
        <f>INDEX(CALC!$AA$5:$AA$25,MATCH(표시연도-1,CALC!$B$5:$B$25,0))</f>
        <v/>
      </c>
      <c r="D21" s="486" t="inlineStr">
        <is>
          <t>ARB+CCB+DU 복합제 시장 × SVK HCT MS(성분별×성분내)</t>
        </is>
      </c>
      <c r="E21" s="487">
        <f>INDEX(CALC!$AA$5:$AA$25,MATCH(표시연도,CALC!$B$5:$B$25,0))</f>
        <v/>
      </c>
      <c r="F21" s="487">
        <f>INDEX(CALC!$AA$5:$AA$25,MATCH(2027,CALC!$B$5:$B$25,0))</f>
        <v/>
      </c>
      <c r="G21" s="487">
        <f>INDEX(CALC!$AA$5:$AA$25,MATCH(2028,CALC!$B$5:$B$25,0))</f>
        <v/>
      </c>
      <c r="H21" s="487">
        <f>INDEX(CALC!$AA$5:$AA$25,MATCH(2029,CALC!$B$5:$B$25,0))</f>
        <v/>
      </c>
      <c r="I21" s="487">
        <f>INDEX(CALC!$AA$5:$AA$25,MATCH(2030,CALC!$B$5:$B$25,0))</f>
        <v/>
      </c>
      <c r="J21" s="479" t="inlineStr">
        <is>
          <t>▶ 근거</t>
        </is>
      </c>
    </row>
    <row r="22">
      <c r="B22" s="486" t="inlineStr">
        <is>
          <t>SVK HCT 시장매출 (백만원)</t>
        </is>
      </c>
      <c r="C22" s="487">
        <f>INDEX(근거_매출!$B$28:$N$28,표시연도-1-2017)</f>
        <v/>
      </c>
      <c r="D22" s="486" t="inlineStr">
        <is>
          <t>DSKR 매출수량 × 연도별 단가</t>
        </is>
      </c>
      <c r="E22" s="487">
        <f>INDEX(근거_매출!$B$28:$N$28,표시연도-2017)</f>
        <v/>
      </c>
      <c r="F22" s="487">
        <f>INDEX(근거_매출!$B$28:$N$28,2027-2017)</f>
        <v/>
      </c>
      <c r="G22" s="487">
        <f>INDEX(근거_매출!$B$28:$N$28,2028-2017)</f>
        <v/>
      </c>
      <c r="H22" s="487">
        <f>INDEX(근거_매출!$B$28:$N$28,2029-2017)</f>
        <v/>
      </c>
      <c r="I22" s="487">
        <f>INDEX(근거_매출!$B$28:$N$28,2030-2017)</f>
        <v/>
      </c>
      <c r="J22" s="479" t="inlineStr">
        <is>
          <t>▶ 근거</t>
        </is>
      </c>
    </row>
    <row r="23">
      <c r="H23" s="488">
        <f>"※ 시나리오 밴드(FY2030): "&amp;TEXT(근거_매출!N32,"#,##0")&amp;" ~ "&amp;TEXT(근거_매출!N31,"#,##0")&amp;" (제네릭 침투 ±10%p) · MKT Base 병행 →"</f>
        <v/>
      </c>
      <c r="I23" s="489">
        <f>HYPERLINK("#'FCST RESULT'!A1","상세: FCST RESULT ▶")</f>
        <v/>
      </c>
    </row>
    <row r="25">
      <c r="B25" s="490" t="inlineStr">
        <is>
          <t>※ 기준 수치 - 출처 및 기준연도</t>
        </is>
      </c>
    </row>
    <row r="26">
      <c r="B26" s="490" t="inlineStr">
        <is>
          <t>① 환자 현황</t>
        </is>
      </c>
    </row>
    <row r="27">
      <c r="B27" s="490" t="inlineStr">
        <is>
          <t xml:space="preserve">     1)고혈압 유병환자수: 국민건강영양조사 데이터, CY2024</t>
        </is>
      </c>
    </row>
    <row r="28">
      <c r="B28" s="490" t="inlineStr">
        <is>
          <t xml:space="preserve">     2)고혈압 의료이용 환자수: HIRA 고혈압(ICD-10: I10) 주부상병, CY2024</t>
        </is>
      </c>
    </row>
    <row r="29">
      <c r="B29" s="490" t="inlineStr">
        <is>
          <t xml:space="preserve">     3)고혈압 치료·ARB처방환자수: 건보공단 전수 데이터, CY2023</t>
        </is>
      </c>
    </row>
    <row r="30">
      <c r="B30" s="490" t="inlineStr">
        <is>
          <t>② 시장 구조(VPP·ARB 처방량·복합제 처방량): UBIST, FY2025</t>
        </is>
      </c>
    </row>
    <row r="31">
      <c r="B31" s="490" t="inlineStr">
        <is>
          <t>③ 경쟁 현황(성분별·성분 내 MS): UBIST, FY2025</t>
        </is>
      </c>
    </row>
    <row r="32">
      <c r="B32" s="490" t="inlineStr">
        <is>
          <t>④ 시장매출(수량·단가): 내부 시장매출 실측 FY2025 / 단가: FY2026 목표단가 (채널·용량별 물량가중)</t>
        </is>
      </c>
    </row>
    <row r="34">
      <c r="B34" s="491" t="inlineStr">
        <is>
          <t>■ 부록 — 백테스트 (rolling-origin 홀드아웃, 2026-09-14 수행)</t>
        </is>
      </c>
    </row>
    <row r="35">
      <c r="B35" s="492" t="inlineStr">
        <is>
          <t>시점(실측 월수)</t>
        </is>
      </c>
      <c r="C35" s="492" t="inlineStr">
        <is>
          <t>그 시점의 FY2026E</t>
        </is>
      </c>
      <c r="D35" s="492" t="inlineStr">
        <is>
          <t>최종(4개월) 대비</t>
        </is>
      </c>
      <c r="E35" s="492" t="inlineStr">
        <is>
          <t>판정</t>
        </is>
      </c>
    </row>
    <row r="36">
      <c r="B36" t="inlineStr">
        <is>
          <t>4월 마감 (1개월)</t>
        </is>
      </c>
      <c r="C36" s="493" t="n">
        <v>33524</v>
      </c>
      <c r="D36" s="494" t="n">
        <v>-0.01301716840298883</v>
      </c>
      <c r="E36" t="inlineStr">
        <is>
          <t>정상</t>
        </is>
      </c>
    </row>
    <row r="37">
      <c r="B37" t="inlineStr">
        <is>
          <t>5월 마감 (2개월)</t>
        </is>
      </c>
      <c r="C37" s="493" t="n">
        <v>33114</v>
      </c>
      <c r="D37" s="494" t="n">
        <v>-0.02506361331049722</v>
      </c>
      <c r="E37" t="inlineStr">
        <is>
          <t>가중치 전환 구간 — 참고용</t>
        </is>
      </c>
    </row>
    <row r="38">
      <c r="B38" t="inlineStr">
        <is>
          <t>6월 마감 (3개월)</t>
        </is>
      </c>
      <c r="C38" s="493" t="n">
        <v>33696</v>
      </c>
      <c r="D38" s="494" t="n">
        <v>-0.007941301913505394</v>
      </c>
      <c r="E38" t="inlineStr">
        <is>
          <t>정상 — 이 시점부터 리비전 논의 유효</t>
        </is>
      </c>
    </row>
    <row r="39">
      <c r="B39" t="inlineStr">
        <is>
          <t>7월 마감 (4개월)</t>
        </is>
      </c>
      <c r="C39" s="493" t="n">
        <v>33966</v>
      </c>
      <c r="D39" t="inlineStr">
        <is>
          <t>기준</t>
        </is>
      </c>
      <c r="E39" t="inlineStr">
        <is>
          <t>현재</t>
        </is>
      </c>
    </row>
    <row r="41">
      <c r="B41" s="472" t="inlineStr">
        <is>
          <t>· 방법: FY2026 실측 월(ARB 시장 Total, 원본_월별 ■A)을 시점별로 제한해 각 시점의 연간 추정을 재현(사본 시뮬레이션). 실측 1개월부터 오차 ±2.5% 이내, 3개월부터 ±1% 이내 수렴, 편향은 일관되게 하방(보수적 방향). 복합제·MS 측은 FY26Q1 분기 실측 고정이므로 월별 롤링은 ARB 시장 성장률에만 작용.</t>
        </is>
      </c>
    </row>
    <row r="42">
      <c r="B42" s="472" t="inlineStr">
        <is>
          <t>· 결론: 월별 롤링 엔진 이상 없음 (검증 범위: FY2026 ARB 시장 실측 4개월 구간)</t>
        </is>
      </c>
    </row>
  </sheetData>
  <mergeCells count="5">
    <mergeCell ref="A17:A18"/>
    <mergeCell ref="A20:A22"/>
    <mergeCell ref="A6:A9"/>
    <mergeCell ref="A15:A16"/>
    <mergeCell ref="A10:A14"/>
  </mergeCells>
  <hyperlinks>
    <hyperlink ref="J6" location="근거_유병환자수!A1" display="▶ 근거"/>
    <hyperlink ref="J7" location="근거_의료이용환자수!A1" display="▶ 근거"/>
    <hyperlink ref="J8" location="근거_고혈압치료환자수!A1" display="▶ 근거"/>
    <hyperlink ref="J9" location="근거_ARB처방환자수!A1" display="▶ 근거"/>
    <hyperlink ref="J10" location="근거_ARB처방량!A1" display="▶ 근거"/>
    <hyperlink ref="J11" location="근거_ARB처방량!A1" display="▶ 근거"/>
    <hyperlink ref="J12" location="'근거_ARB+CCB+DU복합제처방량'!A1" display="▶ 근거"/>
    <hyperlink ref="J13" location="'근거_SVK HCT처방량'!A1" display="▶ 근거"/>
    <hyperlink ref="J14" location="'근거_SVK HCT처방량'!A1" display="▶ 근거"/>
    <hyperlink ref="J15" location="'근거_SVK HCT처방량'!A1" display="▶ 근거"/>
    <hyperlink ref="J16" location="'근거_SVK HCT처방량'!A1" display="▶ 근거"/>
    <hyperlink ref="J17" location="근거_매출!A1" display="▶ 근거"/>
    <hyperlink ref="J18" location="근거_매출!A1" display="▶ 근거"/>
    <hyperlink ref="J20" location="'근거_ARB+CCB+DU복합제처방량'!A1" display="▶ 근거"/>
    <hyperlink ref="J21" location="'근거_SVK HCT처방량'!A1" display="▶ 근거"/>
    <hyperlink ref="J22" location="근거_매출!A1" display="▶ 근거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1:V64"/>
  <sheetViews>
    <sheetView showGridLines="0" tabSelected="0" zoomScaleNormal="100" workbookViewId="0">
      <pane xSplit="1" ySplit="4" topLeftCell="B29" activePane="bottomRight" state="frozen"/>
      <selection pane="bottomRight" activeCell="C38" sqref="A1:XFD1048576"/>
      <selection pane="bottomLeft" activeCell="A42" sqref="A42"/>
      <selection pane="topRight" activeCell="I1" sqref="I1"/>
    </sheetView>
  </sheetViews>
  <sheetFormatPr baseColWidth="8" defaultColWidth="8.5" defaultRowHeight="16.5"/>
  <cols>
    <col width="56" customWidth="1" style="9" min="1" max="1"/>
    <col width="10.625" customWidth="1" style="9" min="2" max="2"/>
    <col width="11.875" customWidth="1" style="9" min="3" max="5"/>
    <col width="10.625" customWidth="1" style="9" min="6" max="6"/>
    <col width="11.875" customWidth="1" style="9" min="7" max="22"/>
  </cols>
  <sheetData>
    <row r="1" ht="20.25" customHeight="1" s="9">
      <c r="A1" s="171" t="inlineStr">
        <is>
          <t xml:space="preserve">고혈압 유병환자수 산출  :   KNHANES 기반 추정 </t>
        </is>
      </c>
    </row>
    <row r="2" ht="7.5" customHeight="1" s="9">
      <c r="A2" s="35" t="inlineStr">
        <is>
          <t> </t>
        </is>
      </c>
    </row>
    <row r="3" ht="16.5" customHeight="1" s="9">
      <c r="B3" s="36" t="inlineStr">
        <is>
          <t>◀ 실측 (국민건강영양조사, 2010~2024)</t>
        </is>
      </c>
      <c r="L3" s="36" t="n"/>
      <c r="M3" s="36" t="n"/>
      <c r="O3" s="36" t="n"/>
      <c r="P3" s="36" t="n"/>
      <c r="Q3" s="36" t="inlineStr">
        <is>
          <t>예측 (회귀, 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인구 (명)                [통계청 장래인구추계, 중위]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0" t="inlineStr">
        <is>
          <t xml:space="preserve">  20-29세</t>
        </is>
      </c>
      <c r="B6" s="179" t="n">
        <v>6973154</v>
      </c>
      <c r="C6" s="179" t="n">
        <v>6840475</v>
      </c>
      <c r="D6" s="179" t="n">
        <v>6733813</v>
      </c>
      <c r="E6" s="179" t="n">
        <v>6686161</v>
      </c>
      <c r="F6" s="179" t="n">
        <v>6716535</v>
      </c>
      <c r="G6" s="179" t="n">
        <v>6781422</v>
      </c>
      <c r="H6" s="179" t="n">
        <v>6839660</v>
      </c>
      <c r="I6" s="179" t="n">
        <v>6897818</v>
      </c>
      <c r="J6" s="179" t="n">
        <v>6991259</v>
      </c>
      <c r="K6" s="179" t="n">
        <v>7026828</v>
      </c>
      <c r="L6" s="179" t="n">
        <v>7037893</v>
      </c>
      <c r="M6" s="179" t="n">
        <v>6953529</v>
      </c>
      <c r="N6" s="179" t="n">
        <v>6734021</v>
      </c>
      <c r="O6" s="179" t="n">
        <v>6548381</v>
      </c>
      <c r="P6" s="179" t="n">
        <v>6372432</v>
      </c>
      <c r="Q6" s="179" t="n">
        <v>6136764</v>
      </c>
      <c r="R6" s="179" t="n">
        <v>5887622</v>
      </c>
      <c r="S6" s="179" t="n">
        <v>5678166</v>
      </c>
      <c r="T6" s="179" t="n">
        <v>5510243</v>
      </c>
      <c r="U6" s="179" t="n">
        <v>5341561</v>
      </c>
      <c r="V6" s="179" t="n">
        <v>5157518</v>
      </c>
    </row>
    <row r="7" ht="16.5" customHeight="1" s="9">
      <c r="A7" s="0" t="inlineStr">
        <is>
          <t xml:space="preserve">  30-39세</t>
        </is>
      </c>
      <c r="B7" s="179" t="n">
        <v>8264820</v>
      </c>
      <c r="C7" s="179" t="n">
        <v>8208754</v>
      </c>
      <c r="D7" s="179" t="n">
        <v>8146381</v>
      </c>
      <c r="E7" s="179" t="n">
        <v>8035971</v>
      </c>
      <c r="F7" s="179" t="n">
        <v>7899840</v>
      </c>
      <c r="G7" s="179" t="n">
        <v>7763702</v>
      </c>
      <c r="H7" s="179" t="n">
        <v>7652940</v>
      </c>
      <c r="I7" s="179" t="n">
        <v>7545842</v>
      </c>
      <c r="J7" s="179" t="n">
        <v>7456227</v>
      </c>
      <c r="K7" s="179" t="n">
        <v>7358231</v>
      </c>
      <c r="L7" s="179" t="n">
        <v>7174782</v>
      </c>
      <c r="M7" s="179" t="n">
        <v>6989477</v>
      </c>
      <c r="N7" s="179" t="n">
        <v>6872945</v>
      </c>
      <c r="O7" s="179" t="n">
        <v>6874383</v>
      </c>
      <c r="P7" s="179" t="n">
        <v>6913023</v>
      </c>
      <c r="Q7" s="179" t="n">
        <v>6975568</v>
      </c>
      <c r="R7" s="179" t="n">
        <v>7037580</v>
      </c>
      <c r="S7" s="179" t="n">
        <v>7096790</v>
      </c>
      <c r="T7" s="179" t="n">
        <v>7152255</v>
      </c>
      <c r="U7" s="179" t="n">
        <v>7158328</v>
      </c>
      <c r="V7" s="179" t="n">
        <v>7156565</v>
      </c>
    </row>
    <row r="8" ht="16.5" customHeight="1" s="9">
      <c r="A8" s="0" t="inlineStr">
        <is>
          <t xml:space="preserve">  40-49세</t>
        </is>
      </c>
      <c r="B8" s="179" t="n">
        <v>8578079</v>
      </c>
      <c r="C8" s="179" t="n">
        <v>8600111</v>
      </c>
      <c r="D8" s="179" t="n">
        <v>8657375</v>
      </c>
      <c r="E8" s="179" t="n">
        <v>8653288</v>
      </c>
      <c r="F8" s="179" t="n">
        <v>8774714</v>
      </c>
      <c r="G8" s="179" t="n">
        <v>8752417</v>
      </c>
      <c r="H8" s="179" t="n">
        <v>8671799</v>
      </c>
      <c r="I8" s="179" t="n">
        <v>8585346</v>
      </c>
      <c r="J8" s="179" t="n">
        <v>8504579</v>
      </c>
      <c r="K8" s="179" t="n">
        <v>8335481</v>
      </c>
      <c r="L8" s="179" t="n">
        <v>8257903</v>
      </c>
      <c r="M8" s="179" t="n">
        <v>8158318</v>
      </c>
      <c r="N8" s="179" t="n">
        <v>8097011</v>
      </c>
      <c r="O8" s="179" t="n">
        <v>7993159</v>
      </c>
      <c r="P8" s="179" t="n">
        <v>7852297</v>
      </c>
      <c r="Q8" s="179" t="n">
        <v>7717016</v>
      </c>
      <c r="R8" s="179" t="n">
        <v>7624180</v>
      </c>
      <c r="S8" s="179" t="n">
        <v>7530657</v>
      </c>
      <c r="T8" s="179" t="n">
        <v>7417118</v>
      </c>
      <c r="U8" s="179" t="n">
        <v>7309393</v>
      </c>
      <c r="V8" s="179" t="n">
        <v>7147423</v>
      </c>
    </row>
    <row r="9" ht="16.5" customHeight="1" s="9">
      <c r="A9" s="0" t="inlineStr">
        <is>
          <t xml:space="preserve">  50-59세</t>
        </is>
      </c>
      <c r="B9" s="179" t="n">
        <v>6751678</v>
      </c>
      <c r="C9" s="179" t="n">
        <v>7229163</v>
      </c>
      <c r="D9" s="179" t="n">
        <v>7504944</v>
      </c>
      <c r="E9" s="179" t="n">
        <v>7821975</v>
      </c>
      <c r="F9" s="179" t="n">
        <v>8033801</v>
      </c>
      <c r="G9" s="179" t="n">
        <v>8173256</v>
      </c>
      <c r="H9" s="179" t="n">
        <v>8305212</v>
      </c>
      <c r="I9" s="179" t="n">
        <v>8389739</v>
      </c>
      <c r="J9" s="179" t="n">
        <v>8462781</v>
      </c>
      <c r="K9" s="179" t="n">
        <v>8593283</v>
      </c>
      <c r="L9" s="179" t="n">
        <v>8575336</v>
      </c>
      <c r="M9" s="179" t="n">
        <v>8539374</v>
      </c>
      <c r="N9" s="179" t="n">
        <v>8603509</v>
      </c>
      <c r="O9" s="179" t="n">
        <v>8596363</v>
      </c>
      <c r="P9" s="179" t="n">
        <v>8705899</v>
      </c>
      <c r="Q9" s="179" t="n">
        <v>8660370</v>
      </c>
      <c r="R9" s="179" t="n">
        <v>8586606</v>
      </c>
      <c r="S9" s="179" t="n">
        <v>8508537</v>
      </c>
      <c r="T9" s="179" t="n">
        <v>8417195</v>
      </c>
      <c r="U9" s="179" t="n">
        <v>8247351</v>
      </c>
      <c r="V9" s="179" t="n">
        <v>8195954</v>
      </c>
    </row>
    <row r="10" ht="16.5" customHeight="1" s="9">
      <c r="A10" s="0" t="inlineStr">
        <is>
          <t xml:space="preserve">  60-69세</t>
        </is>
      </c>
      <c r="B10" s="179" t="n">
        <v>4090354</v>
      </c>
      <c r="C10" s="179" t="n">
        <v>4149296</v>
      </c>
      <c r="D10" s="179" t="n">
        <v>4252495</v>
      </c>
      <c r="E10" s="179" t="n">
        <v>4358060</v>
      </c>
      <c r="F10" s="179" t="n">
        <v>4546950</v>
      </c>
      <c r="G10" s="179" t="n">
        <v>4856462</v>
      </c>
      <c r="H10" s="179" t="n">
        <v>5204346</v>
      </c>
      <c r="I10" s="179" t="n">
        <v>5456887</v>
      </c>
      <c r="J10" s="179" t="n">
        <v>5745656</v>
      </c>
      <c r="K10" s="179" t="n">
        <v>6076571</v>
      </c>
      <c r="L10" s="179" t="n">
        <v>6476602</v>
      </c>
      <c r="M10" s="179" t="n">
        <v>6959660</v>
      </c>
      <c r="N10" s="179" t="n">
        <v>7211963</v>
      </c>
      <c r="O10" s="179" t="n">
        <v>7532388</v>
      </c>
      <c r="P10" s="179" t="n">
        <v>7720341</v>
      </c>
      <c r="Q10" s="179" t="n">
        <v>7844071</v>
      </c>
      <c r="R10" s="179" t="n">
        <v>7980101</v>
      </c>
      <c r="S10" s="179" t="n">
        <v>8068291</v>
      </c>
      <c r="T10" s="179" t="n">
        <v>8139161</v>
      </c>
      <c r="U10" s="179" t="n">
        <v>8263910</v>
      </c>
      <c r="V10" s="179" t="n">
        <v>8262115</v>
      </c>
    </row>
    <row r="11" ht="16.5" customHeight="1" s="9">
      <c r="A11" s="0" t="inlineStr">
        <is>
          <t xml:space="preserve">  70세 이상</t>
        </is>
      </c>
      <c r="B11" s="179" t="n">
        <v>3487795</v>
      </c>
      <c r="C11" s="179" t="n">
        <v>3668843</v>
      </c>
      <c r="D11" s="179" t="n">
        <v>3892038</v>
      </c>
      <c r="E11" s="179" t="n">
        <v>4108151</v>
      </c>
      <c r="F11" s="179" t="n">
        <v>4271397</v>
      </c>
      <c r="G11" s="179" t="n">
        <v>4435537</v>
      </c>
      <c r="H11" s="179" t="n">
        <v>4547079</v>
      </c>
      <c r="I11" s="179" t="n">
        <v>4779541</v>
      </c>
      <c r="J11" s="179" t="n">
        <v>5009497</v>
      </c>
      <c r="K11" s="179" t="n">
        <v>5240372</v>
      </c>
      <c r="L11" s="179" t="n">
        <v>5489635</v>
      </c>
      <c r="M11" s="179" t="n">
        <v>5674954</v>
      </c>
      <c r="N11" s="179" t="n">
        <v>5917283</v>
      </c>
      <c r="O11" s="179" t="n">
        <v>6161633</v>
      </c>
      <c r="P11" s="179" t="n">
        <v>6428985</v>
      </c>
      <c r="Q11" s="179" t="n">
        <v>6825302</v>
      </c>
      <c r="R11" s="179" t="n">
        <v>7187553</v>
      </c>
      <c r="S11" s="179" t="n">
        <v>7574606</v>
      </c>
      <c r="T11" s="179" t="n">
        <v>7991794</v>
      </c>
      <c r="U11" s="179" t="n">
        <v>8433421</v>
      </c>
      <c r="V11" s="179" t="n">
        <v>8943049</v>
      </c>
    </row>
    <row r="12" ht="16.5" customHeight="1" s="9">
      <c r="A12" s="180" t="inlineStr">
        <is>
          <t xml:space="preserve">  전체 (20세+)</t>
        </is>
      </c>
      <c r="B12" s="172">
        <f>SUM(B6:B11)</f>
        <v/>
      </c>
      <c r="C12" s="172">
        <f>SUM(C6:C11)</f>
        <v/>
      </c>
      <c r="D12" s="172">
        <f>SUM(D6:D11)</f>
        <v/>
      </c>
      <c r="E12" s="172">
        <f>SUM(E6:E11)</f>
        <v/>
      </c>
      <c r="F12" s="172">
        <f>SUM(F6:F11)</f>
        <v/>
      </c>
      <c r="G12" s="172">
        <f>SUM(G6:G11)</f>
        <v/>
      </c>
      <c r="H12" s="172">
        <f>SUM(H6:H11)</f>
        <v/>
      </c>
      <c r="I12" s="172">
        <f>SUM(I6:I11)</f>
        <v/>
      </c>
      <c r="J12" s="172">
        <f>SUM(J6:J11)</f>
        <v/>
      </c>
      <c r="K12" s="172">
        <f>SUM(K6:K11)</f>
        <v/>
      </c>
      <c r="L12" s="172">
        <f>SUM(L6:L11)</f>
        <v/>
      </c>
      <c r="M12" s="172">
        <f>SUM(M6:M11)</f>
        <v/>
      </c>
      <c r="N12" s="172">
        <f>SUM(N6:N11)</f>
        <v/>
      </c>
      <c r="O12" s="172">
        <f>SUM(O6:O11)</f>
        <v/>
      </c>
      <c r="P12" s="172">
        <f>SUM(P6:P11)</f>
        <v/>
      </c>
      <c r="Q12" s="172">
        <f>SUM(Q6:Q11)</f>
        <v/>
      </c>
      <c r="R12" s="172">
        <f>SUM(R6:R11)</f>
        <v/>
      </c>
      <c r="S12" s="172">
        <f>SUM(S6:S11)</f>
        <v/>
      </c>
      <c r="T12" s="172">
        <f>SUM(T6:T11)</f>
        <v/>
      </c>
      <c r="U12" s="172">
        <f>SUM(U6:U11)</f>
        <v/>
      </c>
      <c r="V12" s="172">
        <f>SUM(V6:V11)</f>
        <v/>
      </c>
    </row>
    <row r="14" ht="16.5" customHeight="1" s="9">
      <c r="A14" s="177" t="inlineStr">
        <is>
          <t>■ B. 연령별 유병률 (%)   [2010~24 : 고혈압 유병비율  |  2025~30 : 연령대별 다른 방법으로 예측1]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8" t="n"/>
      <c r="V14" s="178" t="n"/>
    </row>
    <row r="15" ht="16.5" customHeight="1" s="9">
      <c r="A15" s="0" t="inlineStr">
        <is>
          <t xml:space="preserve">  20-29세</t>
        </is>
      </c>
      <c r="B15" s="181" t="n">
        <v>2.5</v>
      </c>
      <c r="C15" s="181" t="n">
        <v>7</v>
      </c>
      <c r="D15" s="181" t="n">
        <v>4.8</v>
      </c>
      <c r="E15" s="181" t="n">
        <v>4.2</v>
      </c>
      <c r="F15" s="181" t="n">
        <v>2.2</v>
      </c>
      <c r="G15" s="181" t="n">
        <v>2.7</v>
      </c>
      <c r="H15" s="181" t="n">
        <v>3.5</v>
      </c>
      <c r="I15" s="181" t="n">
        <v>5.1</v>
      </c>
      <c r="J15" s="181" t="n">
        <v>5.4</v>
      </c>
      <c r="K15" s="181" t="n">
        <v>5.2</v>
      </c>
      <c r="L15" s="352" t="n">
        <v>4.4</v>
      </c>
      <c r="M15" s="352" t="n">
        <v>2.8</v>
      </c>
      <c r="N15" s="352" t="n">
        <v>4.3</v>
      </c>
      <c r="O15" s="352" t="n">
        <v>1.5</v>
      </c>
      <c r="P15" s="181" t="n">
        <v>3.1</v>
      </c>
      <c r="Q15" s="353">
        <f>$I43</f>
        <v/>
      </c>
      <c r="R15" s="353">
        <f>$I43</f>
        <v/>
      </c>
      <c r="S15" s="353">
        <f>$I43</f>
        <v/>
      </c>
      <c r="T15" s="353">
        <f>$I43</f>
        <v/>
      </c>
      <c r="U15" s="353">
        <f>$I43</f>
        <v/>
      </c>
      <c r="V15" s="353">
        <f>$I43</f>
        <v/>
      </c>
    </row>
    <row r="16" ht="16.5" customHeight="1" s="9">
      <c r="A16" s="0" t="inlineStr">
        <is>
          <t xml:space="preserve">  30-39세</t>
        </is>
      </c>
      <c r="B16" s="181" t="n">
        <v>7.2</v>
      </c>
      <c r="C16" s="181" t="n">
        <v>9.1</v>
      </c>
      <c r="D16" s="181" t="n">
        <v>9.5</v>
      </c>
      <c r="E16" s="181" t="n">
        <v>9.699999999999999</v>
      </c>
      <c r="F16" s="181" t="n">
        <v>7.3</v>
      </c>
      <c r="G16" s="181" t="n">
        <v>8.699999999999999</v>
      </c>
      <c r="H16" s="181" t="n">
        <v>10.3</v>
      </c>
      <c r="I16" s="181" t="n">
        <v>11.3</v>
      </c>
      <c r="J16" s="181" t="n">
        <v>11.7</v>
      </c>
      <c r="K16" s="181" t="n">
        <v>9.5</v>
      </c>
      <c r="L16" s="352" t="n">
        <v>11.4</v>
      </c>
      <c r="M16" s="352" t="n">
        <v>10</v>
      </c>
      <c r="N16" s="352" t="n">
        <v>8.699999999999999</v>
      </c>
      <c r="O16" s="352" t="n">
        <v>6.2</v>
      </c>
      <c r="P16" s="181" t="n">
        <v>9.1</v>
      </c>
      <c r="Q16" s="353">
        <f>$I44</f>
        <v/>
      </c>
      <c r="R16" s="353">
        <f>$I44</f>
        <v/>
      </c>
      <c r="S16" s="353">
        <f>$I44</f>
        <v/>
      </c>
      <c r="T16" s="353">
        <f>$I44</f>
        <v/>
      </c>
      <c r="U16" s="353">
        <f>$I44</f>
        <v/>
      </c>
      <c r="V16" s="353">
        <f>$I44</f>
        <v/>
      </c>
    </row>
    <row r="17" ht="16.5" customHeight="1" s="9">
      <c r="A17" s="0" t="inlineStr">
        <is>
          <t xml:space="preserve">  40-49세</t>
        </is>
      </c>
      <c r="B17" s="181" t="n">
        <v>17</v>
      </c>
      <c r="C17" s="181" t="n">
        <v>21.1</v>
      </c>
      <c r="D17" s="181" t="n">
        <v>22.6</v>
      </c>
      <c r="E17" s="181" t="n">
        <v>19.5</v>
      </c>
      <c r="F17" s="181" t="n">
        <v>17.7</v>
      </c>
      <c r="G17" s="181" t="n">
        <v>20.7</v>
      </c>
      <c r="H17" s="181" t="n">
        <v>21.7</v>
      </c>
      <c r="I17" s="181" t="n">
        <v>19.2</v>
      </c>
      <c r="J17" s="181" t="n">
        <v>20.6</v>
      </c>
      <c r="K17" s="181" t="n">
        <v>19</v>
      </c>
      <c r="L17" s="352" t="n">
        <v>20.8</v>
      </c>
      <c r="M17" s="352" t="n">
        <v>19.7</v>
      </c>
      <c r="N17" s="352" t="n">
        <v>20.1</v>
      </c>
      <c r="O17" s="352" t="n">
        <v>17.2</v>
      </c>
      <c r="P17" s="181" t="n">
        <v>20.4</v>
      </c>
      <c r="Q17" s="353">
        <f>$I45</f>
        <v/>
      </c>
      <c r="R17" s="353">
        <f>$I45</f>
        <v/>
      </c>
      <c r="S17" s="353">
        <f>$I45</f>
        <v/>
      </c>
      <c r="T17" s="353">
        <f>$I45</f>
        <v/>
      </c>
      <c r="U17" s="353">
        <f>$I45</f>
        <v/>
      </c>
      <c r="V17" s="353">
        <f>$I45</f>
        <v/>
      </c>
    </row>
    <row r="18" ht="16.5" customHeight="1" s="9">
      <c r="A18" s="0" t="inlineStr">
        <is>
          <t xml:space="preserve">  50-59세</t>
        </is>
      </c>
      <c r="B18" s="181" t="n">
        <v>37.3</v>
      </c>
      <c r="C18" s="181" t="n">
        <v>33.8</v>
      </c>
      <c r="D18" s="181" t="n">
        <v>34.5</v>
      </c>
      <c r="E18" s="181" t="n">
        <v>35.9</v>
      </c>
      <c r="F18" s="181" t="n">
        <v>32</v>
      </c>
      <c r="G18" s="181" t="n">
        <v>33.9</v>
      </c>
      <c r="H18" s="181" t="n">
        <v>36.5</v>
      </c>
      <c r="I18" s="181" t="n">
        <v>32.1</v>
      </c>
      <c r="J18" s="181" t="n">
        <v>34.7</v>
      </c>
      <c r="K18" s="181" t="n">
        <v>32.3</v>
      </c>
      <c r="L18" s="352" t="n">
        <v>35.9</v>
      </c>
      <c r="M18" s="352" t="n">
        <v>31.2</v>
      </c>
      <c r="N18" s="352" t="n">
        <v>33.5</v>
      </c>
      <c r="O18" s="352" t="n">
        <v>33.7</v>
      </c>
      <c r="P18" s="181" t="n">
        <v>34.7</v>
      </c>
      <c r="Q18" s="353">
        <f>$I46</f>
        <v/>
      </c>
      <c r="R18" s="353">
        <f>$I46</f>
        <v/>
      </c>
      <c r="S18" s="353">
        <f>$I46</f>
        <v/>
      </c>
      <c r="T18" s="353">
        <f>$I46</f>
        <v/>
      </c>
      <c r="U18" s="353">
        <f>$I46</f>
        <v/>
      </c>
      <c r="V18" s="353">
        <f>$I46</f>
        <v/>
      </c>
    </row>
    <row r="19" ht="16.5" customHeight="1" s="9">
      <c r="A19" s="0" t="inlineStr">
        <is>
          <t xml:space="preserve">  60-69세</t>
        </is>
      </c>
      <c r="B19" s="181" t="n">
        <v>55.6</v>
      </c>
      <c r="C19" s="181" t="n">
        <v>55.4</v>
      </c>
      <c r="D19" s="181" t="n">
        <v>54</v>
      </c>
      <c r="E19" s="181" t="n">
        <v>48.7</v>
      </c>
      <c r="F19" s="181" t="n">
        <v>48.5</v>
      </c>
      <c r="G19" s="181" t="n">
        <v>51.8</v>
      </c>
      <c r="H19" s="181" t="n">
        <v>50.9</v>
      </c>
      <c r="I19" s="181" t="n">
        <v>46.9</v>
      </c>
      <c r="J19" s="181" t="n">
        <v>46</v>
      </c>
      <c r="K19" s="181" t="n">
        <v>51.5</v>
      </c>
      <c r="L19" s="352" t="n">
        <v>48.1</v>
      </c>
      <c r="M19" s="352" t="n">
        <v>48</v>
      </c>
      <c r="N19" s="352" t="n">
        <v>48.9</v>
      </c>
      <c r="O19" s="352" t="n">
        <v>47.3</v>
      </c>
      <c r="P19" s="181" t="n">
        <v>51.4</v>
      </c>
      <c r="Q19" s="353">
        <f>$C$47*Q$4+$D$47</f>
        <v/>
      </c>
      <c r="R19" s="353">
        <f>$C$47*R$4+$D$47</f>
        <v/>
      </c>
      <c r="S19" s="353">
        <f>$C$47*S$4+$D$47</f>
        <v/>
      </c>
      <c r="T19" s="353">
        <f>$C$47*T$4+$D$47</f>
        <v/>
      </c>
      <c r="U19" s="353">
        <f>$C$47*U$4+$D$47</f>
        <v/>
      </c>
      <c r="V19" s="353">
        <f>$C$47*V$4+$D$47</f>
        <v/>
      </c>
    </row>
    <row r="20" ht="16.5" customHeight="1" s="9">
      <c r="A20" s="184" t="inlineStr">
        <is>
          <t xml:space="preserve">  70세 이상</t>
        </is>
      </c>
      <c r="B20" s="185" t="n">
        <v>61.2</v>
      </c>
      <c r="C20" s="185" t="n">
        <v>66.59999999999999</v>
      </c>
      <c r="D20" s="185" t="n">
        <v>66.40000000000001</v>
      </c>
      <c r="E20" s="185" t="n">
        <v>62.3</v>
      </c>
      <c r="F20" s="185" t="n">
        <v>63.5</v>
      </c>
      <c r="G20" s="185" t="n">
        <v>67.5</v>
      </c>
      <c r="H20" s="185" t="n">
        <v>69.2</v>
      </c>
      <c r="I20" s="185" t="n">
        <v>64.7</v>
      </c>
      <c r="J20" s="185" t="n">
        <v>70.2</v>
      </c>
      <c r="K20" s="185" t="n">
        <v>67.2</v>
      </c>
      <c r="L20" s="354" t="n">
        <v>65.3</v>
      </c>
      <c r="M20" s="354" t="n">
        <v>66.40000000000001</v>
      </c>
      <c r="N20" s="354" t="n">
        <v>68.7</v>
      </c>
      <c r="O20" s="354" t="n">
        <v>68.40000000000001</v>
      </c>
      <c r="P20" s="185" t="n">
        <v>65.2</v>
      </c>
      <c r="Q20" s="355">
        <f>$I48</f>
        <v/>
      </c>
      <c r="R20" s="355">
        <f>$I48</f>
        <v/>
      </c>
      <c r="S20" s="355">
        <f>$I48</f>
        <v/>
      </c>
      <c r="T20" s="355">
        <f>$I48</f>
        <v/>
      </c>
      <c r="U20" s="355">
        <f>$I48</f>
        <v/>
      </c>
      <c r="V20" s="355">
        <f>$I48</f>
        <v/>
      </c>
    </row>
    <row r="22" ht="16.5" customHeight="1" s="9">
      <c r="A22" s="177" t="inlineStr">
        <is>
          <t>■ C. 고혈압 유병환자수 (명)   [2013~30 : 유병률(B) × 인구(A)]</t>
        </is>
      </c>
      <c r="B22" s="178" t="n"/>
      <c r="C22" s="178" t="n"/>
      <c r="D22" s="178" t="n"/>
      <c r="E22" s="178" t="n"/>
      <c r="F22" s="178" t="n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8" t="n"/>
      <c r="V22" s="178" t="n"/>
    </row>
    <row r="23" ht="16.5" customHeight="1" s="9">
      <c r="A23" s="0" t="inlineStr">
        <is>
          <t xml:space="preserve">  20-29세</t>
        </is>
      </c>
      <c r="B23" s="188">
        <f>B6*B15%</f>
        <v/>
      </c>
      <c r="C23" s="188">
        <f>C6*C15%</f>
        <v/>
      </c>
      <c r="D23" s="188">
        <f>D6*D15%</f>
        <v/>
      </c>
      <c r="E23" s="188">
        <f>E6*E15%</f>
        <v/>
      </c>
      <c r="F23" s="188">
        <f>F6*F15%</f>
        <v/>
      </c>
      <c r="G23" s="188">
        <f>G6*G15%</f>
        <v/>
      </c>
      <c r="H23" s="188">
        <f>H6*H15%</f>
        <v/>
      </c>
      <c r="I23" s="188">
        <f>I6*I15%</f>
        <v/>
      </c>
      <c r="J23" s="188">
        <f>J6*J15%</f>
        <v/>
      </c>
      <c r="K23" s="188">
        <f>K6*K15%</f>
        <v/>
      </c>
      <c r="L23" s="188">
        <f>L6*L15%</f>
        <v/>
      </c>
      <c r="M23" s="188">
        <f>M6*M15%</f>
        <v/>
      </c>
      <c r="N23" s="188">
        <f>N6*N15%</f>
        <v/>
      </c>
      <c r="O23" s="188">
        <f>O6*O15%</f>
        <v/>
      </c>
      <c r="P23" s="188">
        <f>P6*P15%</f>
        <v/>
      </c>
      <c r="Q23" s="356">
        <f>Q6*Q15%</f>
        <v/>
      </c>
      <c r="R23" s="356">
        <f>R6*R15%</f>
        <v/>
      </c>
      <c r="S23" s="356">
        <f>S6*S15%</f>
        <v/>
      </c>
      <c r="T23" s="356">
        <f>T6*T15%</f>
        <v/>
      </c>
      <c r="U23" s="356">
        <f>U6*U15%</f>
        <v/>
      </c>
      <c r="V23" s="356">
        <f>V6*V15%</f>
        <v/>
      </c>
    </row>
    <row r="24" ht="16.5" customHeight="1" s="9">
      <c r="A24" s="0" t="inlineStr">
        <is>
          <t xml:space="preserve">  30-39세</t>
        </is>
      </c>
      <c r="B24" s="188">
        <f>B7*B16%</f>
        <v/>
      </c>
      <c r="C24" s="188">
        <f>C7*C16%</f>
        <v/>
      </c>
      <c r="D24" s="188">
        <f>D7*D16%</f>
        <v/>
      </c>
      <c r="E24" s="188">
        <f>E7*E16%</f>
        <v/>
      </c>
      <c r="F24" s="188">
        <f>F7*F16%</f>
        <v/>
      </c>
      <c r="G24" s="188">
        <f>G7*G16%</f>
        <v/>
      </c>
      <c r="H24" s="188">
        <f>H7*H16%</f>
        <v/>
      </c>
      <c r="I24" s="188">
        <f>I7*I16%</f>
        <v/>
      </c>
      <c r="J24" s="188">
        <f>J7*J16%</f>
        <v/>
      </c>
      <c r="K24" s="188">
        <f>K7*K16%</f>
        <v/>
      </c>
      <c r="L24" s="188">
        <f>L7*L16%</f>
        <v/>
      </c>
      <c r="M24" s="188">
        <f>M7*M16%</f>
        <v/>
      </c>
      <c r="N24" s="188">
        <f>N7*N16%</f>
        <v/>
      </c>
      <c r="O24" s="188">
        <f>O7*O16%</f>
        <v/>
      </c>
      <c r="P24" s="188">
        <f>P7*P16%</f>
        <v/>
      </c>
      <c r="Q24" s="356">
        <f>Q7*Q16%</f>
        <v/>
      </c>
      <c r="R24" s="356">
        <f>R7*R16%</f>
        <v/>
      </c>
      <c r="S24" s="356">
        <f>S7*S16%</f>
        <v/>
      </c>
      <c r="T24" s="356">
        <f>T7*T16%</f>
        <v/>
      </c>
      <c r="U24" s="356">
        <f>U7*U16%</f>
        <v/>
      </c>
      <c r="V24" s="356">
        <f>V7*V16%</f>
        <v/>
      </c>
    </row>
    <row r="25" ht="16.5" customHeight="1" s="9">
      <c r="A25" s="0" t="inlineStr">
        <is>
          <t xml:space="preserve">  40-49세</t>
        </is>
      </c>
      <c r="B25" s="188">
        <f>B8*B17%</f>
        <v/>
      </c>
      <c r="C25" s="188">
        <f>C8*C17%</f>
        <v/>
      </c>
      <c r="D25" s="188">
        <f>D8*D17%</f>
        <v/>
      </c>
      <c r="E25" s="188">
        <f>E8*E17%</f>
        <v/>
      </c>
      <c r="F25" s="188">
        <f>F8*F17%</f>
        <v/>
      </c>
      <c r="G25" s="188">
        <f>G8*G17%</f>
        <v/>
      </c>
      <c r="H25" s="188">
        <f>H8*H17%</f>
        <v/>
      </c>
      <c r="I25" s="188">
        <f>I8*I17%</f>
        <v/>
      </c>
      <c r="J25" s="188">
        <f>J8*J17%</f>
        <v/>
      </c>
      <c r="K25" s="188">
        <f>K8*K17%</f>
        <v/>
      </c>
      <c r="L25" s="188">
        <f>L8*L17%</f>
        <v/>
      </c>
      <c r="M25" s="188">
        <f>M8*M17%</f>
        <v/>
      </c>
      <c r="N25" s="188">
        <f>N8*N17%</f>
        <v/>
      </c>
      <c r="O25" s="188">
        <f>O8*O17%</f>
        <v/>
      </c>
      <c r="P25" s="188">
        <f>P8*P17%</f>
        <v/>
      </c>
      <c r="Q25" s="356">
        <f>Q8*Q17%</f>
        <v/>
      </c>
      <c r="R25" s="356">
        <f>R8*R17%</f>
        <v/>
      </c>
      <c r="S25" s="356">
        <f>S8*S17%</f>
        <v/>
      </c>
      <c r="T25" s="356">
        <f>T8*T17%</f>
        <v/>
      </c>
      <c r="U25" s="356">
        <f>U8*U17%</f>
        <v/>
      </c>
      <c r="V25" s="356">
        <f>V8*V17%</f>
        <v/>
      </c>
    </row>
    <row r="26" ht="16.5" customHeight="1" s="9">
      <c r="A26" s="0" t="inlineStr">
        <is>
          <t xml:space="preserve">  50-59세</t>
        </is>
      </c>
      <c r="B26" s="188">
        <f>B9*B18%</f>
        <v/>
      </c>
      <c r="C26" s="188">
        <f>C9*C18%</f>
        <v/>
      </c>
      <c r="D26" s="188">
        <f>D9*D18%</f>
        <v/>
      </c>
      <c r="E26" s="188">
        <f>E9*E18%</f>
        <v/>
      </c>
      <c r="F26" s="188">
        <f>F9*F18%</f>
        <v/>
      </c>
      <c r="G26" s="188">
        <f>G9*G18%</f>
        <v/>
      </c>
      <c r="H26" s="188">
        <f>H9*H18%</f>
        <v/>
      </c>
      <c r="I26" s="188">
        <f>I9*I18%</f>
        <v/>
      </c>
      <c r="J26" s="188">
        <f>J9*J18%</f>
        <v/>
      </c>
      <c r="K26" s="188">
        <f>K9*K18%</f>
        <v/>
      </c>
      <c r="L26" s="188">
        <f>L9*L18%</f>
        <v/>
      </c>
      <c r="M26" s="188">
        <f>M9*M18%</f>
        <v/>
      </c>
      <c r="N26" s="188">
        <f>N9*N18%</f>
        <v/>
      </c>
      <c r="O26" s="188">
        <f>O9*O18%</f>
        <v/>
      </c>
      <c r="P26" s="188">
        <f>P9*P18%</f>
        <v/>
      </c>
      <c r="Q26" s="356">
        <f>Q9*Q18%</f>
        <v/>
      </c>
      <c r="R26" s="356">
        <f>R9*R18%</f>
        <v/>
      </c>
      <c r="S26" s="356">
        <f>S9*S18%</f>
        <v/>
      </c>
      <c r="T26" s="356">
        <f>T9*T18%</f>
        <v/>
      </c>
      <c r="U26" s="356">
        <f>U9*U18%</f>
        <v/>
      </c>
      <c r="V26" s="356">
        <f>V9*V18%</f>
        <v/>
      </c>
    </row>
    <row r="27" ht="16.5" customHeight="1" s="9">
      <c r="A27" s="0" t="inlineStr">
        <is>
          <t xml:space="preserve">  60-69세</t>
        </is>
      </c>
      <c r="B27" s="188">
        <f>B10*B19%</f>
        <v/>
      </c>
      <c r="C27" s="188">
        <f>C10*C19%</f>
        <v/>
      </c>
      <c r="D27" s="188">
        <f>D10*D19%</f>
        <v/>
      </c>
      <c r="E27" s="188">
        <f>E10*E19%</f>
        <v/>
      </c>
      <c r="F27" s="188">
        <f>F10*F19%</f>
        <v/>
      </c>
      <c r="G27" s="188">
        <f>G10*G19%</f>
        <v/>
      </c>
      <c r="H27" s="188">
        <f>H10*H19%</f>
        <v/>
      </c>
      <c r="I27" s="188">
        <f>I10*I19%</f>
        <v/>
      </c>
      <c r="J27" s="188">
        <f>J10*J19%</f>
        <v/>
      </c>
      <c r="K27" s="188">
        <f>K10*K19%</f>
        <v/>
      </c>
      <c r="L27" s="188">
        <f>L10*L19%</f>
        <v/>
      </c>
      <c r="M27" s="188">
        <f>M10*M19%</f>
        <v/>
      </c>
      <c r="N27" s="188">
        <f>N10*N19%</f>
        <v/>
      </c>
      <c r="O27" s="188">
        <f>O10*O19%</f>
        <v/>
      </c>
      <c r="P27" s="188">
        <f>P10*P19%</f>
        <v/>
      </c>
      <c r="Q27" s="356">
        <f>Q10*Q19%</f>
        <v/>
      </c>
      <c r="R27" s="356">
        <f>R10*R19%</f>
        <v/>
      </c>
      <c r="S27" s="356">
        <f>S10*S19%</f>
        <v/>
      </c>
      <c r="T27" s="356">
        <f>T10*T19%</f>
        <v/>
      </c>
      <c r="U27" s="356">
        <f>U10*U19%</f>
        <v/>
      </c>
      <c r="V27" s="356">
        <f>V10*V19%</f>
        <v/>
      </c>
    </row>
    <row r="28" ht="16.5" customHeight="1" s="9">
      <c r="A28" s="0" t="inlineStr">
        <is>
          <t xml:space="preserve">  70세 이상</t>
        </is>
      </c>
      <c r="B28" s="188">
        <f>B11*B20%</f>
        <v/>
      </c>
      <c r="C28" s="188">
        <f>C11*C20%</f>
        <v/>
      </c>
      <c r="D28" s="188">
        <f>D11*D20%</f>
        <v/>
      </c>
      <c r="E28" s="188">
        <f>E11*E20%</f>
        <v/>
      </c>
      <c r="F28" s="188">
        <f>F11*F20%</f>
        <v/>
      </c>
      <c r="G28" s="188">
        <f>G11*G20%</f>
        <v/>
      </c>
      <c r="H28" s="188">
        <f>H11*H20%</f>
        <v/>
      </c>
      <c r="I28" s="188">
        <f>I11*I20%</f>
        <v/>
      </c>
      <c r="J28" s="188">
        <f>J11*J20%</f>
        <v/>
      </c>
      <c r="K28" s="188">
        <f>K11*K20%</f>
        <v/>
      </c>
      <c r="L28" s="188">
        <f>L11*L20%</f>
        <v/>
      </c>
      <c r="M28" s="188">
        <f>M11*M20%</f>
        <v/>
      </c>
      <c r="N28" s="188">
        <f>N11*N20%</f>
        <v/>
      </c>
      <c r="O28" s="188">
        <f>O11*O20%</f>
        <v/>
      </c>
      <c r="P28" s="188">
        <f>P11*P20%</f>
        <v/>
      </c>
      <c r="Q28" s="356">
        <f>Q11*Q20%</f>
        <v/>
      </c>
      <c r="R28" s="356">
        <f>R11*R20%</f>
        <v/>
      </c>
      <c r="S28" s="356">
        <f>S11*S20%</f>
        <v/>
      </c>
      <c r="T28" s="356">
        <f>T11*T20%</f>
        <v/>
      </c>
      <c r="U28" s="356">
        <f>U11*U20%</f>
        <v/>
      </c>
      <c r="V28" s="356">
        <f>V11*V20%</f>
        <v/>
      </c>
    </row>
    <row r="29" ht="16.5" customHeight="1" s="9">
      <c r="A29" s="173" t="inlineStr">
        <is>
          <t xml:space="preserve">  ▶ 전체 유병환자수</t>
        </is>
      </c>
      <c r="B29" s="175">
        <f>SUM(B23:B28)</f>
        <v/>
      </c>
      <c r="C29" s="175">
        <f>SUM(C23:C28)</f>
        <v/>
      </c>
      <c r="D29" s="175">
        <f>SUM(D23:D28)</f>
        <v/>
      </c>
      <c r="E29" s="175">
        <f>SUM(E23:E28)</f>
        <v/>
      </c>
      <c r="F29" s="175">
        <f>SUM(F23:F28)</f>
        <v/>
      </c>
      <c r="G29" s="175">
        <f>SUM(G23:G28)</f>
        <v/>
      </c>
      <c r="H29" s="175">
        <f>SUM(H23:H28)</f>
        <v/>
      </c>
      <c r="I29" s="175">
        <f>SUM(I23:I28)</f>
        <v/>
      </c>
      <c r="J29" s="175">
        <f>SUM(J23:J28)</f>
        <v/>
      </c>
      <c r="K29" s="175">
        <f>SUM(K23:K28)</f>
        <v/>
      </c>
      <c r="L29" s="175">
        <f>SUM(L23:L28)</f>
        <v/>
      </c>
      <c r="M29" s="175">
        <f>SUM(M23:M28)</f>
        <v/>
      </c>
      <c r="N29" s="175">
        <f>SUM(N23:N28)</f>
        <v/>
      </c>
      <c r="O29" s="175">
        <f>SUM(O23:O28)</f>
        <v/>
      </c>
      <c r="P29" s="175">
        <f>SUM(P23:P28)</f>
        <v/>
      </c>
      <c r="Q29" s="175">
        <f>SUM(Q23:Q28)</f>
        <v/>
      </c>
      <c r="R29" s="175">
        <f>SUM(R23:R28)</f>
        <v/>
      </c>
      <c r="S29" s="175">
        <f>SUM(S23:S28)</f>
        <v/>
      </c>
      <c r="T29" s="175">
        <f>SUM(T23:T28)</f>
        <v/>
      </c>
      <c r="U29" s="175">
        <f>SUM(U23:U28)</f>
        <v/>
      </c>
      <c r="V29" s="175">
        <f>SUM(V23:V28)</f>
        <v/>
      </c>
    </row>
    <row r="30">
      <c r="B30" s="357">
        <f>B29/B12</f>
        <v/>
      </c>
      <c r="C30" s="357">
        <f>C29/C12</f>
        <v/>
      </c>
      <c r="D30" s="357">
        <f>D29/D12</f>
        <v/>
      </c>
      <c r="E30" s="357">
        <f>E29/E12</f>
        <v/>
      </c>
      <c r="F30" s="357">
        <f>F29/F12</f>
        <v/>
      </c>
      <c r="G30" s="357">
        <f>G29/G12</f>
        <v/>
      </c>
      <c r="H30" s="357">
        <f>H29/H12</f>
        <v/>
      </c>
      <c r="I30" s="357">
        <f>I29/I12</f>
        <v/>
      </c>
      <c r="J30" s="357">
        <f>J29/J12</f>
        <v/>
      </c>
      <c r="K30" s="357">
        <f>K29/K12</f>
        <v/>
      </c>
      <c r="L30" s="357">
        <f>L29/L12</f>
        <v/>
      </c>
      <c r="M30" s="357">
        <f>M29/M12</f>
        <v/>
      </c>
      <c r="N30" s="357">
        <f>N29/N12</f>
        <v/>
      </c>
      <c r="O30" s="357">
        <f>O29/O12</f>
        <v/>
      </c>
      <c r="P30" s="357">
        <f>P29/P12</f>
        <v/>
      </c>
      <c r="Q30" s="357">
        <f>Q29/Q12</f>
        <v/>
      </c>
      <c r="R30" s="357">
        <f>R29/R12</f>
        <v/>
      </c>
      <c r="S30" s="357">
        <f>S29/S12</f>
        <v/>
      </c>
      <c r="T30" s="357">
        <f>T29/T12</f>
        <v/>
      </c>
      <c r="U30" s="357">
        <f>U29/U12</f>
        <v/>
      </c>
      <c r="V30" s="357">
        <f>V29/V12</f>
        <v/>
      </c>
    </row>
    <row r="31" ht="6" customHeight="1" s="9"/>
    <row r="32" s="9">
      <c r="A32" s="141" t="inlineStr">
        <is>
          <t>[참고] 유병환자수 산출 공식</t>
        </is>
      </c>
    </row>
    <row r="33" s="9">
      <c r="A33" s="142" t="inlineStr">
        <is>
          <t>① 고혈압 유병률1 정의 (KNHANES 정의) : 수축기혈압이 140mmHg 이상이거나 이완기혈압이 90mmHg 이상 또는 고혈압 약물을 복용한 분율</t>
        </is>
      </c>
    </row>
    <row r="34" s="9">
      <c r="A34" s="143" t="inlineStr">
        <is>
          <t>② 유병환자수(명)   :  통계청 장래인구추계 x 해당 연도 고혈압 유병률</t>
        </is>
      </c>
    </row>
    <row r="35" s="9">
      <c r="A35" s="143" t="n"/>
    </row>
    <row r="36" s="9">
      <c r="A36" s="143" t="n"/>
    </row>
    <row r="37" ht="16.5" customHeight="1" s="9">
      <c r="A37" s="144" t="inlineStr">
        <is>
          <t>[참고] 유병률 예측방식 : 선형회귀2 요약</t>
        </is>
      </c>
    </row>
    <row r="38" ht="16.5" customHeight="1" s="9">
      <c r="A38" s="46" t="inlineStr">
        <is>
          <t xml:space="preserve"> *2010-2024년 15개 연도 OLS 선형회귀로 그룹별 추세 유의성(p-value) 사전 검정</t>
        </is>
      </c>
    </row>
    <row r="39" ht="16.5" customHeight="1" s="9">
      <c r="A39" s="46" t="inlineStr">
        <is>
          <t>*추세 유의(p&lt;0.05) 그룹은 선형회귀 연장, 추세 비유의 그룹은 표본수 가중 5개년(2020-2024) 평균 적용</t>
        </is>
      </c>
    </row>
    <row r="40" ht="16.5" customHeight="1" s="9">
      <c r="A40" s="46" t="inlineStr">
        <is>
          <t xml:space="preserve"> *유의 그룹(60-69세, p=0.020): 예측값 = 기울기×연도+절편 (2010-2024 적합)
 *비유의 그룹(20-29,30-39,40-49,50-59,70+): 예측값 = 표본수(n) 가중 최근5개년(2020-2024) 평균</t>
        </is>
      </c>
    </row>
    <row r="41" ht="16.5" customHeight="1" s="9">
      <c r="A41" s="145" t="inlineStr">
        <is>
          <t>★ 주요 파라미터 (분석 구간: 2010~2024년)</t>
        </is>
      </c>
    </row>
    <row r="42" ht="16.5" customHeight="1" s="9">
      <c r="A42" s="145" t="n"/>
      <c r="B42" s="146" t="inlineStr">
        <is>
          <t>연령대</t>
        </is>
      </c>
      <c r="C42" s="146" t="inlineStr">
        <is>
          <t>기울기(slope)</t>
        </is>
      </c>
      <c r="D42" s="146" t="inlineStr">
        <is>
          <t>절편(intercept)</t>
        </is>
      </c>
      <c r="E42" s="146" t="inlineStr">
        <is>
          <t>R²</t>
        </is>
      </c>
      <c r="F42" s="146" t="inlineStr">
        <is>
          <t>p-value</t>
        </is>
      </c>
      <c r="G42" s="146" t="inlineStr">
        <is>
          <t>적합구간</t>
        </is>
      </c>
      <c r="H42" s="146" t="inlineStr">
        <is>
          <t>적용방법</t>
        </is>
      </c>
      <c r="I42" s="146" t="inlineStr">
        <is>
          <t>적용값(%, 평균법만 해당)</t>
        </is>
      </c>
    </row>
    <row r="43" ht="40.5" customHeight="1" s="9">
      <c r="A43" s="145" t="n"/>
      <c r="B43" s="358">
        <f>A15</f>
        <v/>
      </c>
      <c r="C43" s="359">
        <f>SLOPE(B15:P15,$B$4:$P$4)</f>
        <v/>
      </c>
      <c r="D43" s="359">
        <f>INTERCEPT(B15:P15,$B$4:$P$4)</f>
        <v/>
      </c>
      <c r="E43" s="360">
        <f>RSQ(B15:P15,$B$4:$P$4)</f>
        <v/>
      </c>
      <c r="F43" s="360">
        <f>_xlfn.T.DIST.2T(ABS(SLOPE($B$15:$P$15,$B$4:$P$4)/(STEYX($B$15:$P$15,$B$4:$P$4)/SQRT(DEVSQ($B$4:$P$4)))),COUNT($B$4:$P$4)-2)</f>
        <v/>
      </c>
      <c r="G43" s="361" t="inlineStr">
        <is>
          <t>2010-2024 (참고용, 추세 비유의로 미사용)</t>
        </is>
      </c>
      <c r="H43" s="362" t="inlineStr">
        <is>
          <t>가중평균(2020-2024, 표본수 n 가중)</t>
        </is>
      </c>
      <c r="I43" s="363">
        <f>SUMPRODUCT(L15:P15,L53:P53)/SUM(L53:P53)</f>
        <v/>
      </c>
    </row>
    <row r="44" ht="40.5" customHeight="1" s="9">
      <c r="A44" s="145" t="n"/>
      <c r="B44" s="358">
        <f>A16</f>
        <v/>
      </c>
      <c r="C44" s="359">
        <f>SLOPE(B16:P16,$B$4:$P$4)</f>
        <v/>
      </c>
      <c r="D44" s="359">
        <f>INTERCEPT(B16:P16,$B$4:$P$4)</f>
        <v/>
      </c>
      <c r="E44" s="360">
        <f>RSQ(B16:P16,$B$4:$P$4)</f>
        <v/>
      </c>
      <c r="F44" s="360">
        <f>_xlfn.T.DIST.2T(ABS(SLOPE($B$16:$P$16,$B$4:$P$4)/(STEYX($B$16:$P$16,$B$4:$P$4)/SQRT(DEVSQ($B$4:$P$4)))),COUNT($B$4:$P$4)-2)</f>
        <v/>
      </c>
      <c r="G44" s="361" t="inlineStr">
        <is>
          <t>2010-2025 (참고용, 추세 비유의로 미사용)</t>
        </is>
      </c>
      <c r="H44" s="362" t="inlineStr">
        <is>
          <t>가중평균(2020-2025, 표본수 n 가중)</t>
        </is>
      </c>
      <c r="I44" s="363">
        <f>SUMPRODUCT(L16:P16,L54:P54)/SUM(L54:P54)</f>
        <v/>
      </c>
    </row>
    <row r="45" ht="40.5" customHeight="1" s="9">
      <c r="A45" s="145" t="n"/>
      <c r="B45" s="358">
        <f>A17</f>
        <v/>
      </c>
      <c r="C45" s="359">
        <f>SLOPE(B17:P17,$B$4:$P$4)</f>
        <v/>
      </c>
      <c r="D45" s="359">
        <f>INTERCEPT(B17:P17,$B$4:$P$4)</f>
        <v/>
      </c>
      <c r="E45" s="360">
        <f>RSQ(B17:P17,$B$4:$P$4)</f>
        <v/>
      </c>
      <c r="F45" s="360">
        <f>_xlfn.T.DIST.2T(ABS(SLOPE($B$17:$P$17,$B$4:$P$4)/(STEYX($B$17:$P$17,$B$4:$P$4)/SQRT(DEVSQ($B$4:$P$4)))),COUNT($B$4:$P$4)-2)</f>
        <v/>
      </c>
      <c r="G45" s="361" t="inlineStr">
        <is>
          <t>2010-2026 (참고용, 추세 비유의로 미사용)</t>
        </is>
      </c>
      <c r="H45" s="362" t="inlineStr">
        <is>
          <t>가중평균(2020-2026, 표본수 n 가중)</t>
        </is>
      </c>
      <c r="I45" s="363">
        <f>SUMPRODUCT(L17:P17,L55:P55)/SUM(L55:P55)</f>
        <v/>
      </c>
    </row>
    <row r="46" ht="40.5" customHeight="1" s="9">
      <c r="A46" s="145" t="n"/>
      <c r="B46" s="358">
        <f>A18</f>
        <v/>
      </c>
      <c r="C46" s="359">
        <f>SLOPE(B18:P18,$B$4:$P$4)</f>
        <v/>
      </c>
      <c r="D46" s="359">
        <f>INTERCEPT(B18:P18,$B$4:$P$4)</f>
        <v/>
      </c>
      <c r="E46" s="360">
        <f>RSQ(B18:P18,$B$4:$P$4)</f>
        <v/>
      </c>
      <c r="F46" s="360">
        <f>_xlfn.T.DIST.2T(ABS(SLOPE($B$18:$P$18,$B$4:$P$4)/(STEYX($B$18:$P$18,$B$4:$P$4)/SQRT(DEVSQ($B$4:$P$4)))),COUNT($B$4:$P$4)-2)</f>
        <v/>
      </c>
      <c r="G46" s="361" t="inlineStr">
        <is>
          <t>2010-2027 (참고용, 추세 비유의로 미사용)</t>
        </is>
      </c>
      <c r="H46" s="362" t="inlineStr">
        <is>
          <t>가중평균(2020-2027, 표본수 n 가중)</t>
        </is>
      </c>
      <c r="I46" s="363">
        <f>SUMPRODUCT(L18:P18,L56:P56)/SUM(L56:P56)</f>
        <v/>
      </c>
    </row>
    <row r="47" ht="40.5" customHeight="1" s="9">
      <c r="A47" s="145" t="n"/>
      <c r="B47" s="358">
        <f>A19</f>
        <v/>
      </c>
      <c r="C47" s="362">
        <f>SLOPE(B19:P19,$B$4:$P$4)</f>
        <v/>
      </c>
      <c r="D47" s="362">
        <f>INTERCEPT(B19:P19,$B$4:$P$4)</f>
        <v/>
      </c>
      <c r="E47" s="364">
        <f>RSQ(B19:P19,$B$4:$P$4)</f>
        <v/>
      </c>
      <c r="F47" s="365">
        <f>_xlfn.T.DIST.2T(ABS(SLOPE($B$19:$P$19,$B$4:$P$4)/(STEYX($B$19:$P$19,$B$4:$P$4)/SQRT(DEVSQ($B$4:$P$4)))),COUNT($B$4:$P$4)-2)</f>
        <v/>
      </c>
      <c r="G47" s="366" t="inlineStr">
        <is>
          <t>2010-2024 (전체, OLS 선형회귀)</t>
        </is>
      </c>
      <c r="H47" s="362" t="inlineStr">
        <is>
          <t>선형회귀(추세 유의)</t>
        </is>
      </c>
      <c r="I47" s="367" t="n"/>
    </row>
    <row r="48" ht="40.5" customHeight="1" s="9">
      <c r="A48" s="145" t="n"/>
      <c r="B48" s="358">
        <f>A20</f>
        <v/>
      </c>
      <c r="C48" s="359">
        <f>SLOPE(B20:P20,$B$4:$P$4)</f>
        <v/>
      </c>
      <c r="D48" s="359">
        <f>INTERCEPT(B20:P20,$B$4:$P$4)</f>
        <v/>
      </c>
      <c r="E48" s="360">
        <f>RSQ(B20:P20,$B$4:$P$4)</f>
        <v/>
      </c>
      <c r="F48" s="360">
        <f>_xlfn.T.DIST.2T(ABS(SLOPE($B$20:$P$20,$B$4:$P$4)/(STEYX($B$20:$P$20,$B$4:$P$4)/SQRT(DEVSQ($B$4:$P$4)))),COUNT($B$4:$P$4)-2)</f>
        <v/>
      </c>
      <c r="G48" s="361" t="inlineStr">
        <is>
          <t>2010-2029 (참고용, 추세 비유의로 미사용)</t>
        </is>
      </c>
      <c r="H48" s="362" t="inlineStr">
        <is>
          <t>가중평균(2020-2029, 표본수 n 가중)</t>
        </is>
      </c>
      <c r="I48" s="363">
        <f>SUMPRODUCT(L20:P20,L58:P58)/SUM(L58:P58)</f>
        <v/>
      </c>
    </row>
    <row r="49" ht="16.5" customHeight="1" s="9">
      <c r="A49" s="145" t="n"/>
    </row>
    <row r="50" ht="16.5" customHeight="1" s="9">
      <c r="A50" s="145" t="n"/>
    </row>
    <row r="51" ht="42.75" customHeight="1" s="9"/>
    <row r="52" ht="16.5" customHeight="1" s="9">
      <c r="A52" s="47" t="inlineStr">
        <is>
          <t>■ D. 표본수 n (가중평균 산출용, 원자료: 국민건강통계 2024)</t>
        </is>
      </c>
    </row>
    <row r="53" ht="16.5" customFormat="1" customHeight="1" s="48">
      <c r="A53" s="48" t="inlineStr">
        <is>
          <t xml:space="preserve">  20-29세</t>
        </is>
      </c>
      <c r="B53" s="49" t="n">
        <v>764</v>
      </c>
      <c r="C53" s="49" t="n">
        <v>676</v>
      </c>
      <c r="D53" s="49" t="n">
        <v>633</v>
      </c>
      <c r="E53" s="49" t="n">
        <v>700</v>
      </c>
      <c r="F53" s="49" t="n">
        <v>578</v>
      </c>
      <c r="G53" s="49" t="n">
        <v>652</v>
      </c>
      <c r="H53" s="49" t="n">
        <v>699</v>
      </c>
      <c r="I53" s="49" t="n">
        <v>726</v>
      </c>
      <c r="J53" s="49" t="n">
        <v>757</v>
      </c>
      <c r="K53" s="49" t="n">
        <v>750</v>
      </c>
      <c r="L53" s="49" t="n">
        <v>788</v>
      </c>
      <c r="M53" s="49" t="n">
        <v>656</v>
      </c>
      <c r="N53" s="49" t="n">
        <v>598</v>
      </c>
      <c r="O53" s="49" t="n">
        <v>601</v>
      </c>
      <c r="P53" s="49" t="n">
        <v>704</v>
      </c>
    </row>
    <row r="54" ht="16.5" customFormat="1" customHeight="1" s="48">
      <c r="A54" s="48" t="inlineStr">
        <is>
          <t xml:space="preserve">  30-39세</t>
        </is>
      </c>
      <c r="B54" s="49" t="n">
        <v>1243</v>
      </c>
      <c r="C54" s="49" t="n">
        <v>1092</v>
      </c>
      <c r="D54" s="49" t="n">
        <v>948</v>
      </c>
      <c r="E54" s="49" t="n">
        <v>937</v>
      </c>
      <c r="F54" s="49" t="n">
        <v>859</v>
      </c>
      <c r="G54" s="49" t="n">
        <v>707</v>
      </c>
      <c r="H54" s="49" t="n">
        <v>1087</v>
      </c>
      <c r="I54" s="49" t="n">
        <v>911</v>
      </c>
      <c r="J54" s="49" t="n">
        <v>908</v>
      </c>
      <c r="K54" s="49" t="n">
        <v>925</v>
      </c>
      <c r="L54" s="49" t="n">
        <v>750</v>
      </c>
      <c r="M54" s="49" t="n">
        <v>636</v>
      </c>
      <c r="N54" s="49" t="n">
        <v>650</v>
      </c>
      <c r="O54" s="49" t="n">
        <v>660</v>
      </c>
      <c r="P54" s="49" t="n">
        <v>638</v>
      </c>
    </row>
    <row r="55" ht="16.5" customFormat="1" customHeight="1" s="48">
      <c r="A55" s="48" t="inlineStr">
        <is>
          <t xml:space="preserve">  40-49세</t>
        </is>
      </c>
      <c r="B55" s="49" t="n">
        <v>1161</v>
      </c>
      <c r="C55" s="49" t="n">
        <v>1052</v>
      </c>
      <c r="D55" s="49" t="n">
        <v>945</v>
      </c>
      <c r="E55" s="49" t="n">
        <v>1036</v>
      </c>
      <c r="F55" s="49" t="n">
        <v>853</v>
      </c>
      <c r="G55" s="49" t="n">
        <v>909</v>
      </c>
      <c r="H55" s="49" t="n">
        <v>1133</v>
      </c>
      <c r="I55" s="49" t="n">
        <v>1138</v>
      </c>
      <c r="J55" s="49" t="n">
        <v>1127</v>
      </c>
      <c r="K55" s="49" t="n">
        <v>1113</v>
      </c>
      <c r="L55" s="49" t="n">
        <v>957</v>
      </c>
      <c r="M55" s="49" t="n">
        <v>944</v>
      </c>
      <c r="N55" s="49" t="n">
        <v>834</v>
      </c>
      <c r="O55" s="49" t="n">
        <v>961</v>
      </c>
      <c r="P55" s="49" t="n">
        <v>915</v>
      </c>
    </row>
    <row r="56" ht="16.5" customFormat="1" customHeight="1" s="48">
      <c r="A56" s="48" t="inlineStr">
        <is>
          <t xml:space="preserve">  50-59세</t>
        </is>
      </c>
      <c r="B56" s="49" t="n">
        <v>1165</v>
      </c>
      <c r="C56" s="49" t="n">
        <v>1180</v>
      </c>
      <c r="D56" s="49" t="n">
        <v>1059</v>
      </c>
      <c r="E56" s="49" t="n">
        <v>1015</v>
      </c>
      <c r="F56" s="49" t="n">
        <v>963</v>
      </c>
      <c r="G56" s="49" t="n">
        <v>1083</v>
      </c>
      <c r="H56" s="49" t="n">
        <v>1107</v>
      </c>
      <c r="I56" s="49" t="n">
        <v>1210</v>
      </c>
      <c r="J56" s="49" t="n">
        <v>1194</v>
      </c>
      <c r="K56" s="49" t="n">
        <v>1175</v>
      </c>
      <c r="L56" s="49" t="n">
        <v>1043</v>
      </c>
      <c r="M56" s="49" t="n">
        <v>1016</v>
      </c>
      <c r="N56" s="49" t="n">
        <v>910</v>
      </c>
      <c r="O56" s="49" t="n">
        <v>1099</v>
      </c>
      <c r="P56" s="49" t="n">
        <v>1113</v>
      </c>
    </row>
    <row r="57" ht="16.5" customFormat="1" customHeight="1" s="48">
      <c r="A57" s="48" t="inlineStr">
        <is>
          <t xml:space="preserve">  60-69세</t>
        </is>
      </c>
      <c r="B57" s="49" t="n">
        <v>1023</v>
      </c>
      <c r="C57" s="49" t="n">
        <v>1028</v>
      </c>
      <c r="D57" s="49" t="n">
        <v>1005</v>
      </c>
      <c r="E57" s="49" t="n">
        <v>855</v>
      </c>
      <c r="F57" s="49" t="n">
        <v>896</v>
      </c>
      <c r="G57" s="49" t="n">
        <v>959</v>
      </c>
      <c r="H57" s="49" t="n">
        <v>1015</v>
      </c>
      <c r="I57" s="49" t="n">
        <v>1098</v>
      </c>
      <c r="J57" s="49" t="n">
        <v>1101</v>
      </c>
      <c r="K57" s="49" t="n">
        <v>1131</v>
      </c>
      <c r="L57" s="49" t="n">
        <v>1110</v>
      </c>
      <c r="M57" s="49" t="n">
        <v>1106</v>
      </c>
      <c r="N57" s="49" t="n">
        <v>1114</v>
      </c>
      <c r="O57" s="49" t="n">
        <v>1316</v>
      </c>
      <c r="P57" s="49" t="n">
        <v>1264</v>
      </c>
    </row>
    <row r="58" ht="16.5" customHeight="1" s="9">
      <c r="A58" s="0" t="inlineStr">
        <is>
          <t xml:space="preserve">  70세 이상</t>
        </is>
      </c>
      <c r="B58" s="49" t="n">
        <v>872</v>
      </c>
      <c r="C58" s="49" t="n">
        <v>990</v>
      </c>
      <c r="D58" s="49" t="n">
        <v>975</v>
      </c>
      <c r="E58" s="49" t="n">
        <v>809</v>
      </c>
      <c r="F58" s="49" t="n">
        <v>882</v>
      </c>
      <c r="G58" s="49" t="n">
        <v>894</v>
      </c>
      <c r="H58" s="49" t="n">
        <v>1064</v>
      </c>
      <c r="I58" s="49" t="n">
        <v>1095</v>
      </c>
      <c r="J58" s="49" t="n">
        <v>1113</v>
      </c>
      <c r="K58" s="49" t="n">
        <v>1167</v>
      </c>
      <c r="L58" s="49" t="n">
        <v>1161</v>
      </c>
      <c r="M58" s="49" t="n">
        <v>1234</v>
      </c>
      <c r="N58" s="49" t="n">
        <v>1096</v>
      </c>
      <c r="O58" s="49" t="n">
        <v>1170</v>
      </c>
      <c r="P58" s="49" t="n">
        <v>1321</v>
      </c>
    </row>
    <row r="59" ht="16.5" customHeight="1" s="9">
      <c r="A59" s="50" t="n"/>
    </row>
    <row r="60" ht="16.5" customFormat="1" customHeight="1" s="48">
      <c r="A60" s="51" t="inlineStr">
        <is>
          <t>※ 출처 : 국민건강영양조사, 통계청</t>
        </is>
      </c>
    </row>
    <row r="61" ht="16.5" customFormat="1" customHeight="1" s="48">
      <c r="A61" s="52" t="inlineStr">
        <is>
          <t>※ 범례</t>
        </is>
      </c>
    </row>
    <row r="62" ht="16.5" customFormat="1" customHeight="1" s="48">
      <c r="A62" s="53" t="inlineStr">
        <is>
          <t>· 외부 입력 데이터: 청색(Blue) 표기</t>
        </is>
      </c>
    </row>
    <row r="63" ht="16.5" customFormat="1" customHeight="1" s="48">
      <c r="A63" s="53" t="inlineStr">
        <is>
          <t>· 예측 변수(또는 예측치): 녹색(Green) 표기</t>
        </is>
      </c>
    </row>
    <row r="64" ht="16.5" customFormat="1" customHeight="1" s="48">
      <c r="A64" s="53" t="inlineStr">
        <is>
          <t>· 최종 산출 결과: 황색(Yellow) 음영 행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V34"/>
  <sheetViews>
    <sheetView showGridLines="0" tabSelected="0" zoomScaleNormal="100" workbookViewId="0">
      <pane xSplit="1" ySplit="4" topLeftCell="B5" activePane="bottomRight" state="frozen"/>
      <selection pane="bottomRight" activeCell="E22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15"/>
    <col width="11.875" customWidth="1" style="9" min="16" max="22"/>
  </cols>
  <sheetData>
    <row r="1" ht="20.25" customHeight="1" s="9">
      <c r="A1" s="171" t="inlineStr">
        <is>
          <t>의료이용 환자수 산출  :  HIRA 데이터 기반 추정</t>
        </is>
      </c>
    </row>
    <row r="2" ht="6" customHeight="1" s="9">
      <c r="A2" s="35" t="inlineStr">
        <is>
          <t> </t>
        </is>
      </c>
    </row>
    <row r="3" ht="16.5" customHeight="1" s="9">
      <c r="B3" s="36" t="inlineStr">
        <is>
          <t>◀ 실측 (HIRA, 2014~2024)</t>
        </is>
      </c>
      <c r="C3" s="36" t="n"/>
      <c r="N3" s="36" t="n"/>
      <c r="P3" s="36" t="n"/>
      <c r="Q3" s="36" t="inlineStr">
        <is>
          <t>예측 (2025~2030)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40" t="inlineStr">
        <is>
          <t>■ A. 고혈압 유병환자수 (명)          [근거_유병환자수 참조]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</row>
    <row r="6" ht="16.5" customHeight="1" s="9">
      <c r="A6" s="54" t="inlineStr">
        <is>
          <t xml:space="preserve">  유병환자수 (전체)</t>
        </is>
      </c>
      <c r="B6" s="43">
        <f>근거_유병환자수!B29</f>
        <v/>
      </c>
      <c r="C6" s="43">
        <f>근거_유병환자수!C29</f>
        <v/>
      </c>
      <c r="D6" s="43">
        <f>근거_유병환자수!D29</f>
        <v/>
      </c>
      <c r="E6" s="43">
        <f>근거_유병환자수!E29</f>
        <v/>
      </c>
      <c r="F6" s="43">
        <f>근거_유병환자수!F29</f>
        <v/>
      </c>
      <c r="G6" s="43">
        <f>근거_유병환자수!G29</f>
        <v/>
      </c>
      <c r="H6" s="43">
        <f>근거_유병환자수!H29</f>
        <v/>
      </c>
      <c r="I6" s="43">
        <f>근거_유병환자수!I29</f>
        <v/>
      </c>
      <c r="J6" s="43">
        <f>근거_유병환자수!J29</f>
        <v/>
      </c>
      <c r="K6" s="43">
        <f>근거_유병환자수!K29</f>
        <v/>
      </c>
      <c r="L6" s="43">
        <f>근거_유병환자수!L29</f>
        <v/>
      </c>
      <c r="M6" s="43">
        <f>근거_유병환자수!M29</f>
        <v/>
      </c>
      <c r="N6" s="43">
        <f>근거_유병환자수!N29</f>
        <v/>
      </c>
      <c r="O6" s="43">
        <f>근거_유병환자수!O29</f>
        <v/>
      </c>
      <c r="P6" s="43">
        <f>근거_유병환자수!P29</f>
        <v/>
      </c>
      <c r="Q6" s="43">
        <f>근거_유병환자수!Q29</f>
        <v/>
      </c>
      <c r="R6" s="43">
        <f>근거_유병환자수!R29</f>
        <v/>
      </c>
      <c r="S6" s="43">
        <f>근거_유병환자수!S29</f>
        <v/>
      </c>
      <c r="T6" s="43">
        <f>근거_유병환자수!T29</f>
        <v/>
      </c>
      <c r="U6" s="43">
        <f>근거_유병환자수!U29</f>
        <v/>
      </c>
      <c r="V6" s="43">
        <f>근거_유병환자수!V29</f>
        <v/>
      </c>
    </row>
    <row r="8" ht="16.5" customHeight="1" s="9">
      <c r="A8" s="40" t="inlineStr">
        <is>
          <t>■ B. 고혈압 의료이용 환자수    [2014~24 : HIRA I10  |  2025~30 : 고혈압 유병환자수(A) × 의료이용비율 고정값1]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</row>
    <row r="9" ht="16.5" customHeight="1" s="9">
      <c r="A9" s="44" t="inlineStr">
        <is>
          <t xml:space="preserve">  ▶ 의료이용 환자수 </t>
        </is>
      </c>
      <c r="B9" s="55" t="n"/>
      <c r="C9" s="55" t="n"/>
      <c r="D9" s="55" t="n"/>
      <c r="E9" s="55" t="n"/>
      <c r="F9" s="55">
        <f>8840086</f>
        <v/>
      </c>
      <c r="G9" s="55">
        <f>9131239</f>
        <v/>
      </c>
      <c r="H9" s="55">
        <f>9477565</f>
        <v/>
      </c>
      <c r="I9" s="55" t="n">
        <v>9967602</v>
      </c>
      <c r="J9" s="55" t="n">
        <v>10357002</v>
      </c>
      <c r="K9" s="55" t="n">
        <v>10870422</v>
      </c>
      <c r="L9" s="55" t="n">
        <v>11250720</v>
      </c>
      <c r="M9" s="55" t="n">
        <v>11820083</v>
      </c>
      <c r="N9" s="55" t="n">
        <v>12384955</v>
      </c>
      <c r="O9" s="55" t="n">
        <v>12693552</v>
      </c>
      <c r="P9" s="55" t="n">
        <v>13085573</v>
      </c>
      <c r="Q9" s="45">
        <f>Q6*Q12</f>
        <v/>
      </c>
      <c r="R9" s="45">
        <f>R6*R12</f>
        <v/>
      </c>
      <c r="S9" s="45">
        <f>S6*S12</f>
        <v/>
      </c>
      <c r="T9" s="45">
        <f>T6*T12</f>
        <v/>
      </c>
      <c r="U9" s="45">
        <f>U6*U12</f>
        <v/>
      </c>
      <c r="V9" s="45">
        <f>V6*V12</f>
        <v/>
      </c>
    </row>
    <row r="10">
      <c r="G10" s="368">
        <f>G9/F9-1</f>
        <v/>
      </c>
      <c r="H10" s="368">
        <f>H9/G9-1</f>
        <v/>
      </c>
      <c r="I10" s="368">
        <f>I9/H9-1</f>
        <v/>
      </c>
      <c r="J10" s="368">
        <f>J9/I9-1</f>
        <v/>
      </c>
      <c r="K10" s="368">
        <f>K9/J9-1</f>
        <v/>
      </c>
      <c r="L10" s="368">
        <f>L9/K9-1</f>
        <v/>
      </c>
      <c r="M10" s="368">
        <f>M9/L9-1</f>
        <v/>
      </c>
      <c r="N10" s="368">
        <f>N9/M9-1</f>
        <v/>
      </c>
      <c r="O10" s="368">
        <f>O9/N9-1</f>
        <v/>
      </c>
      <c r="P10" s="368">
        <f>P9/O9-1</f>
        <v/>
      </c>
      <c r="Q10" s="368">
        <f>Q9/P9-1</f>
        <v/>
      </c>
      <c r="R10" s="368">
        <f>R9/Q9-1</f>
        <v/>
      </c>
      <c r="S10" s="368">
        <f>S9/R9-1</f>
        <v/>
      </c>
      <c r="T10" s="368">
        <f>T9/S9-1</f>
        <v/>
      </c>
      <c r="U10" s="368">
        <f>U9/T9-1</f>
        <v/>
      </c>
      <c r="V10" s="368">
        <f>V9/U9-1</f>
        <v/>
      </c>
    </row>
    <row r="11" ht="16.5" customHeight="1" s="9">
      <c r="A11" s="40" t="inlineStr">
        <is>
          <t xml:space="preserve">■ C. 의료이용비율 (%)            [고혈압 의료이용 환자수(B) ÷ 고혈압 유병환자수(A)] 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</row>
    <row r="12" ht="16.5" customHeight="1" s="9">
      <c r="A12" s="166" t="inlineStr">
        <is>
          <t xml:space="preserve">  의료이용비율</t>
        </is>
      </c>
      <c r="B12" s="369">
        <f>B9/B6</f>
        <v/>
      </c>
      <c r="C12" s="369">
        <f>C9/C6</f>
        <v/>
      </c>
      <c r="D12" s="369">
        <f>D9/D6</f>
        <v/>
      </c>
      <c r="E12" s="369">
        <f>E9/E6</f>
        <v/>
      </c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0">
        <f>O9/O6</f>
        <v/>
      </c>
      <c r="P12" s="369">
        <f>P9/P6</f>
        <v/>
      </c>
      <c r="Q12" s="371">
        <f>C16</f>
        <v/>
      </c>
      <c r="R12" s="371">
        <f>D16</f>
        <v/>
      </c>
      <c r="S12" s="371">
        <f>$E$16</f>
        <v/>
      </c>
      <c r="T12" s="371">
        <f>$E$16</f>
        <v/>
      </c>
      <c r="U12" s="371">
        <f>$E$16</f>
        <v/>
      </c>
      <c r="V12" s="371">
        <f>$E$16</f>
        <v/>
      </c>
    </row>
    <row r="14" s="9">
      <c r="A14" s="158" t="inlineStr">
        <is>
          <t>★ 주요 파라미터 (분석 구간: 2014~2024년)</t>
        </is>
      </c>
    </row>
    <row r="15" s="9">
      <c r="B15" s="159" t="inlineStr">
        <is>
          <t>구분</t>
        </is>
      </c>
      <c r="C15" s="170" t="n">
        <v>2025</v>
      </c>
      <c r="D15" s="170" t="n">
        <v>2026</v>
      </c>
      <c r="E15" s="170" t="inlineStr">
        <is>
          <t>2027~</t>
        </is>
      </c>
      <c r="F15" s="160" t="n"/>
      <c r="G15" s="160" t="n"/>
    </row>
    <row r="16" s="9">
      <c r="A16" s="161" t="n"/>
      <c r="B16" s="162" t="inlineStr">
        <is>
          <t>의료이용비율1</t>
        </is>
      </c>
      <c r="C16" s="372">
        <f>AVERAGE(M12:P12)</f>
        <v/>
      </c>
      <c r="D16" s="372">
        <f>AVERAGE(N12:Q12)</f>
        <v/>
      </c>
      <c r="E16" s="372">
        <f>AVERAGE(O12:R12)</f>
        <v/>
      </c>
      <c r="F16" s="373" t="n"/>
      <c r="G16" s="164" t="n"/>
    </row>
    <row r="17">
      <c r="B17" s="165" t="inlineStr">
        <is>
          <t>(2023년 추정값이 101%로 100%를 초과함. 이에 따라 직전 4개년 평균 비율을 반영하여 의료이용비율을 추정)</t>
        </is>
      </c>
      <c r="F17" s="130" t="n"/>
      <c r="O17" s="130" t="n"/>
    </row>
    <row r="18">
      <c r="B18" s="165" t="n"/>
      <c r="F18" s="130" t="n"/>
      <c r="O18" s="130" t="n"/>
    </row>
    <row r="19" ht="16.5" customFormat="1" customHeight="1" s="48">
      <c r="A19" s="51" t="inlineStr">
        <is>
          <t xml:space="preserve">※ 출처 : HIRA(2014~2024), BI 자체 추정 </t>
        </is>
      </c>
      <c r="F19" s="130" t="n"/>
      <c r="O19" s="130" t="n"/>
    </row>
    <row r="20" ht="16.5" customFormat="1" customHeight="1" s="48">
      <c r="A20" s="52" t="inlineStr">
        <is>
          <t>※ 고혈압 의료이용환자수: 고혈압(ICD-10: I10) 주부상병</t>
        </is>
      </c>
      <c r="F20" s="130" t="n"/>
      <c r="O20" s="130" t="n"/>
    </row>
    <row r="21" ht="16.5" customFormat="1" customHeight="1" s="48">
      <c r="A21" s="52" t="inlineStr">
        <is>
          <t>※ 범례</t>
        </is>
      </c>
      <c r="F21" s="130" t="n"/>
      <c r="O21" s="130" t="n"/>
    </row>
    <row r="22" ht="16.5" customFormat="1" customHeight="1" s="48">
      <c r="A22" s="53" t="inlineStr">
        <is>
          <t>· 외부 입력 데이터: 청색(Blue) 표기</t>
        </is>
      </c>
      <c r="F22" s="130" t="n"/>
      <c r="O22" s="130" t="n"/>
    </row>
    <row r="23" ht="16.5" customFormat="1" customHeight="1" s="48">
      <c r="A23" s="53" t="inlineStr">
        <is>
          <t>· 예측 변수(또는 예측치): 녹색(Green) 표기</t>
        </is>
      </c>
      <c r="F23" s="130" t="n"/>
      <c r="O23" s="130" t="n"/>
    </row>
    <row r="24" ht="16.5" customFormat="1" customHeight="1" s="48">
      <c r="A24" s="53" t="inlineStr">
        <is>
          <t>· 최종 산출 결과: 황색(Yellow) 음영 행</t>
        </is>
      </c>
      <c r="F24" s="130" t="n"/>
    </row>
    <row r="25">
      <c r="F25" s="130" t="n"/>
    </row>
    <row r="26">
      <c r="F26" s="130" t="n"/>
    </row>
    <row r="27">
      <c r="F27" s="130" t="n"/>
    </row>
    <row r="28">
      <c r="F28" s="130" t="n"/>
    </row>
    <row r="29">
      <c r="F29" s="130" t="n"/>
    </row>
    <row r="30">
      <c r="F30" s="130" t="n"/>
    </row>
    <row r="31">
      <c r="F31" s="130" t="n"/>
    </row>
    <row r="32">
      <c r="F32" s="130" t="n"/>
    </row>
    <row r="33">
      <c r="F33" s="130" t="n"/>
    </row>
    <row r="34">
      <c r="F34" s="130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V32"/>
  <sheetViews>
    <sheetView showGridLines="0" tabSelected="0" zoomScaleNormal="100" workbookViewId="0">
      <pane xSplit="1" ySplit="4" topLeftCell="B5" activePane="bottomRight" state="frozen"/>
      <selection pane="bottomRight" activeCell="A1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8"/>
    <col width="10.375" bestFit="1" customWidth="1" style="9" min="9" max="9"/>
    <col width="11.25" bestFit="1" customWidth="1" style="9" min="10" max="15"/>
    <col width="11.875" customWidth="1" style="9" min="16" max="22"/>
  </cols>
  <sheetData>
    <row r="1" ht="20.25" customHeight="1" s="9">
      <c r="A1" s="171" t="inlineStr">
        <is>
          <t>의료이용 환자수 산출  :  Hypertension Fact Sheet 2025 기반 산출</t>
        </is>
      </c>
    </row>
    <row r="2" ht="6" customHeight="1" s="9">
      <c r="A2" s="35" t="inlineStr">
        <is>
          <t> </t>
        </is>
      </c>
    </row>
    <row r="3" ht="16.5" customHeight="1" s="9">
      <c r="B3" s="36" t="inlineStr">
        <is>
          <t>◀ 실측 (건보공단 전수, 2010~2023)</t>
        </is>
      </c>
      <c r="C3" s="36" t="n"/>
      <c r="F3" s="36" t="n"/>
      <c r="N3" s="36" t="n"/>
      <c r="P3" s="36" t="inlineStr">
        <is>
          <t>예측 (2024~2030) ▶</t>
        </is>
      </c>
      <c r="Q3" s="36" t="n"/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의료이용환자수 (명)          [근거_의료이용환자수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166" t="inlineStr">
        <is>
          <t xml:space="preserve">  의료이용환자수 (전체)</t>
        </is>
      </c>
      <c r="B6" s="172" t="n"/>
      <c r="C6" s="172" t="n"/>
      <c r="D6" s="172" t="n"/>
      <c r="E6" s="172" t="n"/>
      <c r="F6" s="172">
        <f>근거_의료이용환자수!F9</f>
        <v/>
      </c>
      <c r="G6" s="172">
        <f>근거_의료이용환자수!G9</f>
        <v/>
      </c>
      <c r="H6" s="172">
        <f>근거_의료이용환자수!H9</f>
        <v/>
      </c>
      <c r="I6" s="191">
        <f>근거_의료이용환자수!I9</f>
        <v/>
      </c>
      <c r="J6" s="191">
        <f>근거_의료이용환자수!J9</f>
        <v/>
      </c>
      <c r="K6" s="191">
        <f>근거_의료이용환자수!K9</f>
        <v/>
      </c>
      <c r="L6" s="191">
        <f>근거_의료이용환자수!L9</f>
        <v/>
      </c>
      <c r="M6" s="172">
        <f>근거_의료이용환자수!M9</f>
        <v/>
      </c>
      <c r="N6" s="172">
        <f>근거_의료이용환자수!N9</f>
        <v/>
      </c>
      <c r="O6" s="172">
        <f>근거_의료이용환자수!O9</f>
        <v/>
      </c>
      <c r="P6" s="172">
        <f>근거_의료이용환자수!P9</f>
        <v/>
      </c>
      <c r="Q6" s="172">
        <f>근거_의료이용환자수!Q9</f>
        <v/>
      </c>
      <c r="R6" s="172">
        <f>근거_의료이용환자수!R9</f>
        <v/>
      </c>
      <c r="S6" s="172">
        <f>근거_의료이용환자수!S9</f>
        <v/>
      </c>
      <c r="T6" s="172">
        <f>근거_의료이용환자수!T9</f>
        <v/>
      </c>
      <c r="U6" s="172">
        <f>근거_의료이용환자수!U9</f>
        <v/>
      </c>
      <c r="V6" s="172">
        <f>근거_의료이용환자수!V9</f>
        <v/>
      </c>
    </row>
    <row r="8" ht="16.5" customHeight="1" s="9">
      <c r="A8" s="177" t="inlineStr">
        <is>
          <t>■ B. 고혈압 치료(처방)환자수    [2010~23 : NHIS  |  2024~30 : 고혈압 의료이용환자수(A) × 치료비율 (선형회귀 예측값)]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173" t="inlineStr">
        <is>
          <t xml:space="preserve">  ▶ 치료(처방) 환자수 </t>
        </is>
      </c>
      <c r="B9" s="174" t="n">
        <v>6538000</v>
      </c>
      <c r="C9" s="174" t="n">
        <v>6772000</v>
      </c>
      <c r="D9" s="174" t="n">
        <v>7220000</v>
      </c>
      <c r="E9" s="174" t="n">
        <v>7499000</v>
      </c>
      <c r="F9" s="174" t="n">
        <v>7696000</v>
      </c>
      <c r="G9" s="174" t="n">
        <v>7944000</v>
      </c>
      <c r="H9" s="174" t="n">
        <v>8297000</v>
      </c>
      <c r="I9" s="174" t="n">
        <v>8633000</v>
      </c>
      <c r="J9" s="174" t="n">
        <v>9027000</v>
      </c>
      <c r="K9" s="174" t="n">
        <v>9512000</v>
      </c>
      <c r="L9" s="174" t="n">
        <v>9916000</v>
      </c>
      <c r="M9" s="174" t="n">
        <v>10460000</v>
      </c>
      <c r="N9" s="174" t="n">
        <v>10891000</v>
      </c>
      <c r="O9" s="174" t="n">
        <v>11255000</v>
      </c>
      <c r="P9" s="175">
        <f>P6*P12</f>
        <v/>
      </c>
      <c r="Q9" s="175">
        <f>Q6*Q12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</row>
    <row r="11" ht="16.5" customHeight="1" s="9">
      <c r="A11" s="177" t="inlineStr">
        <is>
          <t xml:space="preserve">■ C. 치료비율 (%)            [고혈압 치료(처방) 환자수(B) ÷ 고혈압 의료이용환자수(A)] 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166" t="inlineStr">
        <is>
          <t xml:space="preserve">  의료치료비율</t>
        </is>
      </c>
      <c r="B12" s="369" t="n"/>
      <c r="C12" s="369" t="n"/>
      <c r="D12" s="369" t="n"/>
      <c r="E12" s="369" t="n"/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4">
        <f>O9/O6</f>
        <v/>
      </c>
      <c r="P12" s="371">
        <f>$B$16*P4+$C$16</f>
        <v/>
      </c>
      <c r="Q12" s="371">
        <f>$B$16*Q4+$C$16</f>
        <v/>
      </c>
      <c r="R12" s="371">
        <f>$B$16*R4+$C$16</f>
        <v/>
      </c>
      <c r="S12" s="371">
        <f>$B$16*S4+$C$16</f>
        <v/>
      </c>
      <c r="T12" s="371">
        <f>$B$16*T4+$C$16</f>
        <v/>
      </c>
      <c r="U12" s="371">
        <f>$B$16*U4+$C$16</f>
        <v/>
      </c>
      <c r="V12" s="371">
        <f>$B$16*V4+$C$16</f>
        <v/>
      </c>
    </row>
    <row r="14" s="9">
      <c r="A14" s="145" t="inlineStr">
        <is>
          <t>★ 주요 파라미터 (분석 구간: 2014-2023, 선형회귀 전체기간 OLS)</t>
        </is>
      </c>
    </row>
    <row r="15" customFormat="1" s="63">
      <c r="A15" s="192" t="n"/>
      <c r="B15" s="146" t="inlineStr">
        <is>
          <t>기울기</t>
        </is>
      </c>
      <c r="C15" s="193" t="inlineStr">
        <is>
          <t>절편</t>
        </is>
      </c>
      <c r="D15" s="194" t="inlineStr">
        <is>
          <t>R²</t>
        </is>
      </c>
      <c r="E15" s="328" t="inlineStr">
        <is>
          <t>2024 환자수 (기준치)</t>
        </is>
      </c>
      <c r="F15" s="375" t="n"/>
      <c r="G15" s="195" t="n"/>
    </row>
    <row r="16" s="9">
      <c r="A16" s="196" t="n"/>
      <c r="B16" s="376">
        <f>SLOPE(F12:O12,F4:O4)</f>
        <v/>
      </c>
      <c r="C16" s="362">
        <f>INTERCEPT(F12:O12,F4:O4)</f>
        <v/>
      </c>
      <c r="D16" s="198">
        <f>RSQ(F12:O12,F4:O4)</f>
        <v/>
      </c>
      <c r="E16" s="330">
        <f>$K$9</f>
        <v/>
      </c>
      <c r="F16" s="375" t="n"/>
      <c r="G16" s="199" t="n"/>
    </row>
    <row r="17" s="9">
      <c r="A17" s="196" t="n"/>
      <c r="B17" s="200" t="inlineStr">
        <is>
          <t xml:space="preserve"> [산출 공식] 예측 치료비율(연도) = 기울기×연도+절편</t>
        </is>
      </c>
      <c r="C17" s="377" t="n"/>
      <c r="D17" s="202" t="n"/>
      <c r="E17" s="203" t="n"/>
      <c r="F17" s="203" t="n"/>
      <c r="G17" s="199" t="n"/>
    </row>
    <row r="18" ht="16.5" customHeight="1" s="9">
      <c r="A18" s="54" t="n"/>
      <c r="B18" s="378" t="n"/>
      <c r="C18" s="379" t="n"/>
      <c r="D18" s="380" t="n"/>
      <c r="F18" s="126" t="n"/>
      <c r="G18" s="126" t="n"/>
    </row>
    <row r="19" ht="16.5" customFormat="1" customHeight="1" s="48">
      <c r="A19" s="51" t="inlineStr">
        <is>
          <t xml:space="preserve">※ 출처 : NHIS(2014~2023), BI 자체 추정 </t>
        </is>
      </c>
      <c r="F19" s="126" t="n"/>
      <c r="G19" s="126" t="n"/>
    </row>
    <row r="20" ht="16.5" customFormat="1" customHeight="1" s="48">
      <c r="A20" s="52" t="inlineStr">
        <is>
          <t>※ 고혈압 치료 환자수: 고혈압을 진단명으로 연 1회 이상 고혈압 치료제 처방</t>
        </is>
      </c>
      <c r="F20" s="126" t="n"/>
      <c r="G20" s="126" t="n"/>
    </row>
    <row r="21" ht="16.5" customFormat="1" customHeight="1" s="48">
      <c r="A21" s="52" t="inlineStr">
        <is>
          <t>※ 범례</t>
        </is>
      </c>
      <c r="F21" s="126" t="n"/>
      <c r="G21" s="126" t="n"/>
    </row>
    <row r="22" ht="16.5" customFormat="1" customHeight="1" s="48">
      <c r="A22" s="53" t="inlineStr">
        <is>
          <t>· 외부 입력 데이터: 청색(Blue) 표기</t>
        </is>
      </c>
      <c r="F22" s="126" t="n"/>
      <c r="G22" s="126" t="n"/>
    </row>
    <row r="23" ht="16.5" customFormat="1" customHeight="1" s="48">
      <c r="A23" s="53" t="inlineStr">
        <is>
          <t>· 예측 변수(또는 예측치): 녹색(Green) 표기</t>
        </is>
      </c>
      <c r="F23" s="126" t="n"/>
      <c r="G23" s="126" t="n"/>
    </row>
    <row r="24" ht="16.5" customFormat="1" customHeight="1" s="48">
      <c r="A24" s="53" t="inlineStr">
        <is>
          <t>· 최종 산출 결과: 황색(Yellow) 음영 행</t>
        </is>
      </c>
      <c r="F24" s="126" t="n"/>
      <c r="G24" s="126" t="n"/>
    </row>
    <row r="25">
      <c r="F25" s="126" t="n"/>
      <c r="G25" s="126" t="n"/>
    </row>
    <row r="26">
      <c r="F26" s="126" t="n"/>
      <c r="G26" s="126" t="n"/>
    </row>
    <row r="27">
      <c r="F27" s="126" t="n"/>
      <c r="G27" s="126" t="n"/>
    </row>
    <row r="28">
      <c r="F28" s="126" t="n"/>
      <c r="G28" s="126" t="n"/>
    </row>
    <row r="29">
      <c r="F29" s="126" t="n"/>
      <c r="G29" s="126" t="n"/>
    </row>
    <row r="30">
      <c r="F30" s="126" t="n"/>
      <c r="G30" s="126" t="n"/>
    </row>
    <row r="31">
      <c r="G31" s="130" t="n"/>
    </row>
    <row r="32">
      <c r="G32" s="130" t="n"/>
    </row>
  </sheetData>
  <mergeCells count="2">
    <mergeCell ref="E15:F15"/>
    <mergeCell ref="E16:F1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V42"/>
  <sheetViews>
    <sheetView showGridLines="0" tabSelected="0" zoomScaleNormal="100" workbookViewId="0">
      <pane xSplit="1" ySplit="4" topLeftCell="B5" activePane="bottomRight" state="frozen"/>
      <selection pane="bottomRight" activeCell="J25" sqref="J25"/>
      <selection pane="bottomLeft" activeCell="A5" sqref="A5"/>
      <selection pane="topRight" activeCell="B1" sqref="B1"/>
    </sheetView>
  </sheetViews>
  <sheetFormatPr baseColWidth="8" defaultColWidth="8.5" defaultRowHeight="16.5"/>
  <cols>
    <col width="37.75" customWidth="1" style="9" min="1" max="1"/>
    <col width="11.125" bestFit="1" customWidth="1" style="9" min="2" max="2"/>
    <col width="11.375" bestFit="1" customWidth="1" style="9" min="3" max="3"/>
    <col width="12.125" bestFit="1" customWidth="1" style="9" min="4" max="4"/>
    <col width="16.75" bestFit="1" customWidth="1" style="9" min="5" max="5"/>
    <col width="9.25" customWidth="1" style="9" min="6" max="12"/>
    <col width="10.25" customWidth="1" style="9" min="13" max="20"/>
    <col width="11.875" customWidth="1" style="9" min="21" max="22"/>
  </cols>
  <sheetData>
    <row r="1" ht="20.25" customHeight="1" s="9">
      <c r="A1" s="333" t="inlineStr">
        <is>
          <t>ARB 처방환자수 산출 : Hypertension Fact Sheet 2025 기반 산출</t>
        </is>
      </c>
    </row>
    <row r="2" ht="8.25" customHeight="1" s="9">
      <c r="A2" s="61" t="inlineStr">
        <is>
          <t> </t>
        </is>
      </c>
    </row>
    <row r="3" ht="16.5" customHeight="1" s="9">
      <c r="B3" s="36" t="n"/>
      <c r="J3" s="36" t="inlineStr">
        <is>
          <t>◀ 실측 (건보공단 전수, 2018~2023)</t>
        </is>
      </c>
      <c r="L3" s="36" t="n"/>
      <c r="P3" s="36" t="inlineStr">
        <is>
          <t>예측 (로지스틱, 2024~2030)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치료환자수 (명)  [근거_치료환자수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204" t="inlineStr">
        <is>
          <t xml:space="preserve">  치료환자수 (전체)</t>
        </is>
      </c>
      <c r="B6" s="172">
        <f>근거_고혈압치료환자수!B9</f>
        <v/>
      </c>
      <c r="C6" s="172">
        <f>근거_고혈압치료환자수!C9</f>
        <v/>
      </c>
      <c r="D6" s="172">
        <f>근거_고혈압치료환자수!D9</f>
        <v/>
      </c>
      <c r="E6" s="172">
        <f>근거_고혈압치료환자수!E9</f>
        <v/>
      </c>
      <c r="F6" s="172">
        <f>근거_고혈압치료환자수!F9</f>
        <v/>
      </c>
      <c r="G6" s="172">
        <f>근거_고혈압치료환자수!G9</f>
        <v/>
      </c>
      <c r="H6" s="172">
        <f>근거_고혈압치료환자수!H9</f>
        <v/>
      </c>
      <c r="I6" s="172">
        <f>근거_고혈압치료환자수!I9</f>
        <v/>
      </c>
      <c r="J6" s="172">
        <f>근거_고혈압치료환자수!J9</f>
        <v/>
      </c>
      <c r="K6" s="172">
        <f>근거_고혈압치료환자수!K9</f>
        <v/>
      </c>
      <c r="L6" s="172">
        <f>근거_고혈압치료환자수!L9</f>
        <v/>
      </c>
      <c r="M6" s="172">
        <f>근거_고혈압치료환자수!M9</f>
        <v/>
      </c>
      <c r="N6" s="172">
        <f>근거_고혈압치료환자수!N9</f>
        <v/>
      </c>
      <c r="O6" s="172">
        <f>근거_고혈압치료환자수!O9</f>
        <v/>
      </c>
      <c r="P6" s="172">
        <f>근거_고혈압치료환자수!P9</f>
        <v/>
      </c>
      <c r="Q6" s="172">
        <f>근거_고혈압치료환자수!Q9</f>
        <v/>
      </c>
      <c r="R6" s="172">
        <f>근거_고혈압치료환자수!R9</f>
        <v/>
      </c>
      <c r="S6" s="172">
        <f>근거_고혈압치료환자수!S9</f>
        <v/>
      </c>
      <c r="T6" s="172">
        <f>근거_고혈압치료환자수!T9</f>
        <v/>
      </c>
      <c r="U6" s="172">
        <f>근거_고혈압치료환자수!U9</f>
        <v/>
      </c>
      <c r="V6" s="172">
        <f>근거_고혈압치료환자수!V9</f>
        <v/>
      </c>
    </row>
    <row r="7" ht="16.5" customHeight="1" s="9">
      <c r="A7" s="62" t="n"/>
    </row>
    <row r="8" ht="16.5" customHeight="1" s="9">
      <c r="A8" s="177" t="inlineStr">
        <is>
          <t>■ B. ARB 처방률 (%)         [2018~23 : 처방환자수(C)÷고혈압치료(A)  |  2023~30 : 과거 처방률 추세를 로지스틱 S-curve1로 연장(상한88%)]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205" t="inlineStr">
        <is>
          <t xml:space="preserve">  ARB 처방률</t>
        </is>
      </c>
      <c r="B9" s="206" t="n"/>
      <c r="C9" s="206" t="n"/>
      <c r="D9" s="206" t="n"/>
      <c r="E9" s="206" t="n"/>
      <c r="F9" s="206" t="n"/>
      <c r="G9" s="206" t="n"/>
      <c r="H9" s="206" t="n"/>
      <c r="I9" s="206" t="n"/>
      <c r="J9" s="369">
        <f>J12/J6</f>
        <v/>
      </c>
      <c r="K9" s="369">
        <f>K12/K6</f>
        <v/>
      </c>
      <c r="L9" s="369">
        <f>L12/L6</f>
        <v/>
      </c>
      <c r="M9" s="369">
        <f>M12/M6</f>
        <v/>
      </c>
      <c r="N9" s="369">
        <f>N12/N6</f>
        <v/>
      </c>
      <c r="O9" s="369">
        <f>O12/O6</f>
        <v/>
      </c>
      <c r="P9" s="381">
        <f>$E$20 + $B$20/(1+EXP(-$C$20*(P$4-$D$20)))</f>
        <v/>
      </c>
      <c r="Q9" s="381">
        <f>$E$20 + $B$20/(1+EXP(-$C$20*(Q$4-$D$20)))</f>
        <v/>
      </c>
      <c r="R9" s="381">
        <f>$E$20 + $B$20/(1+EXP(-$C$20*(R$4-$D$20)))</f>
        <v/>
      </c>
      <c r="S9" s="381">
        <f>$E$20 + $B$20/(1+EXP(-$C$20*(S$4-$D$20)))</f>
        <v/>
      </c>
      <c r="T9" s="381">
        <f>$E$20 + $B$20/(1+EXP(-$C$20*(T$4-$D$20)))</f>
        <v/>
      </c>
      <c r="U9" s="381">
        <f>$E$20 + $B$20/(1+EXP(-$C$20*(U$4-$D$20)))</f>
        <v/>
      </c>
      <c r="V9" s="381">
        <f>$E$20 + $B$20/(1+EXP(-$C$20*(V$4-$D$20)))</f>
        <v/>
      </c>
    </row>
    <row r="10" ht="16.5" customHeight="1" s="9">
      <c r="A10" s="63" t="n"/>
    </row>
    <row r="11" ht="16.5" customHeight="1" s="9">
      <c r="A11" s="177" t="inlineStr">
        <is>
          <t>■ C. ARB 처방환자수 (명)   [2018~23 : 건보공단 전수  |  2024~30 : 고혈압 치료환자수(A) × ARB 처방률(B)]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208" t="inlineStr">
        <is>
          <t xml:space="preserve">  ▶ ARB 처방환자수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>
        <v>6439000</v>
      </c>
      <c r="K12" s="174" t="n">
        <v>6892000</v>
      </c>
      <c r="L12" s="174" t="n">
        <v>7317000</v>
      </c>
      <c r="M12" s="174" t="n">
        <v>7855000</v>
      </c>
      <c r="N12" s="174" t="n">
        <v>8290000</v>
      </c>
      <c r="O12" s="174" t="n">
        <v>8669000</v>
      </c>
      <c r="P12" s="175">
        <f>P6*P9</f>
        <v/>
      </c>
      <c r="Q12" s="175">
        <f>Q6*Q9</f>
        <v/>
      </c>
      <c r="R12" s="175">
        <f>R6*R9</f>
        <v/>
      </c>
      <c r="S12" s="175">
        <f>S6*S9</f>
        <v/>
      </c>
      <c r="T12" s="175">
        <f>T6*T9</f>
        <v/>
      </c>
      <c r="U12" s="175">
        <f>U6*U9</f>
        <v/>
      </c>
      <c r="V12" s="175">
        <f>V6*V9</f>
        <v/>
      </c>
    </row>
    <row r="13" ht="16.5" customFormat="1" customHeight="1" s="2">
      <c r="A13" s="6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66" t="n"/>
      <c r="M13" s="66" t="n"/>
      <c r="N13" s="66" t="n"/>
      <c r="O13" s="66" t="n"/>
      <c r="P13" s="382">
        <f>P12/O12-1</f>
        <v/>
      </c>
      <c r="Q13" s="382">
        <f>Q12/P12-1</f>
        <v/>
      </c>
      <c r="R13" s="382">
        <f>R12/Q12-1</f>
        <v/>
      </c>
      <c r="S13" s="382">
        <f>S12/R12-1</f>
        <v/>
      </c>
      <c r="T13" s="382">
        <f>T12/S12-1</f>
        <v/>
      </c>
      <c r="U13" s="382">
        <f>U12/T12-1</f>
        <v/>
      </c>
      <c r="V13" s="382">
        <f>V12/U12-1</f>
        <v/>
      </c>
    </row>
    <row r="16" ht="16.5" customHeight="1" s="9">
      <c r="A16" s="67" t="inlineStr">
        <is>
          <t>[참고] ARB 처방률 예측방식 : 로지스틱 S-curve1</t>
        </is>
      </c>
      <c r="C16" s="68" t="n"/>
      <c r="D16" s="68" t="n"/>
      <c r="E16" s="68" t="n"/>
      <c r="F16" s="2" t="n"/>
    </row>
    <row r="17" ht="16.5" customHeight="1" s="9">
      <c r="A17" s="67" t="n"/>
      <c r="B17" s="69" t="inlineStr">
        <is>
          <t>곡선식: p(t) = L / (1 + exp(−k·(t − x0))) + anchor</t>
        </is>
      </c>
      <c r="C17" s="68" t="n"/>
      <c r="D17" s="68" t="n"/>
      <c r="E17" s="68" t="n"/>
      <c r="F17" s="2" t="n"/>
      <c r="P17" s="126" t="n"/>
    </row>
    <row r="18" s="9">
      <c r="A18" s="145" t="inlineStr">
        <is>
          <t xml:space="preserve">★ 주요 파라미터 </t>
        </is>
      </c>
      <c r="B18" s="0" t="inlineStr">
        <is>
          <t>(적합구간: 2018~2023; R2=0.9984, 전체 실측 6개년 사용)</t>
        </is>
      </c>
    </row>
    <row r="19" customFormat="1" s="63">
      <c r="A19" s="192" t="n"/>
      <c r="B19" s="209" t="inlineStr">
        <is>
          <t>L (포화상한)</t>
        </is>
      </c>
      <c r="C19" s="209" t="inlineStr">
        <is>
          <t>k (성장속도)</t>
        </is>
      </c>
      <c r="D19" s="209" t="inlineStr">
        <is>
          <t>x0 (중심연도)</t>
        </is>
      </c>
      <c r="E19" s="209" t="inlineStr">
        <is>
          <t>anchor (2023 보정)</t>
        </is>
      </c>
      <c r="F19" s="195" t="n"/>
      <c r="G19" s="195" t="n"/>
    </row>
    <row r="20" s="9">
      <c r="A20" s="196" t="n"/>
      <c r="B20" s="210" t="n">
        <v>0.88</v>
      </c>
      <c r="C20" s="211">
        <f>-SLOPE($D$37:$D$42,$B$37:$B$42)</f>
        <v/>
      </c>
      <c r="D20" s="212">
        <f>INTERCEPT($D$37:$D$42,$B$37:$B$42)/C20</f>
        <v/>
      </c>
      <c r="E20" s="383">
        <f>O9-($B$20/(1+EXP(-C20*(2023-D20))))</f>
        <v/>
      </c>
      <c r="F20" s="195" t="n"/>
      <c r="G20" s="199" t="n"/>
    </row>
    <row r="21" ht="16.5" customHeight="1" s="9">
      <c r="A21" s="67" t="n"/>
      <c r="B21" s="69" t="n"/>
      <c r="C21" s="68" t="n"/>
      <c r="D21" s="68" t="n"/>
      <c r="E21" s="68" t="n"/>
      <c r="F21" s="2" t="n"/>
      <c r="P21" s="126" t="n"/>
    </row>
    <row r="22" ht="16.5" customHeight="1" s="9">
      <c r="A22" s="214" t="n"/>
      <c r="B22" s="209" t="inlineStr">
        <is>
          <t>파라미터</t>
        </is>
      </c>
      <c r="C22" s="332" t="inlineStr">
        <is>
          <t>산출 근거</t>
        </is>
      </c>
      <c r="D22" s="375" t="n"/>
      <c r="E22" s="375" t="n"/>
      <c r="F22" s="375" t="n"/>
      <c r="G22" s="375" t="n"/>
      <c r="H22" s="375" t="n"/>
      <c r="I22" s="384" t="n"/>
      <c r="P22" s="126" t="n"/>
    </row>
    <row r="23" ht="23.25" customHeight="1" s="9">
      <c r="A23" s="215" t="n"/>
      <c r="B23" s="216" t="inlineStr">
        <is>
          <t>L (포화상한)</t>
        </is>
      </c>
      <c r="C23" s="217" t="inlineStr">
        <is>
          <t xml:space="preserve">2018-2023 실측 6개년에 대한 로지스틱 자유적합(curve_fit)으로 추정(표준오차 ±5%p, 95% CI 약 78~98%). </t>
        </is>
      </c>
      <c r="D23" s="217" t="n"/>
      <c r="E23" s="217" t="n"/>
      <c r="F23" s="217" t="n"/>
      <c r="G23" s="217" t="n"/>
      <c r="H23" s="218" t="n"/>
      <c r="I23" s="218" t="n"/>
      <c r="P23" s="126" t="n"/>
    </row>
    <row r="24" ht="23.25" customHeight="1" s="9">
      <c r="A24" s="215" t="n"/>
      <c r="B24" s="216" t="inlineStr">
        <is>
          <t>k (성장속도)</t>
        </is>
      </c>
      <c r="C24" s="217" t="inlineStr">
        <is>
          <t>곡선이 가팔라지는 빠르기 = -SLOPE(z,연도) [B38:D43 보조계산, L=0.88 고정]</t>
        </is>
      </c>
      <c r="D24" s="375" t="n"/>
      <c r="E24" s="375" t="n"/>
      <c r="F24" s="375" t="n"/>
      <c r="G24" s="375" t="n"/>
      <c r="H24" s="375" t="n"/>
      <c r="I24" s="384" t="n"/>
      <c r="P24" s="126" t="n"/>
    </row>
    <row r="25" ht="23.25" customHeight="1" s="9">
      <c r="A25" s="215" t="n"/>
      <c r="B25" s="216" t="inlineStr">
        <is>
          <t>x0 (중심연도)</t>
        </is>
      </c>
      <c r="C25" s="217" t="inlineStr">
        <is>
          <t>확산이 가장 빨랐던 해 = INTERCEPT(z,연도)/k [B38:D43 보조계산, L=0.88 고정]</t>
        </is>
      </c>
      <c r="D25" s="375" t="n"/>
      <c r="E25" s="375" t="n"/>
      <c r="F25" s="375" t="n"/>
      <c r="G25" s="375" t="n"/>
      <c r="H25" s="375" t="n"/>
      <c r="I25" s="384" t="n"/>
      <c r="P25" s="126" t="n"/>
    </row>
    <row r="26" ht="23.25" customHeight="1" s="9">
      <c r="A26" s="215" t="n"/>
      <c r="B26" s="216" t="inlineStr">
        <is>
          <t>anchor (2023 보정)</t>
        </is>
      </c>
      <c r="C26" s="217" t="inlineStr">
        <is>
          <t xml:space="preserve">곡선을 2023(최신 실측)에 정확히 맞추는 보정 = O9 - 로지스틱순수식(k,x0,L) </t>
        </is>
      </c>
      <c r="D26" s="375" t="n"/>
      <c r="E26" s="375" t="n"/>
      <c r="F26" s="375" t="n"/>
      <c r="G26" s="375" t="n"/>
      <c r="H26" s="375" t="n"/>
      <c r="I26" s="384" t="n"/>
    </row>
    <row r="27" ht="23.25" customHeight="1" s="9">
      <c r="A27" s="0" t="inlineStr">
        <is>
          <t> </t>
        </is>
      </c>
    </row>
    <row r="28" ht="13.5" customHeight="1" s="9"/>
    <row r="29" ht="13.5" customFormat="1" customHeight="1" s="48">
      <c r="A29" s="51" t="inlineStr">
        <is>
          <t xml:space="preserve">※ 출처 : NHIS(2018~2023), BI 자체 추정 </t>
        </is>
      </c>
    </row>
    <row r="30" ht="13.5" customFormat="1" customHeight="1" s="48">
      <c r="A30" s="52" t="inlineStr">
        <is>
          <t>※ 범례</t>
        </is>
      </c>
      <c r="J30" s="219" t="n"/>
    </row>
    <row r="31" ht="16.5" customFormat="1" customHeight="1" s="48">
      <c r="A31" s="53" t="inlineStr">
        <is>
          <t>· 외부 입력 데이터: 청색(Blue) 표기</t>
        </is>
      </c>
      <c r="J31" s="219" t="n"/>
    </row>
    <row r="32" ht="4.5" customFormat="1" customHeight="1" s="48">
      <c r="A32" s="53" t="inlineStr">
        <is>
          <t>· 예측 변수(또는 예측치): 녹색(Green) 표기</t>
        </is>
      </c>
      <c r="J32" s="219" t="n"/>
    </row>
    <row r="33" ht="16.5" customFormat="1" customHeight="1" s="48">
      <c r="A33" s="53" t="inlineStr">
        <is>
          <t>· 최종 산출 결과: 황색(Yellow) 음영 행</t>
        </is>
      </c>
      <c r="J33" s="219" t="n"/>
    </row>
    <row r="34">
      <c r="J34" s="219" t="n"/>
    </row>
    <row r="35">
      <c r="A35" s="0" t="inlineStr">
        <is>
          <t>[참고] k, x0, anchor 선형화 보조계산 (L=0.88 고정, z = LN(L/p - 1))</t>
        </is>
      </c>
      <c r="J35" s="219" t="n"/>
    </row>
    <row r="36" ht="16.5" customHeight="1" s="9">
      <c r="B36" s="216" t="inlineStr">
        <is>
          <t>연도</t>
        </is>
      </c>
      <c r="C36" s="216" t="inlineStr">
        <is>
          <t>실측 처방률(p)</t>
        </is>
      </c>
      <c r="D36" s="216" t="inlineStr">
        <is>
          <t>z = LN(L/p-1)</t>
        </is>
      </c>
      <c r="J36" s="219" t="n"/>
    </row>
    <row r="37">
      <c r="B37" s="220">
        <f>J4</f>
        <v/>
      </c>
      <c r="C37" s="385">
        <f>J9</f>
        <v/>
      </c>
      <c r="D37" s="385">
        <f>LN($B$20/J9-1)</f>
        <v/>
      </c>
      <c r="J37" s="219" t="n"/>
    </row>
    <row r="38">
      <c r="B38" s="220">
        <f>K4</f>
        <v/>
      </c>
      <c r="C38" s="385">
        <f>K9</f>
        <v/>
      </c>
      <c r="D38" s="385">
        <f>LN($B$20/K9-1)</f>
        <v/>
      </c>
      <c r="J38" s="219" t="n"/>
    </row>
    <row r="39">
      <c r="B39" s="220">
        <f>L4</f>
        <v/>
      </c>
      <c r="C39" s="385">
        <f>L9</f>
        <v/>
      </c>
      <c r="D39" s="385">
        <f>LN($B$20/L9-1)</f>
        <v/>
      </c>
      <c r="J39" s="219" t="n"/>
    </row>
    <row r="40">
      <c r="B40" s="220">
        <f>M4</f>
        <v/>
      </c>
      <c r="C40" s="385">
        <f>M9</f>
        <v/>
      </c>
      <c r="D40" s="385">
        <f>LN($B$20/M9-1)</f>
        <v/>
      </c>
      <c r="J40" s="219" t="n"/>
    </row>
    <row r="41">
      <c r="B41" s="220">
        <f>N4</f>
        <v/>
      </c>
      <c r="C41" s="385">
        <f>N9</f>
        <v/>
      </c>
      <c r="D41" s="385">
        <f>LN($B$20/N9-1)</f>
        <v/>
      </c>
      <c r="J41" s="219" t="n"/>
    </row>
    <row r="42">
      <c r="B42" s="220">
        <f>O4</f>
        <v/>
      </c>
      <c r="C42" s="385">
        <f>O9</f>
        <v/>
      </c>
      <c r="D42" s="385">
        <f>LN($B$20/O9-1)</f>
        <v/>
      </c>
    </row>
  </sheetData>
  <mergeCells count="4">
    <mergeCell ref="C26:I26"/>
    <mergeCell ref="C25:I25"/>
    <mergeCell ref="C22:I22"/>
    <mergeCell ref="C24:I24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AD36"/>
  <sheetViews>
    <sheetView showGridLines="0" tabSelected="0" zoomScaleNormal="100" workbookViewId="0">
      <pane xSplit="1" ySplit="4" topLeftCell="L7" activePane="bottomRight" state="frozen"/>
      <selection pane="bottomRight" activeCell="R12" sqref="R12:V12"/>
      <selection pane="bottomLeft" activeCell="A5" sqref="A5"/>
      <selection pane="topRight" activeCell="I1" sqref="I1"/>
    </sheetView>
  </sheetViews>
  <sheetFormatPr baseColWidth="8" defaultColWidth="8.5" defaultRowHeight="16.5"/>
  <cols>
    <col width="34.75" customWidth="1" style="9" min="1" max="1"/>
    <col width="12.75" customWidth="1" style="9" min="2" max="16"/>
    <col width="12.875" customWidth="1" style="9" min="17" max="17"/>
    <col width="15" customWidth="1" style="9" min="18" max="22"/>
    <col width="17.25" bestFit="1" customWidth="1" style="9" min="24" max="24"/>
    <col width="18" bestFit="1" customWidth="1" style="9" min="25" max="25"/>
    <col width="11.625" bestFit="1" customWidth="1" style="9" min="27" max="28"/>
    <col width="11.625" bestFit="1" customWidth="1" style="9" min="30" max="30"/>
  </cols>
  <sheetData>
    <row r="1" ht="20.25" customHeight="1" s="9">
      <c r="A1" s="333" t="inlineStr">
        <is>
          <t>ARB 처방량(시장) 산출 : UBIST 기반 추정</t>
        </is>
      </c>
    </row>
    <row r="2" ht="8.25" customHeight="1" s="9"/>
    <row r="3" ht="16.5" customHeight="1" s="9">
      <c r="G3" s="36" t="inlineStr">
        <is>
          <t>◀ 처방량 실측 (UBIST, 2018~2025)</t>
        </is>
      </c>
      <c r="O3" s="36" t="n"/>
      <c r="R3" s="36" t="inlineStr">
        <is>
          <t>예측 (2026~2030) ▶</t>
        </is>
      </c>
      <c r="Z3" s="0" t="inlineStr">
        <is>
          <t>참고비율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8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  <c r="X4" s="73" t="inlineStr">
        <is>
          <t>FY26 1분기</t>
        </is>
      </c>
      <c r="Z4" s="0" t="inlineStr">
        <is>
          <t>1Q</t>
        </is>
      </c>
      <c r="AA4" s="0" t="inlineStr">
        <is>
          <t>2Q</t>
        </is>
      </c>
      <c r="AB4" s="0" t="inlineStr">
        <is>
          <t>3Q</t>
        </is>
      </c>
      <c r="AC4" s="0" t="inlineStr">
        <is>
          <t>4Q</t>
        </is>
      </c>
      <c r="AD4" s="0" t="inlineStr">
        <is>
          <t>Total</t>
        </is>
      </c>
    </row>
    <row r="5" ht="16.5" customHeight="1" s="9">
      <c r="A5" s="177" t="inlineStr">
        <is>
          <t>■ A. ARB 처방환자수 (명)                 [근거_ARB처방환자수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  <c r="Y5" s="24" t="inlineStr">
        <is>
          <t>FY23</t>
        </is>
      </c>
      <c r="Z5" s="0" t="n">
        <v>687724389.71</v>
      </c>
      <c r="AA5" s="0" t="n">
        <v>685232979.0299996</v>
      </c>
      <c r="AB5" s="0" t="n">
        <v>703178428.91</v>
      </c>
      <c r="AC5" s="0" t="n">
        <v>701892905.48</v>
      </c>
      <c r="AD5" s="0">
        <f>SUM(Z5:AC5)</f>
        <v/>
      </c>
    </row>
    <row r="6" ht="16.5" customHeight="1" s="9">
      <c r="A6" s="184" t="inlineStr">
        <is>
          <t xml:space="preserve">  ARB 처방환자수</t>
        </is>
      </c>
      <c r="B6" s="172">
        <f>근거_ARB처방환자수!B12</f>
        <v/>
      </c>
      <c r="C6" s="172">
        <f>근거_ARB처방환자수!C12</f>
        <v/>
      </c>
      <c r="D6" s="172">
        <f>근거_ARB처방환자수!D12</f>
        <v/>
      </c>
      <c r="E6" s="172">
        <f>근거_ARB처방환자수!E12</f>
        <v/>
      </c>
      <c r="F6" s="172">
        <f>근거_ARB처방환자수!F12</f>
        <v/>
      </c>
      <c r="G6" s="172">
        <f>근거_ARB처방환자수!G12</f>
        <v/>
      </c>
      <c r="H6" s="172">
        <f>근거_ARB처방환자수!H12</f>
        <v/>
      </c>
      <c r="I6" s="172">
        <f>근거_ARB처방환자수!I12</f>
        <v/>
      </c>
      <c r="J6" s="172">
        <f>근거_ARB처방환자수!J12</f>
        <v/>
      </c>
      <c r="K6" s="172">
        <f>근거_ARB처방환자수!K12</f>
        <v/>
      </c>
      <c r="L6" s="172">
        <f>근거_ARB처방환자수!L12</f>
        <v/>
      </c>
      <c r="M6" s="172">
        <f>근거_ARB처방환자수!M12</f>
        <v/>
      </c>
      <c r="N6" s="172">
        <f>근거_ARB처방환자수!N12</f>
        <v/>
      </c>
      <c r="O6" s="172">
        <f>근거_ARB처방환자수!O12</f>
        <v/>
      </c>
      <c r="P6" s="172">
        <f>근거_ARB처방환자수!P12</f>
        <v/>
      </c>
      <c r="Q6" s="172">
        <f>근거_ARB처방환자수!Q12</f>
        <v/>
      </c>
      <c r="R6" s="172">
        <f>근거_ARB처방환자수!R12</f>
        <v/>
      </c>
      <c r="S6" s="172">
        <f>근거_ARB처방환자수!S12</f>
        <v/>
      </c>
      <c r="T6" s="172">
        <f>근거_ARB처방환자수!T12</f>
        <v/>
      </c>
      <c r="U6" s="172">
        <f>근거_ARB처방환자수!U12</f>
        <v/>
      </c>
      <c r="V6" s="172">
        <f>근거_ARB처방환자수!V12</f>
        <v/>
      </c>
      <c r="Y6" s="24" t="inlineStr">
        <is>
          <t>FY24</t>
        </is>
      </c>
      <c r="Z6" s="0" t="n">
        <v>708182225.2599999</v>
      </c>
      <c r="AA6" s="0" t="n">
        <v>729055213.4100006</v>
      </c>
      <c r="AB6" s="0" t="n">
        <v>755893600.9</v>
      </c>
      <c r="AC6" s="0" t="n">
        <v>725136845.4400001</v>
      </c>
      <c r="AD6" s="0">
        <f>SUM(Z6:AC6)</f>
        <v/>
      </c>
    </row>
    <row r="7">
      <c r="Y7" s="24" t="inlineStr">
        <is>
          <t>FY25</t>
        </is>
      </c>
      <c r="Z7" s="0" t="n">
        <v>739586970.8999999</v>
      </c>
      <c r="AA7" s="0" t="n">
        <v>766186724.4299999</v>
      </c>
      <c r="AB7" s="0" t="n">
        <v>746642384.0300002</v>
      </c>
      <c r="AC7" s="0" t="n">
        <v>751261487.0799997</v>
      </c>
      <c r="AD7" s="0">
        <f>SUM(Z7:AC7)</f>
        <v/>
      </c>
    </row>
    <row r="8" ht="16.5" customHeight="1" s="9">
      <c r="A8" s="177" t="inlineStr">
        <is>
          <t>■ B. ARB 처방량  [2018~25 : UBIST 실측  |  2026~30 : ARB 처방환자수(A) × VPP(C)]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  <c r="Y8" s="24" t="inlineStr">
        <is>
          <t>FY26</t>
        </is>
      </c>
      <c r="Z8" s="0" t="n">
        <v>774479020.41</v>
      </c>
    </row>
    <row r="9" ht="16.5" customHeight="1" s="9">
      <c r="A9" s="208" t="inlineStr">
        <is>
          <t xml:space="preserve">  ▶ ARB 처방량</t>
        </is>
      </c>
      <c r="B9" s="222" t="n"/>
      <c r="C9" s="222" t="n"/>
      <c r="D9" s="222" t="n"/>
      <c r="E9" s="222" t="n"/>
      <c r="F9" s="222" t="n"/>
      <c r="G9" s="174" t="n"/>
      <c r="H9" s="174" t="n"/>
      <c r="I9" s="174" t="n"/>
      <c r="J9" s="174" t="n">
        <v>2060974764.82</v>
      </c>
      <c r="K9" s="174" t="n">
        <v>2197022240.85</v>
      </c>
      <c r="L9" s="174" t="n">
        <v>2331565239.93</v>
      </c>
      <c r="M9" s="174" t="n">
        <v>2493296870.01</v>
      </c>
      <c r="N9" s="174" t="n">
        <v>2641048248.08</v>
      </c>
      <c r="O9" s="174" t="n">
        <v>2778028703.13</v>
      </c>
      <c r="P9" s="174" t="n">
        <v>2918267885.01</v>
      </c>
      <c r="Q9" s="174" t="n">
        <v>3003677566.44</v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  <c r="X9" s="125" t="n">
        <v>774479020.41</v>
      </c>
      <c r="Y9" s="125" t="n"/>
    </row>
    <row r="10" ht="16.5" customHeight="1" s="9">
      <c r="K10" s="382">
        <f>K9/J9-1</f>
        <v/>
      </c>
      <c r="L10" s="382">
        <f>L9/K9-1</f>
        <v/>
      </c>
      <c r="M10" s="382">
        <f>M9/L9-1</f>
        <v/>
      </c>
      <c r="N10" s="382">
        <f>N9/M9-1</f>
        <v/>
      </c>
      <c r="O10" s="382">
        <f>O9/N9-1</f>
        <v/>
      </c>
      <c r="P10" s="382">
        <f>P9/O9-1</f>
        <v/>
      </c>
      <c r="Q10" s="382">
        <f>Q9/P9-1</f>
        <v/>
      </c>
      <c r="R10" s="382">
        <f>R9/Q9-1</f>
        <v/>
      </c>
      <c r="S10" s="382">
        <f>S9/R9-1</f>
        <v/>
      </c>
      <c r="T10" s="382">
        <f>T9/S9-1</f>
        <v/>
      </c>
      <c r="U10" s="382">
        <f>U9/T9-1</f>
        <v/>
      </c>
      <c r="V10" s="382">
        <f>V9/U9-1</f>
        <v/>
      </c>
      <c r="X10" s="126">
        <f>X9/AVERAGE(Z10:Z12)*1</f>
        <v/>
      </c>
      <c r="Z10" s="386">
        <f>Z5/$AD5</f>
        <v/>
      </c>
      <c r="AA10" s="386">
        <f>AA5/$AD5</f>
        <v/>
      </c>
      <c r="AB10" s="386">
        <f>AB5/$AD5</f>
        <v/>
      </c>
      <c r="AC10" s="386">
        <f>AC5/$AD5</f>
        <v/>
      </c>
    </row>
    <row r="11" ht="16.5" customHeight="1" s="9">
      <c r="A11" s="177" t="inlineStr">
        <is>
          <t>■ C. VPP 환자당 연간 처방일수 (일)       [2018~25 : 처방량(B)÷환자수(A)  |  2026~30 : 과거 VPP 평균 기반 고정1]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  <c r="X11" s="387">
        <f>X10/Q9-1</f>
        <v/>
      </c>
      <c r="Z11" s="386">
        <f>Z6/$AD6</f>
        <v/>
      </c>
      <c r="AA11" s="386">
        <f>AA6/$AD6</f>
        <v/>
      </c>
      <c r="AB11" s="386">
        <f>AB6/$AD6</f>
        <v/>
      </c>
      <c r="AC11" s="386">
        <f>AC6/$AD6</f>
        <v/>
      </c>
    </row>
    <row r="12" ht="16.5" customHeight="1" s="9">
      <c r="A12" s="184" t="inlineStr">
        <is>
          <t xml:space="preserve">  VPP (처방일/DOT)</t>
        </is>
      </c>
      <c r="B12" s="223" t="n"/>
      <c r="C12" s="223" t="n"/>
      <c r="D12" s="223" t="n"/>
      <c r="E12" s="223" t="n"/>
      <c r="F12" s="223" t="n"/>
      <c r="G12" s="223" t="n"/>
      <c r="H12" s="223" t="n"/>
      <c r="I12" s="388" t="n"/>
      <c r="J12" s="191">
        <f>J9/J6</f>
        <v/>
      </c>
      <c r="K12" s="191">
        <f>K9/K6</f>
        <v/>
      </c>
      <c r="L12" s="191">
        <f>L9/L6</f>
        <v/>
      </c>
      <c r="M12" s="191">
        <f>M9/M6</f>
        <v/>
      </c>
      <c r="N12" s="191">
        <f>N9/N6</f>
        <v/>
      </c>
      <c r="O12" s="191">
        <f>O9/O6</f>
        <v/>
      </c>
      <c r="P12" s="191">
        <f>P9/P6</f>
        <v/>
      </c>
      <c r="Q12" s="191">
        <f>Q9/Q6</f>
        <v/>
      </c>
      <c r="R12" s="389">
        <f>IF(N32&gt;0,V32,Q12+C16)</f>
        <v/>
      </c>
      <c r="S12" s="389">
        <f>IF(N33&gt;0,V33,R12+D16)</f>
        <v/>
      </c>
      <c r="T12" s="389">
        <f>IF(N34&gt;0,V34,S12+E16)</f>
        <v/>
      </c>
      <c r="U12" s="389">
        <f>IF(N35&gt;0,V35,T12)</f>
        <v/>
      </c>
      <c r="V12" s="389">
        <f>IF(N35&gt;0,V35,U12)</f>
        <v/>
      </c>
      <c r="X12" s="390" t="n"/>
      <c r="Y12" s="390" t="n"/>
      <c r="Z12" s="386">
        <f>Z7/$AD7</f>
        <v/>
      </c>
      <c r="AA12" s="386">
        <f>AA7/$AD7</f>
        <v/>
      </c>
      <c r="AB12" s="386">
        <f>AB7/$AD7</f>
        <v/>
      </c>
      <c r="AC12" s="386">
        <f>AC7/$AD7</f>
        <v/>
      </c>
    </row>
    <row r="13">
      <c r="K13" s="391">
        <f>K12-J12</f>
        <v/>
      </c>
      <c r="L13" s="391">
        <f>L12-K12</f>
        <v/>
      </c>
      <c r="M13" s="391">
        <f>M12-L12</f>
        <v/>
      </c>
      <c r="N13" s="391">
        <f>N12-M12</f>
        <v/>
      </c>
      <c r="O13" s="391">
        <f>O12-N12</f>
        <v/>
      </c>
      <c r="P13" s="391">
        <f>P12-O12</f>
        <v/>
      </c>
      <c r="Q13" s="391">
        <f>Q12-P12</f>
        <v/>
      </c>
      <c r="R13" s="392" t="n"/>
      <c r="S13" s="392" t="n"/>
      <c r="T13" s="392" t="n"/>
      <c r="U13" s="392" t="n"/>
      <c r="V13" s="392" t="n"/>
    </row>
    <row r="14" s="9">
      <c r="A14" s="158" t="inlineStr">
        <is>
          <t>★ 주요 파라미터 (분석 구간: 2018~2025년)</t>
        </is>
      </c>
    </row>
    <row r="15" s="9">
      <c r="B15" s="159" t="inlineStr">
        <is>
          <t>구분</t>
        </is>
      </c>
      <c r="C15" s="170" t="n">
        <v>2026</v>
      </c>
      <c r="D15" s="170" t="n">
        <v>2027</v>
      </c>
      <c r="E15" s="170" t="n">
        <v>2028</v>
      </c>
      <c r="F15" s="160" t="n"/>
      <c r="G15" s="160" t="n"/>
    </row>
    <row r="16" s="9">
      <c r="A16" s="161" t="n"/>
      <c r="B16" s="162" t="inlineStr">
        <is>
          <t>VPP 증가 일수</t>
        </is>
      </c>
      <c r="C16" s="393">
        <f>ROUND(AVERAGE(O13:Q13),0)</f>
        <v/>
      </c>
      <c r="D16" s="393">
        <f>ROUND(C16*80%,0)</f>
        <v/>
      </c>
      <c r="E16" s="393">
        <f>ROUND(D16*50%,0)</f>
        <v/>
      </c>
      <c r="F16" s="373" t="n"/>
      <c r="G16" s="164" t="n"/>
    </row>
    <row r="17">
      <c r="B17" s="165" t="inlineStr">
        <is>
          <t>(최근 3개년 증가 일수 평균 반영, 증가 점차 둔화 후유지 추정)</t>
        </is>
      </c>
      <c r="F17" s="130" t="n"/>
      <c r="O17" s="130" t="n"/>
    </row>
    <row r="18" ht="16.5" customHeight="1" s="9">
      <c r="A18" s="71" t="n"/>
      <c r="J18" s="126" t="n"/>
      <c r="L18" s="0" t="n"/>
      <c r="R18" s="126" t="n"/>
      <c r="S18" s="126" t="n"/>
    </row>
    <row r="19" ht="16.5" customFormat="1" customHeight="1" s="48">
      <c r="A19" s="51" t="inlineStr">
        <is>
          <t xml:space="preserve">※ 출처 : UBIST(2018~2025), BI 자체 추정 </t>
        </is>
      </c>
      <c r="J19" s="126" t="n"/>
      <c r="S19" s="126" t="n"/>
    </row>
    <row r="20" ht="16.5" customFormat="1" customHeight="1" s="48">
      <c r="A20" s="51" t="inlineStr">
        <is>
          <t>※ 단위: 처방일(DOT).</t>
        </is>
      </c>
      <c r="J20" s="126" t="n"/>
      <c r="S20" s="126" t="n"/>
    </row>
    <row r="21" ht="16.5" customFormat="1" customHeight="1" s="48">
      <c r="A21" s="52" t="inlineStr">
        <is>
          <t>※ 범례</t>
        </is>
      </c>
      <c r="J21" s="126" t="n"/>
      <c r="S21" s="125" t="n"/>
    </row>
    <row r="22" ht="16.5" customFormat="1" customHeight="1" s="48">
      <c r="A22" s="53" t="inlineStr">
        <is>
          <t>· 외부 입력 데이터: 청색(Blue) 표기</t>
        </is>
      </c>
      <c r="J22" s="126" t="n"/>
      <c r="S22" s="125" t="n"/>
    </row>
    <row r="23" ht="16.5" customFormat="1" customHeight="1" s="48">
      <c r="A23" s="53" t="inlineStr">
        <is>
          <t>· 예측 변수(또는 예측치): 녹색(Green) 표기</t>
        </is>
      </c>
      <c r="J23" s="126" t="n"/>
    </row>
    <row r="24" ht="16.5" customFormat="1" customHeight="1" s="48">
      <c r="A24" s="53" t="inlineStr">
        <is>
          <t>· 최종 산출 결과: 황색(Yellow) 음영 행</t>
        </is>
      </c>
      <c r="J24" s="126" t="n"/>
    </row>
    <row r="25">
      <c r="J25" s="126" t="n"/>
    </row>
    <row r="26">
      <c r="A26" s="280" t="inlineStr">
        <is>
          <t xml:space="preserve">■ D. 월별 ARB 처방량(FY기준) 실측 입력 &amp; 롤링 VPP </t>
        </is>
      </c>
      <c r="T26" s="0" t="n"/>
      <c r="U26" s="0" t="n"/>
      <c r="V26" s="0" t="n"/>
    </row>
    <row r="27">
      <c r="A27" s="243" t="inlineStr">
        <is>
          <t>※ 4월~3월=회계연도(FY) 월. 월별 실측은 「원본_월별」■A(ARB 시장 Total)에서 자동 연결 — 매달 UBIST 파일을 「원본_RAW」에 붙여넣으면 자동 갱신 (여기에 직접 입력하지 마십시오)</t>
        </is>
      </c>
      <c r="T27" s="0" t="n"/>
      <c r="U27" s="0" t="n"/>
      <c r="V27" s="0" t="n"/>
    </row>
    <row r="28">
      <c r="A28" s="281" t="inlineStr">
        <is>
          <t>회계연도</t>
        </is>
      </c>
      <c r="B28" s="282" t="inlineStr">
        <is>
          <t>4월</t>
        </is>
      </c>
      <c r="C28" s="283" t="inlineStr">
        <is>
          <t>5월</t>
        </is>
      </c>
      <c r="D28" s="283" t="inlineStr">
        <is>
          <t>6월</t>
        </is>
      </c>
      <c r="E28" s="283" t="inlineStr">
        <is>
          <t>7월</t>
        </is>
      </c>
      <c r="F28" s="283" t="inlineStr">
        <is>
          <t>8월</t>
        </is>
      </c>
      <c r="G28" s="283" t="inlineStr">
        <is>
          <t>9월</t>
        </is>
      </c>
      <c r="H28" s="283" t="inlineStr">
        <is>
          <t>10월</t>
        </is>
      </c>
      <c r="I28" s="283" t="inlineStr">
        <is>
          <t>11월</t>
        </is>
      </c>
      <c r="J28" s="283" t="inlineStr">
        <is>
          <t>12월</t>
        </is>
      </c>
      <c r="K28" s="283" t="inlineStr">
        <is>
          <t>1월</t>
        </is>
      </c>
      <c r="L28" s="283" t="inlineStr">
        <is>
          <t>2월</t>
        </is>
      </c>
      <c r="M28" s="284" t="inlineStr">
        <is>
          <t>3월</t>
        </is>
      </c>
      <c r="N28" s="285" t="inlineStr">
        <is>
          <t>실측월수</t>
        </is>
      </c>
      <c r="O28" s="282" t="inlineStr">
        <is>
          <t>YTD처방량</t>
        </is>
      </c>
      <c r="P28" s="286" t="inlineStr">
        <is>
          <t>전년동기YTD</t>
        </is>
      </c>
      <c r="Q28" s="284" t="inlineStr">
        <is>
          <t>YoY</t>
        </is>
      </c>
      <c r="R28" s="285" t="inlineStr">
        <is>
          <t>장기평균prior(3개년)</t>
        </is>
      </c>
      <c r="S28" s="286" t="inlineStr">
        <is>
          <t>가중치w</t>
        </is>
      </c>
      <c r="T28" s="286" t="inlineStr">
        <is>
          <t>최종성장률</t>
        </is>
      </c>
      <c r="U28" s="286" t="inlineStr">
        <is>
          <t>연환산처방량</t>
        </is>
      </c>
      <c r="V28" s="284" t="inlineStr">
        <is>
          <t>VPP예측</t>
        </is>
      </c>
    </row>
    <row r="29">
      <c r="A29" s="287" t="inlineStr">
        <is>
          <t>FY2023</t>
        </is>
      </c>
      <c r="B29" s="288">
        <f>IF(원본_월별!B22="","",원본_월별!B22)</f>
        <v/>
      </c>
      <c r="C29" s="289">
        <f>IF(원본_월별!C22="","",원본_월별!C22)</f>
        <v/>
      </c>
      <c r="D29" s="289">
        <f>IF(원본_월별!D22="","",원본_월별!D22)</f>
        <v/>
      </c>
      <c r="E29" s="289">
        <f>IF(원본_월별!E22="","",원본_월별!E22)</f>
        <v/>
      </c>
      <c r="F29" s="289">
        <f>IF(원본_월별!F22="","",원본_월별!F22)</f>
        <v/>
      </c>
      <c r="G29" s="289">
        <f>IF(원본_월별!G22="","",원본_월별!G22)</f>
        <v/>
      </c>
      <c r="H29" s="289">
        <f>IF(원본_월별!H22="","",원본_월별!H22)</f>
        <v/>
      </c>
      <c r="I29" s="289">
        <f>IF(원본_월별!I22="","",원본_월별!I22)</f>
        <v/>
      </c>
      <c r="J29" s="289">
        <f>IF(원본_월별!J22="","",원본_월별!J22)</f>
        <v/>
      </c>
      <c r="K29" s="289">
        <f>IF(원본_월별!K22="","",원본_월별!K22)</f>
        <v/>
      </c>
      <c r="L29" s="289">
        <f>IF(원본_월별!L22="","",원본_월별!L22)</f>
        <v/>
      </c>
      <c r="M29" s="290">
        <f>IF(원본_월별!M22="","",원본_월별!M22)</f>
        <v/>
      </c>
      <c r="N29" s="291">
        <f>COUNT(B29:M29)</f>
        <v/>
      </c>
      <c r="O29" s="292">
        <f>SUM(B29:M29)</f>
        <v/>
      </c>
      <c r="Q29" s="293" t="n"/>
      <c r="R29" s="294" t="n"/>
      <c r="T29" s="0" t="n"/>
      <c r="U29" s="0" t="n"/>
      <c r="V29" s="295" t="n"/>
    </row>
    <row r="30">
      <c r="A30" s="287" t="inlineStr">
        <is>
          <t>FY2024</t>
        </is>
      </c>
      <c r="B30" s="288">
        <f>IF(원본_월별!B23="","",원본_월별!B23)</f>
        <v/>
      </c>
      <c r="C30" s="289">
        <f>IF(원본_월별!C23="","",원본_월별!C23)</f>
        <v/>
      </c>
      <c r="D30" s="289">
        <f>IF(원본_월별!D23="","",원본_월별!D23)</f>
        <v/>
      </c>
      <c r="E30" s="289">
        <f>IF(원본_월별!E23="","",원본_월별!E23)</f>
        <v/>
      </c>
      <c r="F30" s="289">
        <f>IF(원본_월별!F23="","",원본_월별!F23)</f>
        <v/>
      </c>
      <c r="G30" s="289">
        <f>IF(원본_월별!G23="","",원본_월별!G23)</f>
        <v/>
      </c>
      <c r="H30" s="289">
        <f>IF(원본_월별!H23="","",원본_월별!H23)</f>
        <v/>
      </c>
      <c r="I30" s="289">
        <f>IF(원본_월별!I23="","",원본_월별!I23)</f>
        <v/>
      </c>
      <c r="J30" s="289">
        <f>IF(원본_월별!J23="","",원본_월별!J23)</f>
        <v/>
      </c>
      <c r="K30" s="289">
        <f>IF(원본_월별!K23="","",원본_월별!K23)</f>
        <v/>
      </c>
      <c r="L30" s="289">
        <f>IF(원본_월별!L23="","",원본_월별!L23)</f>
        <v/>
      </c>
      <c r="M30" s="290">
        <f>IF(원본_월별!M23="","",원본_월별!M23)</f>
        <v/>
      </c>
      <c r="N30" s="291">
        <f>COUNT(B30:M30)</f>
        <v/>
      </c>
      <c r="O30" s="292">
        <f>SUM(B30:M30)</f>
        <v/>
      </c>
      <c r="Q30" s="293" t="n"/>
      <c r="R30" s="294" t="n"/>
      <c r="T30" s="0" t="n"/>
      <c r="U30" s="0" t="n"/>
      <c r="V30" s="295" t="n"/>
    </row>
    <row r="31">
      <c r="A31" s="287" t="inlineStr">
        <is>
          <t>FY2025</t>
        </is>
      </c>
      <c r="B31" s="288">
        <f>IF(원본_월별!B24="","",원본_월별!B24)</f>
        <v/>
      </c>
      <c r="C31" s="289">
        <f>IF(원본_월별!C24="","",원본_월별!C24)</f>
        <v/>
      </c>
      <c r="D31" s="289">
        <f>IF(원본_월별!D24="","",원본_월별!D24)</f>
        <v/>
      </c>
      <c r="E31" s="289">
        <f>IF(원본_월별!E24="","",원본_월별!E24)</f>
        <v/>
      </c>
      <c r="F31" s="289">
        <f>IF(원본_월별!F24="","",원본_월별!F24)</f>
        <v/>
      </c>
      <c r="G31" s="289">
        <f>IF(원본_월별!G24="","",원본_월별!G24)</f>
        <v/>
      </c>
      <c r="H31" s="289">
        <f>IF(원본_월별!H24="","",원본_월별!H24)</f>
        <v/>
      </c>
      <c r="I31" s="289">
        <f>IF(원본_월별!I24="","",원본_월별!I24)</f>
        <v/>
      </c>
      <c r="J31" s="289">
        <f>IF(원본_월별!J24="","",원본_월별!J24)</f>
        <v/>
      </c>
      <c r="K31" s="289">
        <f>IF(원본_월별!K24="","",원본_월별!K24)</f>
        <v/>
      </c>
      <c r="L31" s="289">
        <f>IF(원본_월별!L24="","",원본_월별!L24)</f>
        <v/>
      </c>
      <c r="M31" s="290">
        <f>IF(원본_월별!M24="","",원본_월별!M24)</f>
        <v/>
      </c>
      <c r="N31" s="291">
        <f>COUNT(B31:M31)</f>
        <v/>
      </c>
      <c r="O31" s="292">
        <f>SUM(B31:M31)</f>
        <v/>
      </c>
      <c r="Q31" s="293" t="n"/>
      <c r="R31" s="294" t="n"/>
      <c r="T31" s="0" t="n"/>
      <c r="U31" s="0" t="n"/>
      <c r="V31" s="295" t="n"/>
    </row>
    <row r="32">
      <c r="A32" s="287" t="inlineStr">
        <is>
          <t>FY2026</t>
        </is>
      </c>
      <c r="B32" s="288">
        <f>IF(원본_월별!B25="","",원본_월별!B25)</f>
        <v/>
      </c>
      <c r="C32" s="289">
        <f>IF(원본_월별!C25="","",원본_월별!C25)</f>
        <v/>
      </c>
      <c r="D32" s="289">
        <f>IF(원본_월별!D25="","",원본_월별!D25)</f>
        <v/>
      </c>
      <c r="E32" s="289">
        <f>IF(원본_월별!E25="","",원본_월별!E25)</f>
        <v/>
      </c>
      <c r="F32" s="289">
        <f>IF(원본_월별!F25="","",원본_월별!F25)</f>
        <v/>
      </c>
      <c r="G32" s="289">
        <f>IF(원본_월별!G25="","",원본_월별!G25)</f>
        <v/>
      </c>
      <c r="H32" s="289">
        <f>IF(원본_월별!H25="","",원본_월별!H25)</f>
        <v/>
      </c>
      <c r="I32" s="289">
        <f>IF(원본_월별!I25="","",원본_월별!I25)</f>
        <v/>
      </c>
      <c r="J32" s="289">
        <f>IF(원본_월별!J25="","",원본_월별!J25)</f>
        <v/>
      </c>
      <c r="K32" s="289">
        <f>IF(원본_월별!K25="","",원본_월별!K25)</f>
        <v/>
      </c>
      <c r="L32" s="289">
        <f>IF(원본_월별!L25="","",원본_월별!L25)</f>
        <v/>
      </c>
      <c r="M32" s="290">
        <f>IF(원본_월별!M25="","",원본_월별!M25)</f>
        <v/>
      </c>
      <c r="N32" s="291">
        <f>COUNT(B32:M32)</f>
        <v/>
      </c>
      <c r="O32" s="292">
        <f>SUM(B32:M32)</f>
        <v/>
      </c>
      <c r="P32" s="296">
        <f>IF(N32=0,0,SUM($B31:INDEX($B31:$M31,N32)))</f>
        <v/>
      </c>
      <c r="Q32" s="394">
        <f>IF(OR(N32=0,P32=0),"",O32/P32-1)</f>
        <v/>
      </c>
      <c r="R32" s="395">
        <f>AVERAGE(O9/N9-1,P9/O9-1,Q9/P9-1)</f>
        <v/>
      </c>
      <c r="S32" s="299">
        <f>IF(N32=0,"",IF(N32=1,0.3,IF(N32=2,0.7,0.9)))</f>
        <v/>
      </c>
      <c r="T32" s="396">
        <f>IF(N32=0,"",S32*Q32+(1-S32)*R32)</f>
        <v/>
      </c>
      <c r="U32" s="296">
        <f>IF(N32=0,"",Q9*(1+T32))</f>
        <v/>
      </c>
      <c r="V32" s="301">
        <f>IF(N32=0,"",U32/R6)</f>
        <v/>
      </c>
    </row>
    <row r="33">
      <c r="A33" s="287" t="inlineStr">
        <is>
          <t>FY2027</t>
        </is>
      </c>
      <c r="B33" s="288">
        <f>IF(원본_월별!B26="","",원본_월별!B26)</f>
        <v/>
      </c>
      <c r="C33" s="289">
        <f>IF(원본_월별!C26="","",원본_월별!C26)</f>
        <v/>
      </c>
      <c r="D33" s="289">
        <f>IF(원본_월별!D26="","",원본_월별!D26)</f>
        <v/>
      </c>
      <c r="E33" s="289">
        <f>IF(원본_월별!E26="","",원본_월별!E26)</f>
        <v/>
      </c>
      <c r="F33" s="289">
        <f>IF(원본_월별!F26="","",원본_월별!F26)</f>
        <v/>
      </c>
      <c r="G33" s="289">
        <f>IF(원본_월별!G26="","",원본_월별!G26)</f>
        <v/>
      </c>
      <c r="H33" s="289">
        <f>IF(원본_월별!H26="","",원본_월별!H26)</f>
        <v/>
      </c>
      <c r="I33" s="289">
        <f>IF(원본_월별!I26="","",원본_월별!I26)</f>
        <v/>
      </c>
      <c r="J33" s="289">
        <f>IF(원본_월별!J26="","",원본_월별!J26)</f>
        <v/>
      </c>
      <c r="K33" s="289">
        <f>IF(원본_월별!K26="","",원본_월별!K26)</f>
        <v/>
      </c>
      <c r="L33" s="289">
        <f>IF(원본_월별!L26="","",원본_월별!L26)</f>
        <v/>
      </c>
      <c r="M33" s="290">
        <f>IF(원본_월별!M26="","",원본_월별!M26)</f>
        <v/>
      </c>
      <c r="N33" s="291">
        <f>COUNT(B33:M33)</f>
        <v/>
      </c>
      <c r="O33" s="292">
        <f>SUM(B33:M33)</f>
        <v/>
      </c>
      <c r="P33" s="296">
        <f>IF(N33=0,0,SUM($B32:INDEX($B32:$M32,N33)))</f>
        <v/>
      </c>
      <c r="Q33" s="302">
        <f>IF(OR(N33=0,P33=0),"",O33/P33-1)</f>
        <v/>
      </c>
      <c r="R33" s="395">
        <f>AVERAGE(P9/O9-1,Q9/P9-1,R9/Q9-1)</f>
        <v/>
      </c>
      <c r="S33" s="299">
        <f>IF(N33=0,"",IF(N33=1,0.3,IF(N33=2,0.7,0.9)))</f>
        <v/>
      </c>
      <c r="T33" s="299">
        <f>IF(N33=0,"",S33*Q33+(1-S33)*R33)</f>
        <v/>
      </c>
      <c r="U33" s="296">
        <f>IF(N33=0,"",R9*(1+T33))</f>
        <v/>
      </c>
      <c r="V33" s="303">
        <f>IF(N33=0,"",U33/S6)</f>
        <v/>
      </c>
    </row>
    <row r="34">
      <c r="A34" s="287" t="inlineStr">
        <is>
          <t>FY2028</t>
        </is>
      </c>
      <c r="B34" s="288">
        <f>IF(원본_월별!B27="","",원본_월별!B27)</f>
        <v/>
      </c>
      <c r="C34" s="289">
        <f>IF(원본_월별!C27="","",원본_월별!C27)</f>
        <v/>
      </c>
      <c r="D34" s="289">
        <f>IF(원본_월별!D27="","",원본_월별!D27)</f>
        <v/>
      </c>
      <c r="E34" s="289">
        <f>IF(원본_월별!E27="","",원본_월별!E27)</f>
        <v/>
      </c>
      <c r="F34" s="289">
        <f>IF(원본_월별!F27="","",원본_월별!F27)</f>
        <v/>
      </c>
      <c r="G34" s="289">
        <f>IF(원본_월별!G27="","",원본_월별!G27)</f>
        <v/>
      </c>
      <c r="H34" s="289">
        <f>IF(원본_월별!H27="","",원본_월별!H27)</f>
        <v/>
      </c>
      <c r="I34" s="289">
        <f>IF(원본_월별!I27="","",원본_월별!I27)</f>
        <v/>
      </c>
      <c r="J34" s="289">
        <f>IF(원본_월별!J27="","",원본_월별!J27)</f>
        <v/>
      </c>
      <c r="K34" s="289">
        <f>IF(원본_월별!K27="","",원본_월별!K27)</f>
        <v/>
      </c>
      <c r="L34" s="289">
        <f>IF(원본_월별!L27="","",원본_월별!L27)</f>
        <v/>
      </c>
      <c r="M34" s="290">
        <f>IF(원본_월별!M27="","",원본_월별!M27)</f>
        <v/>
      </c>
      <c r="N34" s="291">
        <f>COUNT(B34:M34)</f>
        <v/>
      </c>
      <c r="O34" s="292">
        <f>SUM(B34:M34)</f>
        <v/>
      </c>
      <c r="P34" s="296">
        <f>IF(N34=0,0,SUM($B33:INDEX($B33:$M33,N34)))</f>
        <v/>
      </c>
      <c r="Q34" s="302">
        <f>IF(OR(N34=0,P34=0),"",O34/P34-1)</f>
        <v/>
      </c>
      <c r="R34" s="395">
        <f>AVERAGE(Q9/P9-1,R9/Q9-1,S9/R9-1)</f>
        <v/>
      </c>
      <c r="S34" s="299">
        <f>IF(N34=0,"",IF(N34=1,0.3,IF(N34=2,0.7,0.9)))</f>
        <v/>
      </c>
      <c r="T34" s="299">
        <f>IF(N34=0,"",S34*Q34+(1-S34)*R34)</f>
        <v/>
      </c>
      <c r="U34" s="296">
        <f>IF(N34=0,"",S9*(1+T34))</f>
        <v/>
      </c>
      <c r="V34" s="303">
        <f>IF(N34=0,"",U34/T6)</f>
        <v/>
      </c>
    </row>
    <row r="35">
      <c r="A35" s="287" t="inlineStr">
        <is>
          <t>FY2029</t>
        </is>
      </c>
      <c r="B35" s="288">
        <f>IF(원본_월별!B28="","",원본_월별!B28)</f>
        <v/>
      </c>
      <c r="C35" s="289">
        <f>IF(원본_월별!C28="","",원본_월별!C28)</f>
        <v/>
      </c>
      <c r="D35" s="289">
        <f>IF(원본_월별!D28="","",원본_월별!D28)</f>
        <v/>
      </c>
      <c r="E35" s="289">
        <f>IF(원본_월별!E28="","",원본_월별!E28)</f>
        <v/>
      </c>
      <c r="F35" s="289">
        <f>IF(원본_월별!F28="","",원본_월별!F28)</f>
        <v/>
      </c>
      <c r="G35" s="289">
        <f>IF(원본_월별!G28="","",원본_월별!G28)</f>
        <v/>
      </c>
      <c r="H35" s="289">
        <f>IF(원본_월별!H28="","",원본_월별!H28)</f>
        <v/>
      </c>
      <c r="I35" s="289">
        <f>IF(원본_월별!I28="","",원본_월별!I28)</f>
        <v/>
      </c>
      <c r="J35" s="289">
        <f>IF(원본_월별!J28="","",원본_월별!J28)</f>
        <v/>
      </c>
      <c r="K35" s="289">
        <f>IF(원본_월별!K28="","",원본_월별!K28)</f>
        <v/>
      </c>
      <c r="L35" s="289">
        <f>IF(원본_월별!L28="","",원본_월별!L28)</f>
        <v/>
      </c>
      <c r="M35" s="290">
        <f>IF(원본_월별!M28="","",원본_월별!M28)</f>
        <v/>
      </c>
      <c r="N35" s="291">
        <f>COUNT(B35:M35)</f>
        <v/>
      </c>
      <c r="O35" s="292">
        <f>SUM(B35:M35)</f>
        <v/>
      </c>
      <c r="P35" s="296">
        <f>IF(N35=0,0,SUM($B34:INDEX($B34:$M34,N35)))</f>
        <v/>
      </c>
      <c r="Q35" s="302">
        <f>IF(OR(N35=0,P35=0),"",O35/P35-1)</f>
        <v/>
      </c>
      <c r="R35" s="395">
        <f>AVERAGE(R9/Q9-1,S9/R9-1,T9/S9-1)</f>
        <v/>
      </c>
      <c r="S35" s="299">
        <f>IF(N35=0,"",IF(N35=1,0.3,IF(N35=2,0.7,0.9)))</f>
        <v/>
      </c>
      <c r="T35" s="299">
        <f>IF(N35=0,"",S35*Q35+(1-S35)*R35)</f>
        <v/>
      </c>
      <c r="U35" s="296">
        <f>IF(N35=0,"",T9*(1+T35))</f>
        <v/>
      </c>
      <c r="V35" s="303">
        <f>IF(N35=0,"",U35/U6)</f>
        <v/>
      </c>
    </row>
    <row r="36">
      <c r="A36" s="304" t="inlineStr">
        <is>
          <t>FY2030</t>
        </is>
      </c>
      <c r="B36" s="305">
        <f>IF(원본_월별!B29="","",원본_월별!B29)</f>
        <v/>
      </c>
      <c r="C36" s="306">
        <f>IF(원본_월별!C29="","",원본_월별!C29)</f>
        <v/>
      </c>
      <c r="D36" s="306">
        <f>IF(원본_월별!D29="","",원본_월별!D29)</f>
        <v/>
      </c>
      <c r="E36" s="306">
        <f>IF(원본_월별!E29="","",원본_월별!E29)</f>
        <v/>
      </c>
      <c r="F36" s="306">
        <f>IF(원본_월별!F29="","",원본_월별!F29)</f>
        <v/>
      </c>
      <c r="G36" s="306">
        <f>IF(원본_월별!G29="","",원본_월별!G29)</f>
        <v/>
      </c>
      <c r="H36" s="306">
        <f>IF(원본_월별!H29="","",원본_월별!H29)</f>
        <v/>
      </c>
      <c r="I36" s="306">
        <f>IF(원본_월별!I29="","",원본_월별!I29)</f>
        <v/>
      </c>
      <c r="J36" s="306">
        <f>IF(원본_월별!J29="","",원본_월별!J29)</f>
        <v/>
      </c>
      <c r="K36" s="306">
        <f>IF(원본_월별!K29="","",원본_월별!K29)</f>
        <v/>
      </c>
      <c r="L36" s="306">
        <f>IF(원본_월별!L29="","",원본_월별!L29)</f>
        <v/>
      </c>
      <c r="M36" s="307">
        <f>IF(원본_월별!M29="","",원본_월별!M29)</f>
        <v/>
      </c>
      <c r="N36" s="308">
        <f>COUNT(B36:M36)</f>
        <v/>
      </c>
      <c r="O36" s="309">
        <f>SUM(B36:M36)</f>
        <v/>
      </c>
      <c r="P36" s="310">
        <f>IF(N36=0,0,SUM($B35:INDEX($B35:$M35,N36)))</f>
        <v/>
      </c>
      <c r="Q36" s="311">
        <f>IF(OR(N36=0,P36=0),"",O36/P36-1)</f>
        <v/>
      </c>
      <c r="R36" s="397">
        <f>AVERAGE(S9/R9-1,T9/S9-1,U9/T9-1)</f>
        <v/>
      </c>
      <c r="S36" s="313">
        <f>IF(N36=0,"",IF(N36=1,0.3,IF(N36=2,0.7,0.9)))</f>
        <v/>
      </c>
      <c r="T36" s="313">
        <f>IF(N36=0,"",S36*Q36+(1-S36)*R36)</f>
        <v/>
      </c>
      <c r="U36" s="310">
        <f>IF(N36=0,"",U9*(1+T36))</f>
        <v/>
      </c>
      <c r="V36" s="314">
        <f>IF(N36=0,"",U36/V6)</f>
        <v/>
      </c>
    </row>
  </sheetData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Q45"/>
  <sheetViews>
    <sheetView showGridLines="0" tabSelected="0" zoomScaleNormal="100" workbookViewId="0">
      <pane xSplit="1" ySplit="4" topLeftCell="B5" activePane="bottomRight" state="frozen"/>
      <selection pane="bottomRight" activeCell="B18" sqref="B18:N18"/>
      <selection pane="bottomLeft" activeCell="A5" sqref="A5"/>
      <selection pane="topRight" activeCell="E1" sqref="E1"/>
    </sheetView>
  </sheetViews>
  <sheetFormatPr baseColWidth="8" defaultColWidth="8.5" defaultRowHeight="16.5"/>
  <cols>
    <col width="30.75" customWidth="1" style="9" min="1" max="1"/>
    <col width="13.125" customWidth="1" style="9" min="2" max="5"/>
    <col width="15" customWidth="1" style="9" min="6" max="14"/>
    <col width="13" customWidth="1" style="9" min="16" max="16"/>
    <col width="8.5" customWidth="1" style="9" min="17" max="17"/>
  </cols>
  <sheetData>
    <row r="1" ht="20.25" customHeight="1" s="9">
      <c r="A1" s="333" t="inlineStr">
        <is>
          <t>ARB+CCB+DU 복합제 처방량 산출 : UBIST 기반 추정</t>
        </is>
      </c>
    </row>
    <row r="2" ht="6" customHeight="1" s="9">
      <c r="A2" s="61" t="inlineStr">
        <is>
          <t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177" t="inlineStr">
        <is>
          <t>■ A. ARB 처방량      [근거_ARB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</row>
    <row r="6" ht="16.5" customHeight="1" s="9">
      <c r="A6" s="184" t="inlineStr">
        <is>
          <t xml:space="preserve">  ARB 처방량 </t>
        </is>
      </c>
      <c r="B6" s="172">
        <f>근거_ARB처방량!J9</f>
        <v/>
      </c>
      <c r="C6" s="172">
        <f>근거_ARB처방량!K9</f>
        <v/>
      </c>
      <c r="D6" s="172">
        <f>근거_ARB처방량!L9</f>
        <v/>
      </c>
      <c r="E6" s="172">
        <f>근거_ARB처방량!M9</f>
        <v/>
      </c>
      <c r="F6" s="172">
        <f>근거_ARB처방량!N9</f>
        <v/>
      </c>
      <c r="G6" s="172">
        <f>근거_ARB처방량!O9</f>
        <v/>
      </c>
      <c r="H6" s="172">
        <f>근거_ARB처방량!P9</f>
        <v/>
      </c>
      <c r="I6" s="172">
        <f>근거_ARB처방량!Q9</f>
        <v/>
      </c>
      <c r="J6" s="172">
        <f>근거_ARB처방량!R9</f>
        <v/>
      </c>
      <c r="K6" s="172">
        <f>근거_ARB처방량!S9</f>
        <v/>
      </c>
      <c r="L6" s="172">
        <f>근거_ARB처방량!T9</f>
        <v/>
      </c>
      <c r="M6" s="172">
        <f>근거_ARB처방량!U9</f>
        <v/>
      </c>
      <c r="N6" s="172">
        <f>근거_ARB처방량!V9</f>
        <v/>
      </c>
      <c r="P6" s="398" t="n">
        <v>774479020.41</v>
      </c>
      <c r="Q6" s="74">
        <f>P6*4/J6</f>
        <v/>
      </c>
    </row>
    <row r="8" ht="16.5" customHeight="1" s="9">
      <c r="A8" s="177" t="inlineStr">
        <is>
          <t>■ B. ARB복합제 비율          [2018~25 : UBIST 실측 | 2026~30 : 하한고정(로지스틱, 하한 59.35%), 이미 정체 국면]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</row>
    <row r="9" ht="16.5" customHeight="1" s="9">
      <c r="A9" s="184" t="inlineStr">
        <is>
          <t xml:space="preserve">  ARB 복합제 비율</t>
        </is>
      </c>
      <c r="B9" s="399" t="n">
        <v>0.606258722294024</v>
      </c>
      <c r="C9" s="399" t="n">
        <v>0.6021911547413999</v>
      </c>
      <c r="D9" s="399" t="n">
        <v>0.6001022775635509</v>
      </c>
      <c r="E9" s="399" t="n">
        <v>0.598517497013508</v>
      </c>
      <c r="F9" s="399" t="n">
        <v>0.598509298532936</v>
      </c>
      <c r="G9" s="399" t="n">
        <v>0.596880838121565</v>
      </c>
      <c r="H9" s="399" t="n">
        <v>0.594680209440078</v>
      </c>
      <c r="I9" s="399" t="n">
        <v>0.595173130589651</v>
      </c>
      <c r="J9" s="381">
        <f>$D$22+(1-$D$22)/(1+EXP(-$E$22*(VALUE(MID(J4,3,4))-$F$22)))+$G$22</f>
        <v/>
      </c>
      <c r="K9" s="381">
        <f>$D$22+(1-$D$22)/(1+EXP(-$E$22*(VALUE(MID(K4,3,4))-$F$22)))+$G$22</f>
        <v/>
      </c>
      <c r="L9" s="381">
        <f>$D$22+(1-$D$22)/(1+EXP(-$E$22*(VALUE(MID(L4,3,4))-$F$22)))+$G$22</f>
        <v/>
      </c>
      <c r="M9" s="381">
        <f>$D$22+(1-$D$22)/(1+EXP(-$E$22*(VALUE(MID(M4,3,4))-$F$22)))+$G$22</f>
        <v/>
      </c>
      <c r="N9" s="381">
        <f>$D$22+(1-$D$22)/(1+EXP(-$E$22*(VALUE(MID(N4,3,4))-$F$22)))+$G$22</f>
        <v/>
      </c>
      <c r="P9" s="390" t="n">
        <v>0.598267754489605</v>
      </c>
      <c r="Q9" s="390">
        <f>P9-J9</f>
        <v/>
      </c>
    </row>
    <row r="10" ht="16.5" customHeight="1" s="9">
      <c r="B10" s="390" t="n"/>
      <c r="C10" s="390" t="n"/>
      <c r="D10" s="390" t="n"/>
      <c r="E10" s="390" t="n"/>
      <c r="F10" s="390" t="n"/>
      <c r="G10" s="390" t="n"/>
      <c r="H10" s="390" t="n"/>
      <c r="I10" s="390" t="n"/>
      <c r="J10" s="390" t="n"/>
      <c r="K10" s="390" t="n"/>
      <c r="L10" s="390" t="n"/>
      <c r="M10" s="390" t="n"/>
      <c r="N10" s="390" t="n"/>
    </row>
    <row r="11" ht="16.5" customHeight="1" s="9">
      <c r="A11" s="177" t="inlineStr">
        <is>
          <t>■ C. ARB 복합제 중 ARB+CCB+DU 비율 [2018~25 : UBIST 실측 | 2026~30 : 상한고정(로지스틱, 상한 11.5%)]</t>
        </is>
      </c>
      <c r="B11" s="400" t="n"/>
      <c r="C11" s="400" t="n"/>
      <c r="D11" s="400" t="n"/>
      <c r="E11" s="400" t="n"/>
      <c r="F11" s="400" t="n"/>
      <c r="G11" s="400" t="n"/>
      <c r="H11" s="400" t="n"/>
      <c r="I11" s="400" t="n"/>
      <c r="J11" s="400" t="n"/>
      <c r="K11" s="400" t="n"/>
      <c r="L11" s="400" t="n"/>
      <c r="M11" s="400" t="n"/>
      <c r="N11" s="400" t="n"/>
    </row>
    <row r="12" ht="16.5" customHeight="1" s="9">
      <c r="A12" s="184" t="inlineStr">
        <is>
          <t>ARB+CCB+DU 복합제 비율</t>
        </is>
      </c>
      <c r="B12" s="399" t="n">
        <v>0.0448549343629028</v>
      </c>
      <c r="C12" s="399" t="n">
        <v>0.0578943434154243</v>
      </c>
      <c r="D12" s="399" t="n">
        <v>0.0727171496576534</v>
      </c>
      <c r="E12" s="399" t="n">
        <v>0.08105930826331489</v>
      </c>
      <c r="F12" s="399" t="n">
        <v>0.0915813186327973</v>
      </c>
      <c r="G12" s="399" t="n">
        <v>0.0985499521038767</v>
      </c>
      <c r="H12" s="399" t="n">
        <v>0.101759356177742</v>
      </c>
      <c r="I12" s="399" t="n">
        <v>0.105371339631793</v>
      </c>
      <c r="J12" s="381">
        <f>$D$23/(1+EXP(-$E$23*(VALUE(MID(J4,3,4))-$F$23)))+$G$23</f>
        <v/>
      </c>
      <c r="K12" s="381">
        <f>$D$23/(1+EXP(-$E$23*(VALUE(MID(K4,3,4))-$F$23)))+$G$23</f>
        <v/>
      </c>
      <c r="L12" s="381">
        <f>$D$23/(1+EXP(-$E$23*(VALUE(MID(L4,3,4))-$F$23)))+$G$23</f>
        <v/>
      </c>
      <c r="M12" s="381">
        <f>$D$23/(1+EXP(-$E$23*(VALUE(MID(M4,3,4))-$F$23)))+$G$23</f>
        <v/>
      </c>
      <c r="N12" s="381">
        <f>$D$23/(1+EXP(-$E$23*(VALUE(MID(N4,3,4))-$F$23)))+$G$23</f>
        <v/>
      </c>
      <c r="P12" s="390" t="n">
        <v>0.114082736310155</v>
      </c>
      <c r="Q12" s="390">
        <f>P12-J12</f>
        <v/>
      </c>
    </row>
    <row r="13">
      <c r="F13" s="401" t="n"/>
      <c r="G13" s="401" t="n"/>
      <c r="H13" s="401" t="n"/>
      <c r="I13" s="401" t="n"/>
      <c r="J13" s="401" t="n"/>
      <c r="K13" s="401" t="n"/>
    </row>
    <row r="14" ht="16.5" customHeight="1" s="9">
      <c r="A14" s="177" t="inlineStr">
        <is>
          <t>■ D. ARB+CCB+DU 복합제 처방량  :    [ARB 처방량 (A) × ARB복합제비율 (B) x ARB+CCB+DU비율(C)]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</row>
    <row r="15" ht="16.5" customHeight="1" s="9">
      <c r="A15" s="208" t="inlineStr">
        <is>
          <t xml:space="preserve">  ▶ ARB+CCB+DU 복합제 처방량 </t>
        </is>
      </c>
      <c r="B15" s="402" t="n">
        <v>56045519.56</v>
      </c>
      <c r="C15" s="402" t="n">
        <v>76595800.34</v>
      </c>
      <c r="D15" s="402" t="n">
        <v>101744207.72</v>
      </c>
      <c r="E15" s="402" t="n">
        <v>120963330.6</v>
      </c>
      <c r="F15" s="402" t="n">
        <v>144761851.7</v>
      </c>
      <c r="G15" s="402" t="n">
        <v>163410810.1</v>
      </c>
      <c r="H15" s="402" t="n">
        <v>176596866.03</v>
      </c>
      <c r="I15" s="402" t="n">
        <v>188373205.85</v>
      </c>
      <c r="J15" s="175">
        <f>J6*J9*J12</f>
        <v/>
      </c>
      <c r="K15" s="175">
        <f>K6*K9*K12</f>
        <v/>
      </c>
      <c r="L15" s="175">
        <f>L6*L9*L12</f>
        <v/>
      </c>
      <c r="M15" s="175">
        <f>M6*M9*M12</f>
        <v/>
      </c>
      <c r="N15" s="175">
        <f>N6*N9*N12</f>
        <v/>
      </c>
      <c r="P15" s="398" t="n">
        <v>52859759.51</v>
      </c>
      <c r="Q15" s="390" t="n">
        <v>1.10811940843845</v>
      </c>
    </row>
    <row r="16" ht="16.5" customHeight="1" s="9">
      <c r="I16" s="239">
        <f>I15/H15-1</f>
        <v/>
      </c>
      <c r="J16" s="239">
        <f>J15/I15-1</f>
        <v/>
      </c>
      <c r="K16" s="239">
        <f>K15/J15-1</f>
        <v/>
      </c>
      <c r="L16" s="239">
        <f>L15/K15-1</f>
        <v/>
      </c>
      <c r="M16" s="239">
        <f>M15/L15-1</f>
        <v/>
      </c>
      <c r="N16" s="239">
        <f>N15/M15-1</f>
        <v/>
      </c>
    </row>
    <row r="17" ht="16.5" customHeight="1" s="9">
      <c r="A17" s="177" t="inlineStr">
        <is>
          <t>[참고] 전체 ARB 시장 중 ARB+CCB+DU 복합제 비율:    [ARB+CCB+DU 복합제 처방량 (D) ÷ ARB 처방량 (A)]</t>
        </is>
      </c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Q17" s="0" t="n"/>
    </row>
    <row r="18" ht="16.5" customHeight="1" s="9">
      <c r="A18" s="277" t="n"/>
      <c r="B18" s="403">
        <f>B15/B6</f>
        <v/>
      </c>
      <c r="C18" s="403">
        <f>C15/C6</f>
        <v/>
      </c>
      <c r="D18" s="403">
        <f>D15/D6</f>
        <v/>
      </c>
      <c r="E18" s="403">
        <f>E15/E6</f>
        <v/>
      </c>
      <c r="F18" s="403">
        <f>F15/F6</f>
        <v/>
      </c>
      <c r="G18" s="403">
        <f>G15/G6</f>
        <v/>
      </c>
      <c r="H18" s="403">
        <f>H15/H6</f>
        <v/>
      </c>
      <c r="I18" s="403">
        <f>I15/I6</f>
        <v/>
      </c>
      <c r="J18" s="403">
        <f>J15/J6</f>
        <v/>
      </c>
      <c r="K18" s="403">
        <f>K15/K6</f>
        <v/>
      </c>
      <c r="L18" s="403">
        <f>L15/L6</f>
        <v/>
      </c>
      <c r="M18" s="403">
        <f>M15/M6</f>
        <v/>
      </c>
      <c r="N18" s="403">
        <f>N15/N6</f>
        <v/>
      </c>
      <c r="P18" s="398" t="n">
        <v>320409135</v>
      </c>
      <c r="Q18" s="390" t="n">
        <v>1.028</v>
      </c>
    </row>
    <row r="19" ht="16.5" customHeight="1" s="9">
      <c r="A19" s="47" t="n"/>
      <c r="B19" s="386" t="n"/>
      <c r="C19" s="386" t="n"/>
      <c r="D19" s="386" t="n"/>
      <c r="E19" s="386" t="n"/>
      <c r="F19" s="386" t="n"/>
      <c r="G19" s="386" t="n"/>
      <c r="H19" s="386" t="n"/>
      <c r="I19" s="386" t="n"/>
      <c r="J19" s="386" t="n"/>
      <c r="K19" s="386" t="n"/>
      <c r="L19" s="386" t="n"/>
      <c r="M19" s="386" t="n"/>
      <c r="N19" s="386" t="n"/>
      <c r="P19" s="398" t="n"/>
      <c r="Q19" s="390" t="n"/>
    </row>
    <row r="20" ht="16.5" customHeight="1" s="9">
      <c r="A20" s="229" t="n"/>
      <c r="B20" s="229" t="inlineStr">
        <is>
          <t>★ 주요 파라미터 (분석 구간: 2018~2025년 실측 기준)</t>
        </is>
      </c>
    </row>
    <row r="21" ht="16.5" customHeight="1" s="9">
      <c r="B21" s="339" t="inlineStr">
        <is>
          <t>구분</t>
        </is>
      </c>
      <c r="C21" s="339" t="inlineStr">
        <is>
          <t>유형</t>
        </is>
      </c>
      <c r="D21" s="339" t="inlineStr">
        <is>
          <t>floor / L</t>
        </is>
      </c>
      <c r="E21" s="339" t="inlineStr">
        <is>
          <t>k</t>
        </is>
      </c>
      <c r="F21" s="339" t="inlineStr">
        <is>
          <t>x0</t>
        </is>
      </c>
      <c r="G21" s="339" t="inlineStr">
        <is>
          <t>anchor</t>
        </is>
      </c>
      <c r="H21" s="339" t="inlineStr">
        <is>
          <t>설명 및 비고</t>
        </is>
      </c>
    </row>
    <row r="22" ht="16.5" customHeight="1" s="9">
      <c r="B22" s="231" t="inlineStr">
        <is>
          <t xml:space="preserve">   ARB 복합제 비율</t>
        </is>
      </c>
      <c r="C22" s="231" t="inlineStr">
        <is>
          <t>하한형</t>
        </is>
      </c>
      <c r="D22" s="404" t="n">
        <v>0.5935</v>
      </c>
      <c r="E22" s="405" t="n">
        <v>-0.2979</v>
      </c>
      <c r="F22" s="406" t="n">
        <v>2006.4</v>
      </c>
      <c r="G22" s="407" t="n">
        <v>6.999999999999999e-05</v>
      </c>
      <c r="H22" s="231" t="inlineStr">
        <is>
          <t>2018-2025 실측치에 하한 있는 S자 곡선(로지스틱)을 맞춰 산출, 자동 산출값 그대로 사용(고정값). ※ floor 조정 시 anchor 재검토 필요</t>
        </is>
      </c>
    </row>
    <row r="23" ht="16.5" customHeight="1" s="9">
      <c r="B23" s="231" t="inlineStr">
        <is>
          <t xml:space="preserve">   ARB+CCB+DU 복합제 비율</t>
        </is>
      </c>
      <c r="C23" s="231" t="inlineStr">
        <is>
          <t>상한형</t>
        </is>
      </c>
      <c r="D23" s="404" t="n">
        <v>0.115</v>
      </c>
      <c r="E23" s="405" t="n">
        <v>0.489</v>
      </c>
      <c r="F23" s="406" t="n">
        <v>2018.8</v>
      </c>
      <c r="G23" s="407" t="n">
        <v>0.0024035</v>
      </c>
      <c r="H23" s="231" t="inlineStr">
        <is>
          <t>2018-2025 실측치에 상한 있는 S자 곡선(로지스틱)을 맞춰 산출, anchor는 FY26 1분기 실측(11.41%)에 맞춰 수동 재보정(고정값). ※ L 조정 시 anchor 재검토 필요</t>
        </is>
      </c>
    </row>
    <row r="24" ht="16.5" customHeight="1" s="9"/>
    <row r="25">
      <c r="A25" s="229" t="n"/>
      <c r="B25" s="229" t="inlineStr">
        <is>
          <t>★ 추정 산출 흐름 (① curve_fit 모수 추정 → ② S-curve 곡선식 적용 → ③ anchor 보정)</t>
        </is>
      </c>
    </row>
    <row r="26">
      <c r="B26" s="339" t="inlineStr">
        <is>
          <t>단계</t>
        </is>
      </c>
      <c r="C26" s="339" t="inlineStr">
        <is>
          <t>연산 과정</t>
        </is>
      </c>
      <c r="D26" s="384" t="n"/>
      <c r="E26" s="339" t="inlineStr">
        <is>
          <t>개념 및 설명</t>
        </is>
      </c>
    </row>
    <row r="27">
      <c r="B27" s="231" t="inlineStr">
        <is>
          <t>S1. 모수 추정 (curve_fit)</t>
        </is>
      </c>
      <c r="C27" s="408" t="inlineStr">
        <is>
          <t>floor(또는 L), k, x0 동시 추정 (비선형 최소자승)</t>
        </is>
      </c>
      <c r="D27" s="384" t="n"/>
      <c r="E27" s="231" t="inlineStr">
        <is>
          <t>실측 데이터에 가장 잘 맞는 곡선의 하한(또는 상한)·기울기·중심연도를 컴퓨터가 한 번에 자동 산출</t>
        </is>
      </c>
    </row>
    <row r="28">
      <c r="B28" s="231" t="inlineStr">
        <is>
          <t>S2. 곡선식 적용 (상한형)</t>
        </is>
      </c>
      <c r="C28" s="408" t="inlineStr">
        <is>
          <t>p(t) = L ÷ (1+EXP(−k×(t−x0)))</t>
        </is>
      </c>
      <c r="D28" s="384" t="n"/>
      <c r="E28" s="231" t="inlineStr">
        <is>
          <t>t(연도)가 커질수록 상한(L)에 아래에서 위로 수렴</t>
        </is>
      </c>
    </row>
    <row r="29">
      <c r="B29" s="231" t="inlineStr">
        <is>
          <t>S2. 곡선식 적용 (하한형)</t>
        </is>
      </c>
      <c r="C29" s="408" t="inlineStr">
        <is>
          <t>p(t) = floor + (1−floor)÷(1+EXP(−k×(t−x0)))</t>
        </is>
      </c>
      <c r="D29" s="384" t="n"/>
      <c r="E29" s="231" t="inlineStr">
        <is>
          <t>t(연도)가 커질수록 하한(floor)에 위에서 아래로 수렴</t>
        </is>
      </c>
    </row>
    <row r="30">
      <c r="B30" s="231" t="inlineStr">
        <is>
          <t>S3. anchor 보정</t>
        </is>
      </c>
      <c r="C30" s="408" t="inlineStr">
        <is>
          <t>최종 p(t) = ②값 + anchor</t>
        </is>
      </c>
      <c r="D30" s="384" t="n"/>
      <c r="E30" s="231" t="inlineStr">
        <is>
          <t>②에서 산출한 곡선값을 최신 실측 시점에 정확히 맞도록 미세 보정</t>
        </is>
      </c>
    </row>
    <row r="31">
      <c r="A31" s="235" t="n"/>
      <c r="B31" s="235" t="inlineStr">
        <is>
          <t xml:space="preserve">   [예시] FY2026 ARB+CCB+DU 비율(상한형): 0.115÷(1+EXP(−0.489×(2026−2018.8)))+0.00240 = 11.41%  |  FY2026 ARB 복합제 비율(하한형): 0.5935+(1−0.5935)÷(1+EXP(−(−0.2979)×(2026−2006.4)))+0.00007 = 59.48%</t>
        </is>
      </c>
    </row>
    <row r="32">
      <c r="A32" s="235" t="n"/>
    </row>
    <row r="33" ht="16.5" customHeight="1" s="9">
      <c r="A33" s="51" t="inlineStr">
        <is>
          <t xml:space="preserve">※ 출처 : UBIST(2018~2025), BI 자체 추정 </t>
        </is>
      </c>
    </row>
    <row r="34" ht="16.5" customHeight="1" s="9">
      <c r="A34" s="52" t="inlineStr">
        <is>
          <t>※ 범례</t>
        </is>
      </c>
      <c r="L34" s="409" t="n"/>
    </row>
    <row r="35" ht="16.5" customHeight="1" s="9">
      <c r="A35" s="53" t="inlineStr">
        <is>
          <t>· 외부 입력 데이터: 청색(Blue) 표기</t>
        </is>
      </c>
      <c r="B35" s="410" t="n"/>
      <c r="H35" s="0" t="n"/>
    </row>
    <row r="36" ht="16.5" customHeight="1" s="9">
      <c r="A36" s="53" t="inlineStr">
        <is>
          <t>· 예측 변수(또는 예측치): 녹색(Green) 표기</t>
        </is>
      </c>
      <c r="B36" s="410" t="n"/>
    </row>
    <row r="37" ht="16.5" customHeight="1" s="9">
      <c r="A37" s="53" t="inlineStr">
        <is>
          <t>· 최종 산출 결과: 황색(Yellow) 음영 행</t>
        </is>
      </c>
      <c r="B37" s="410" t="n"/>
    </row>
    <row r="38">
      <c r="B38" s="410" t="n"/>
    </row>
    <row r="39">
      <c r="B39" s="410" t="n"/>
    </row>
    <row r="40">
      <c r="B40" s="410" t="n"/>
    </row>
    <row r="41">
      <c r="B41" s="410" t="n"/>
    </row>
    <row r="42">
      <c r="B42" s="410" t="n"/>
    </row>
    <row r="43">
      <c r="B43" s="410" t="n"/>
    </row>
    <row r="44">
      <c r="B44" s="410" t="n"/>
    </row>
    <row r="45">
      <c r="B45" s="410" t="n"/>
    </row>
  </sheetData>
  <mergeCells count="6">
    <mergeCell ref="C29:D29"/>
    <mergeCell ref="C30:D30"/>
    <mergeCell ref="C27:D27"/>
    <mergeCell ref="C28:D28"/>
    <mergeCell ref="C26:D2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H76"/>
  <sheetViews>
    <sheetView showGridLines="0" tabSelected="0" zoomScaleNormal="100" workbookViewId="0">
      <pane xSplit="1" ySplit="4" topLeftCell="B31" activePane="bottomRight" state="frozen"/>
      <selection pane="bottomRight" activeCell="B34" sqref="B34"/>
      <selection pane="bottomLeft" activeCell="A5" sqref="A5"/>
      <selection pane="topRight" activeCell="C1" sqref="C1"/>
    </sheetView>
  </sheetViews>
  <sheetFormatPr baseColWidth="8" defaultColWidth="8.5" defaultRowHeight="16.5"/>
  <cols>
    <col width="30.75" customWidth="1" style="9" min="1" max="1"/>
    <col width="19.75" customWidth="1" style="9" min="2" max="2"/>
    <col width="12.75" customWidth="1" style="9" min="3" max="7"/>
    <col width="19.5" customWidth="1" style="9" min="8" max="8"/>
    <col width="12.75" customWidth="1" style="9" min="9" max="14"/>
    <col width="11.75" customWidth="1" style="9" min="16" max="16"/>
    <col width="9.5" customWidth="1" style="9" min="17" max="17"/>
  </cols>
  <sheetData>
    <row r="1" ht="20.25" customHeight="1" s="9">
      <c r="A1" s="338" t="inlineStr">
        <is>
          <t>SVK HCT 처방량 산출 : UBIST 데이터 기반 추정</t>
        </is>
      </c>
    </row>
    <row r="2" ht="6" customHeight="1" s="9">
      <c r="A2" s="61" t="inlineStr">
        <is>
          <t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248" t="inlineStr">
        <is>
          <t>■ A. ARB+CCB+DU복합제 처방량      [근거_ARB+CCB+DU복합제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249" t="n"/>
    </row>
    <row r="6" ht="16.5" customHeight="1" s="9">
      <c r="A6" s="250" t="inlineStr">
        <is>
          <t xml:space="preserve">  ARB+CCB+DU복합제 처방량 (시장)</t>
        </is>
      </c>
      <c r="B6" s="172">
        <f>'근거_ARB+CCB+DU복합제처방량'!B15</f>
        <v/>
      </c>
      <c r="C6" s="172">
        <f>'근거_ARB+CCB+DU복합제처방량'!C15</f>
        <v/>
      </c>
      <c r="D6" s="172">
        <f>'근거_ARB+CCB+DU복합제처방량'!D15</f>
        <v/>
      </c>
      <c r="E6" s="172">
        <f>'근거_ARB+CCB+DU복합제처방량'!E15</f>
        <v/>
      </c>
      <c r="F6" s="172">
        <f>'근거_ARB+CCB+DU복합제처방량'!F15</f>
        <v/>
      </c>
      <c r="G6" s="172">
        <f>'근거_ARB+CCB+DU복합제처방량'!G15</f>
        <v/>
      </c>
      <c r="H6" s="172">
        <f>'근거_ARB+CCB+DU복합제처방량'!H15</f>
        <v/>
      </c>
      <c r="I6" s="172">
        <f>'근거_ARB+CCB+DU복합제처방량'!I15</f>
        <v/>
      </c>
      <c r="J6" s="172">
        <f>'근거_ARB+CCB+DU복합제처방량'!J15</f>
        <v/>
      </c>
      <c r="K6" s="172">
        <f>'근거_ARB+CCB+DU복합제처방량'!K15</f>
        <v/>
      </c>
      <c r="L6" s="172">
        <f>'근거_ARB+CCB+DU복합제처방량'!L15</f>
        <v/>
      </c>
      <c r="M6" s="172">
        <f>'근거_ARB+CCB+DU복합제처방량'!M15</f>
        <v/>
      </c>
      <c r="N6" s="251">
        <f>'근거_ARB+CCB+DU복합제처방량'!N15</f>
        <v/>
      </c>
    </row>
    <row r="8" ht="16.5" customHeight="1" s="9">
      <c r="A8" s="248" t="inlineStr">
        <is>
          <t>■ B. ARB+CCB+DU복합제 HP:GP 비율  :                    [2018~25 : UBIST 실측 |  2026~30 : FY2024Q3(peak) 이후 분기 기반 로지스틱 회귀, 하한 고정(22.0%)]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249" t="n"/>
    </row>
    <row r="9" ht="16.5" customHeight="1" s="9">
      <c r="A9" s="255" t="inlineStr">
        <is>
          <t xml:space="preserve">  HP비율</t>
        </is>
      </c>
      <c r="B9" s="411" t="n">
        <v>0.350336330970754</v>
      </c>
      <c r="C9" s="411" t="n">
        <v>0.306557670469796</v>
      </c>
      <c r="D9" s="411" t="n">
        <v>0.256954875524191</v>
      </c>
      <c r="E9" s="411" t="n">
        <v>0.245059921159281</v>
      </c>
      <c r="F9" s="411" t="n">
        <v>0.235452903370122</v>
      </c>
      <c r="G9" s="411" t="n">
        <v>0.246099969979893</v>
      </c>
      <c r="H9" s="411" t="n">
        <v>0.247431402619439</v>
      </c>
      <c r="I9" s="411" t="n">
        <v>0.2359709892361</v>
      </c>
      <c r="J9" s="412">
        <f>AVERAGE(B66:E66)</f>
        <v/>
      </c>
      <c r="K9" s="412">
        <f>AVERAGE(F66:I66)</f>
        <v/>
      </c>
      <c r="L9" s="412">
        <f>AVERAGE(J66:M66)</f>
        <v/>
      </c>
      <c r="M9" s="412">
        <f>AVERAGE(N66:Q66)</f>
        <v/>
      </c>
      <c r="N9" s="413">
        <f>AVERAGE(R66:U66)</f>
        <v/>
      </c>
      <c r="P9" s="390" t="n">
        <v>0.229325772995746</v>
      </c>
      <c r="Q9" s="390">
        <f>P9-J9</f>
        <v/>
      </c>
    </row>
    <row r="10" ht="16.5" customHeight="1" s="9">
      <c r="A10" s="258" t="inlineStr">
        <is>
          <t xml:space="preserve">  GP비율</t>
        </is>
      </c>
      <c r="B10" s="399" t="n">
        <v>0.649663669029246</v>
      </c>
      <c r="C10" s="399" t="n">
        <v>0.693442329530204</v>
      </c>
      <c r="D10" s="399" t="n">
        <v>0.7430451244758089</v>
      </c>
      <c r="E10" s="399" t="n">
        <v>0.754940078840719</v>
      </c>
      <c r="F10" s="399" t="n">
        <v>0.764547096629878</v>
      </c>
      <c r="G10" s="399" t="n">
        <v>0.753900030020107</v>
      </c>
      <c r="H10" s="399" t="n">
        <v>0.752568597380561</v>
      </c>
      <c r="I10" s="399" t="n">
        <v>0.7640290107639</v>
      </c>
      <c r="J10" s="414">
        <f>1-J9</f>
        <v/>
      </c>
      <c r="K10" s="414">
        <f>1-K9</f>
        <v/>
      </c>
      <c r="L10" s="414">
        <f>1-L9</f>
        <v/>
      </c>
      <c r="M10" s="414">
        <f>1-M9</f>
        <v/>
      </c>
      <c r="N10" s="415">
        <f>1-N9</f>
        <v/>
      </c>
      <c r="P10" s="390" t="n">
        <v>0.770674227004254</v>
      </c>
      <c r="Q10" s="390">
        <f>P10-J10</f>
        <v/>
      </c>
    </row>
    <row r="11" ht="16.5" customHeight="1" s="9">
      <c r="A11" s="252" t="inlineStr">
        <is>
          <t>HP성장률</t>
        </is>
      </c>
      <c r="B11" s="411" t="n"/>
      <c r="C11" s="416">
        <f>(C$6*C9)/(B$6*B9)-1</f>
        <v/>
      </c>
      <c r="D11" s="416">
        <f>(D$6*D9)/(C$6*C9)-1</f>
        <v/>
      </c>
      <c r="E11" s="416">
        <f>(E$6*E9)/(D$6*D9)-1</f>
        <v/>
      </c>
      <c r="F11" s="416">
        <f>(F$6*F9)/(E$6*E9)-1</f>
        <v/>
      </c>
      <c r="G11" s="416">
        <f>(G$6*G9)/(F$6*F9)-1</f>
        <v/>
      </c>
      <c r="H11" s="416">
        <f>(H$6*H9)/(G$6*G9)-1</f>
        <v/>
      </c>
      <c r="I11" s="416">
        <f>(I$6*I9)/(H$6*H9)-1</f>
        <v/>
      </c>
      <c r="J11" s="416">
        <f>(J$6*J9)/(I$6*I9)-1</f>
        <v/>
      </c>
      <c r="K11" s="416">
        <f>(K$6*K9)/(J$6*J9)-1</f>
        <v/>
      </c>
      <c r="L11" s="416">
        <f>(L$6*L9)/(K$6*K9)-1</f>
        <v/>
      </c>
      <c r="M11" s="416">
        <f>(M$6*M9)/(L$6*L9)-1</f>
        <v/>
      </c>
      <c r="N11" s="416">
        <f>(N$6*N9)/(M$6*M9)-1</f>
        <v/>
      </c>
      <c r="P11" s="390" t="n"/>
      <c r="Q11" s="390" t="n"/>
    </row>
    <row r="12" ht="16.5" customHeight="1" s="9">
      <c r="A12" s="252" t="inlineStr">
        <is>
          <t>GP성장률</t>
        </is>
      </c>
      <c r="B12" s="411" t="n"/>
      <c r="C12" s="416">
        <f>(C$6*C10)/(B$6*B10)-1</f>
        <v/>
      </c>
      <c r="D12" s="416">
        <f>(D$6*D10)/(C$6*C10)-1</f>
        <v/>
      </c>
      <c r="E12" s="416">
        <f>(E$6*E10)/(D$6*D10)-1</f>
        <v/>
      </c>
      <c r="F12" s="416">
        <f>(F$6*F10)/(E$6*E10)-1</f>
        <v/>
      </c>
      <c r="G12" s="416">
        <f>(G$6*G10)/(F$6*F10)-1</f>
        <v/>
      </c>
      <c r="H12" s="416">
        <f>(H$6*H10)/(G$6*G10)-1</f>
        <v/>
      </c>
      <c r="I12" s="416">
        <f>(I$6*I10)/(H$6*H10)-1</f>
        <v/>
      </c>
      <c r="J12" s="416">
        <f>(J$6*J10)/(I$6*I10)-1</f>
        <v/>
      </c>
      <c r="K12" s="416">
        <f>(K$6*K10)/(J$6*J10)-1</f>
        <v/>
      </c>
      <c r="L12" s="416">
        <f>(L$6*L10)/(K$6*K10)-1</f>
        <v/>
      </c>
      <c r="M12" s="416">
        <f>(M$6*M10)/(L$6*L10)-1</f>
        <v/>
      </c>
      <c r="N12" s="416">
        <f>(N$6*N10)/(M$6*M10)-1</f>
        <v/>
      </c>
      <c r="P12" s="390" t="n"/>
      <c r="Q12" s="390" t="n"/>
    </row>
    <row r="13" ht="16.5" customHeight="1" s="9">
      <c r="P13" s="390" t="n"/>
      <c r="Q13" s="390" t="n"/>
    </row>
    <row r="14" ht="16.5" customHeight="1" s="9">
      <c r="A14" s="248" t="inlineStr">
        <is>
          <t>■ C. HP내 SVK HCT MS  :                     [2018~25 : UBIST 실측 | 2026~30 : Olmesartan 비율=하한고정(로지스틱, 하한 47.0%), Original 비율=분기실측 기반 FY2020Q1~ 자동확장 직접선형회귀]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249" t="n"/>
      <c r="P14" s="390" t="n"/>
      <c r="Q14" s="390" t="n"/>
    </row>
    <row r="15" ht="16.5" customHeight="1" s="9">
      <c r="A15" s="255" t="inlineStr">
        <is>
          <t xml:space="preserve">  Olmesartan MS</t>
        </is>
      </c>
      <c r="B15" s="411" t="n">
        <v>0.88632324895485</v>
      </c>
      <c r="C15" s="411" t="n">
        <v>0.790443315525205</v>
      </c>
      <c r="D15" s="411" t="n">
        <v>0.697583535500402</v>
      </c>
      <c r="E15" s="411" t="n">
        <v>0.667412595538492</v>
      </c>
      <c r="F15" s="411" t="n">
        <v>0.6358245114690551</v>
      </c>
      <c r="G15" s="411" t="n">
        <v>0.556859846181903</v>
      </c>
      <c r="H15" s="411" t="n">
        <v>0.518509224271903</v>
      </c>
      <c r="I15" s="411" t="n">
        <v>0.500997063556048</v>
      </c>
      <c r="J15" s="412">
        <f>AVERAGE(B67:E67)</f>
        <v/>
      </c>
      <c r="K15" s="412">
        <f>AVERAGE(F67:I67)</f>
        <v/>
      </c>
      <c r="L15" s="412">
        <f>AVERAGE(J67:M67)</f>
        <v/>
      </c>
      <c r="M15" s="412">
        <f>AVERAGE(N67:Q67)</f>
        <v/>
      </c>
      <c r="N15" s="413">
        <f>AVERAGE(R67:U67)</f>
        <v/>
      </c>
      <c r="P15" s="390" t="n">
        <v>0.478402186710604</v>
      </c>
      <c r="Q15" s="390">
        <f>P15-J15</f>
        <v/>
      </c>
    </row>
    <row r="16" ht="16.5" customHeight="1" s="9">
      <c r="A16" s="255" t="inlineStr">
        <is>
          <t xml:space="preserve">  Original 비율</t>
        </is>
      </c>
      <c r="B16" s="411" t="n">
        <v>1</v>
      </c>
      <c r="C16" s="411" t="n">
        <v>0.996513626927894</v>
      </c>
      <c r="D16" s="411" t="n">
        <v>0.989698787506203</v>
      </c>
      <c r="E16" s="411" t="n">
        <v>0.979437352952315</v>
      </c>
      <c r="F16" s="411" t="n">
        <v>0.9748144556763541</v>
      </c>
      <c r="G16" s="411" t="n">
        <v>0.96902683029992</v>
      </c>
      <c r="H16" s="411" t="n">
        <v>0.958570658717396</v>
      </c>
      <c r="I16" s="411" t="n">
        <v>0.952689415962103</v>
      </c>
      <c r="J16" s="412">
        <f>AVERAGE(B68:E68)</f>
        <v/>
      </c>
      <c r="K16" s="412">
        <f>AVERAGE(F68:I68)</f>
        <v/>
      </c>
      <c r="L16" s="412">
        <f>AVERAGE(J68:M68)</f>
        <v/>
      </c>
      <c r="M16" s="412">
        <f>AVERAGE(N68:Q68)</f>
        <v/>
      </c>
      <c r="N16" s="413">
        <f>AVERAGE(R68:U68)</f>
        <v/>
      </c>
      <c r="P16" s="390" t="n">
        <v>0.935887948273181</v>
      </c>
      <c r="Q16" s="390">
        <f>P16-J16</f>
        <v/>
      </c>
    </row>
    <row r="17" ht="16.5" customHeight="1" s="9">
      <c r="A17" s="258" t="inlineStr">
        <is>
          <t xml:space="preserve">  HP내 SVK HCT MS</t>
        </is>
      </c>
      <c r="B17" s="399">
        <f>B15*B16</f>
        <v/>
      </c>
      <c r="C17" s="399">
        <f>C15*C16</f>
        <v/>
      </c>
      <c r="D17" s="399">
        <f>D15*D16</f>
        <v/>
      </c>
      <c r="E17" s="399">
        <f>E15*E16</f>
        <v/>
      </c>
      <c r="F17" s="399">
        <f>F15*F16</f>
        <v/>
      </c>
      <c r="G17" s="399">
        <f>G15*G16</f>
        <v/>
      </c>
      <c r="H17" s="399">
        <f>H15*H16</f>
        <v/>
      </c>
      <c r="I17" s="399">
        <f>I15*I16</f>
        <v/>
      </c>
      <c r="J17" s="414">
        <f>J15*J16</f>
        <v/>
      </c>
      <c r="K17" s="414">
        <f>K15*K16</f>
        <v/>
      </c>
      <c r="L17" s="414">
        <f>L15*L16</f>
        <v/>
      </c>
      <c r="M17" s="414">
        <f>M15*M16</f>
        <v/>
      </c>
      <c r="N17" s="415">
        <f>N15*N16</f>
        <v/>
      </c>
      <c r="P17" s="390">
        <f>P15*P16</f>
        <v/>
      </c>
      <c r="Q17" s="390">
        <f>P17-J17</f>
        <v/>
      </c>
    </row>
    <row r="18" ht="16.5" customHeight="1" s="9">
      <c r="P18" s="390" t="n"/>
      <c r="Q18" s="390" t="n"/>
    </row>
    <row r="19" ht="16.5" customHeight="1" s="9">
      <c r="A19" s="248" t="inlineStr">
        <is>
          <t>■ D. GP내 SVK HCT MS  :                     [2018~25 : UBIST 실측 | 2026~30 : Olmesartan=분기실측 기반 floor고정(37.9%, 판단치) 로지스틱회귀(자동연동), Original=분기실측 기반 FY2019Q1~ 자동확장 로짓 변환 회귀]</t>
        </is>
      </c>
      <c r="B19" s="178" t="n"/>
      <c r="C19" s="178" t="n"/>
      <c r="D19" s="178" t="n"/>
      <c r="E19" s="178" t="n"/>
      <c r="F19" s="178" t="n"/>
      <c r="G19" s="178" t="n"/>
      <c r="H19" s="178" t="n"/>
      <c r="I19" s="178" t="n"/>
      <c r="J19" s="178" t="n"/>
      <c r="K19" s="178" t="n"/>
      <c r="L19" s="178" t="n"/>
      <c r="M19" s="178" t="n"/>
      <c r="N19" s="249" t="n"/>
      <c r="P19" s="390" t="n"/>
      <c r="Q19" s="390" t="n"/>
    </row>
    <row r="20" ht="16.5" customHeight="1" s="9">
      <c r="A20" s="255" t="inlineStr">
        <is>
          <t xml:space="preserve">  Olmesartan MS</t>
        </is>
      </c>
      <c r="B20" s="411" t="n">
        <v>0.576093071908955</v>
      </c>
      <c r="C20" s="411" t="n">
        <v>0.500896936761708</v>
      </c>
      <c r="D20" s="411" t="n">
        <v>0.452808931081053</v>
      </c>
      <c r="E20" s="411" t="n">
        <v>0.463220648597702</v>
      </c>
      <c r="F20" s="411" t="n">
        <v>0.449018195558326</v>
      </c>
      <c r="G20" s="411" t="n">
        <v>0.445595402153679</v>
      </c>
      <c r="H20" s="411" t="n">
        <v>0.457251590723627</v>
      </c>
      <c r="I20" s="411" t="n">
        <v>0.446997157627387</v>
      </c>
      <c r="J20" s="412">
        <f>AVERAGE(B69:E69)</f>
        <v/>
      </c>
      <c r="K20" s="412">
        <f>AVERAGE(F69:I69)</f>
        <v/>
      </c>
      <c r="L20" s="412">
        <f>AVERAGE(J69:M69)</f>
        <v/>
      </c>
      <c r="M20" s="412">
        <f>AVERAGE(N69:Q69)</f>
        <v/>
      </c>
      <c r="N20" s="413">
        <f>AVERAGE(R69:U69)</f>
        <v/>
      </c>
      <c r="P20" s="390" t="n">
        <v>0.41337603009705</v>
      </c>
      <c r="Q20" s="390" t="n"/>
    </row>
    <row r="21" ht="16.5" customHeight="1" s="9">
      <c r="A21" s="255" t="inlineStr">
        <is>
          <t xml:space="preserve">  Original 비율</t>
        </is>
      </c>
      <c r="B21" s="411" t="n">
        <v>0.999759434291781</v>
      </c>
      <c r="C21" s="411" t="n">
        <v>0.861513692880966</v>
      </c>
      <c r="D21" s="411" t="n">
        <v>0.742995268909848</v>
      </c>
      <c r="E21" s="411" t="n">
        <v>0.681502205477633</v>
      </c>
      <c r="F21" s="411" t="n">
        <v>0.634281341729946</v>
      </c>
      <c r="G21" s="411" t="n">
        <v>0.598684050102536</v>
      </c>
      <c r="H21" s="411" t="n">
        <v>0.561353707283729</v>
      </c>
      <c r="I21" s="411" t="n">
        <v>0.523269421545586</v>
      </c>
      <c r="J21" s="412">
        <f>AVERAGE(B70:E70)</f>
        <v/>
      </c>
      <c r="K21" s="412">
        <f>AVERAGE(F70:I70)</f>
        <v/>
      </c>
      <c r="L21" s="412">
        <f>AVERAGE(J70:M70)</f>
        <v/>
      </c>
      <c r="M21" s="412">
        <f>AVERAGE(N70:Q70)</f>
        <v/>
      </c>
      <c r="N21" s="413">
        <f>AVERAGE(R70:U70)</f>
        <v/>
      </c>
      <c r="P21" s="390" t="n">
        <v>0.496517580158298</v>
      </c>
      <c r="Q21" s="390" t="n"/>
    </row>
    <row r="22" ht="16.5" customHeight="1" s="9">
      <c r="A22" s="258" t="inlineStr">
        <is>
          <t xml:space="preserve">  GP내 SVK HCT MS</t>
        </is>
      </c>
      <c r="B22" s="399">
        <f>B20*B21</f>
        <v/>
      </c>
      <c r="C22" s="399">
        <f>C20*C21</f>
        <v/>
      </c>
      <c r="D22" s="399">
        <f>D20*D21</f>
        <v/>
      </c>
      <c r="E22" s="399">
        <f>E20*E21</f>
        <v/>
      </c>
      <c r="F22" s="399">
        <f>F20*F21</f>
        <v/>
      </c>
      <c r="G22" s="399">
        <f>G20*G21</f>
        <v/>
      </c>
      <c r="H22" s="399">
        <f>H20*H21</f>
        <v/>
      </c>
      <c r="I22" s="399">
        <f>I20*I21</f>
        <v/>
      </c>
      <c r="J22" s="414">
        <f>J20*J21</f>
        <v/>
      </c>
      <c r="K22" s="414">
        <f>K20*K21</f>
        <v/>
      </c>
      <c r="L22" s="414">
        <f>L20*L21</f>
        <v/>
      </c>
      <c r="M22" s="414">
        <f>M20*M21</f>
        <v/>
      </c>
      <c r="N22" s="415">
        <f>N20*N21</f>
        <v/>
      </c>
      <c r="P22" s="390" t="n">
        <v>0.205248466159231</v>
      </c>
      <c r="Q22" s="390">
        <f>P22-J22</f>
        <v/>
      </c>
    </row>
    <row r="23" ht="16.5" customHeight="1" s="9">
      <c r="A23" s="78" t="n"/>
      <c r="B23" s="411" t="n"/>
      <c r="C23" s="411" t="n"/>
      <c r="D23" s="411" t="n"/>
      <c r="E23" s="411" t="n"/>
      <c r="F23" s="411" t="n"/>
      <c r="G23" s="411" t="n"/>
      <c r="H23" s="411" t="n"/>
      <c r="I23" s="411" t="n"/>
      <c r="J23" s="417" t="n"/>
      <c r="K23" s="417" t="n"/>
      <c r="L23" s="417" t="n"/>
      <c r="M23" s="417" t="n"/>
      <c r="N23" s="417" t="n"/>
      <c r="P23" s="390" t="n"/>
      <c r="Q23" s="390" t="n"/>
    </row>
    <row r="24" ht="16.5" customHeight="1" s="9">
      <c r="A24" s="252" t="inlineStr">
        <is>
          <t>(전체 시장 내) Olmesartan MS</t>
        </is>
      </c>
      <c r="B24" s="416">
        <f>((B$6*B$9*B15)+(B$6*B$10*B20))/B$6</f>
        <v/>
      </c>
      <c r="C24" s="416">
        <f>((C$6*C$9*C15)+(C$6*C$10*C20))/C$6</f>
        <v/>
      </c>
      <c r="D24" s="416">
        <f>((D$6*D$9*D15)+(D$6*D$10*D20))/D$6</f>
        <v/>
      </c>
      <c r="E24" s="416">
        <f>((E$6*E$9*E15)+(E$6*E$10*E20))/E$6</f>
        <v/>
      </c>
      <c r="F24" s="416">
        <f>((F$6*F$9*F15)+(F$6*F$10*F20))/F$6</f>
        <v/>
      </c>
      <c r="G24" s="416">
        <f>((G$6*G$9*G15)+(G$6*G$10*G20))/G$6</f>
        <v/>
      </c>
      <c r="H24" s="416">
        <f>((H$6*H$9*H15)+(H$6*H$10*H20))/H$6</f>
        <v/>
      </c>
      <c r="I24" s="416">
        <f>((I$6*I$9*I15)+(I$6*I$10*I20))/I$6</f>
        <v/>
      </c>
      <c r="J24" s="416">
        <f>((J$6*J$9*J15)+(J$6*J$10*J20))/J$6</f>
        <v/>
      </c>
      <c r="K24" s="416">
        <f>((K$6*K$9*K15)+(K$6*K$10*K20))/K$6</f>
        <v/>
      </c>
      <c r="L24" s="416">
        <f>((L$6*L$9*L15)+(L$6*L$10*L20))/L$6</f>
        <v/>
      </c>
      <c r="M24" s="416">
        <f>((M$6*M$9*M15)+(M$6*M$10*M20))/M$6</f>
        <v/>
      </c>
      <c r="N24" s="416">
        <f>((N$6*N$9*N15)+(N$6*N$10*N20))/N$6</f>
        <v/>
      </c>
      <c r="P24" s="390" t="n"/>
      <c r="Q24" s="390" t="n"/>
    </row>
    <row r="25" ht="16.5" customHeight="1" s="9">
      <c r="A25" s="252" t="inlineStr">
        <is>
          <t>(전체 시장 내) Olmesartan 中 Original MS</t>
        </is>
      </c>
      <c r="B25" s="416">
        <f>((B$6*B$9*B15*B16)+(B$6*B$10*B20*B21))/((B$6*B$9*B15)+(B$6*B$10*B20))</f>
        <v/>
      </c>
      <c r="C25" s="416">
        <f>((C$6*C$9*C15*C16)+(C$6*C$10*C20*C21))/((C$6*C$9*C15)+(C$6*C$10*C20))</f>
        <v/>
      </c>
      <c r="D25" s="416">
        <f>((D$6*D$9*D15*D16)+(D$6*D$10*D20*D21))/((D$6*D$9*D15)+(D$6*D$10*D20))</f>
        <v/>
      </c>
      <c r="E25" s="416">
        <f>((E$6*E$9*E15*E16)+(E$6*E$10*E20*E21))/((E$6*E$9*E15)+(E$6*E$10*E20))</f>
        <v/>
      </c>
      <c r="F25" s="416">
        <f>((F$6*F$9*F15*F16)+(F$6*F$10*F20*F21))/((F$6*F$9*F15)+(F$6*F$10*F20))</f>
        <v/>
      </c>
      <c r="G25" s="416">
        <f>((G$6*G$9*G15*G16)+(G$6*G$10*G20*G21))/((G$6*G$9*G15)+(G$6*G$10*G20))</f>
        <v/>
      </c>
      <c r="H25" s="416">
        <f>((H$6*H$9*H15*H16)+(H$6*H$10*H20*H21))/((H$6*H$9*H15)+(H$6*H$10*H20))</f>
        <v/>
      </c>
      <c r="I25" s="416">
        <f>((I$6*I$9*I15*I16)+(I$6*I$10*I20*I21))/((I$6*I$9*I15)+(I$6*I$10*I20))</f>
        <v/>
      </c>
      <c r="J25" s="416">
        <f>((J$6*J$9*J15*J16)+(J$6*J$10*J20*J21))/((J$6*J$9*J15)+(J$6*J$10*J20))</f>
        <v/>
      </c>
      <c r="K25" s="416">
        <f>((K$6*K$9*K15*K16)+(K$6*K$10*K20*K21))/((K$6*K$9*K15)+(K$6*K$10*K20))</f>
        <v/>
      </c>
      <c r="L25" s="416">
        <f>((L$6*L$9*L15*L16)+(L$6*L$10*L20*L21))/((L$6*L$9*L15)+(L$6*L$10*L20))</f>
        <v/>
      </c>
      <c r="M25" s="416">
        <f>((M$6*M$9*M15*M16)+(M$6*M$10*M20*M21))/((M$6*M$9*M15)+(M$6*M$10*M20))</f>
        <v/>
      </c>
      <c r="N25" s="416">
        <f>((N$6*N$9*N15*N16)+(N$6*N$10*N20*N21))/((N$6*N$9*N15)+(N$6*N$10*N20))</f>
        <v/>
      </c>
      <c r="P25" s="390" t="n"/>
      <c r="Q25" s="390" t="n"/>
    </row>
    <row r="26">
      <c r="A26" s="252" t="inlineStr">
        <is>
          <t>(전체 시장 내) SVK HCT MS</t>
        </is>
      </c>
      <c r="B26" s="416">
        <f>B31/B6</f>
        <v/>
      </c>
      <c r="C26" s="416">
        <f>C31/C6</f>
        <v/>
      </c>
      <c r="D26" s="416">
        <f>D31/D6</f>
        <v/>
      </c>
      <c r="E26" s="416">
        <f>E31/E6</f>
        <v/>
      </c>
      <c r="F26" s="416">
        <f>F31/F6</f>
        <v/>
      </c>
      <c r="G26" s="416">
        <f>G31/G6</f>
        <v/>
      </c>
      <c r="H26" s="416">
        <f>H31/H6</f>
        <v/>
      </c>
      <c r="I26" s="416">
        <f>I31/I6</f>
        <v/>
      </c>
      <c r="J26" s="416">
        <f>J31/J6</f>
        <v/>
      </c>
      <c r="K26" s="416">
        <f>K31/K6</f>
        <v/>
      </c>
      <c r="L26" s="416">
        <f>L31/L6</f>
        <v/>
      </c>
      <c r="M26" s="416">
        <f>M31/M6</f>
        <v/>
      </c>
      <c r="N26" s="416">
        <f>N31/N6</f>
        <v/>
      </c>
    </row>
    <row r="27">
      <c r="A27" s="78" t="n"/>
    </row>
    <row r="28" ht="16.5" customHeight="1" s="9">
      <c r="A28" s="248" t="inlineStr">
        <is>
          <t>■ E. SVK HCT 처방량  :    [ARB+CCB+DU 복합제 처방량 (A) × HPorGP비율(B) x SVK HCT MS(C or D)]</t>
        </is>
      </c>
      <c r="B28" s="178" t="n"/>
      <c r="C28" s="178" t="n"/>
      <c r="D28" s="178" t="n"/>
      <c r="E28" s="178" t="n"/>
      <c r="F28" s="178" t="n"/>
      <c r="G28" s="178" t="n"/>
      <c r="H28" s="178" t="n"/>
      <c r="I28" s="178" t="n"/>
      <c r="J28" s="178" t="n"/>
      <c r="K28" s="178" t="n"/>
      <c r="L28" s="178" t="n"/>
      <c r="M28" s="178" t="n"/>
      <c r="N28" s="249" t="n"/>
    </row>
    <row r="29" ht="16.5" customHeight="1" s="9">
      <c r="A29" s="255" t="inlineStr">
        <is>
          <t xml:space="preserve">  SVK HCT HP 처방량</t>
        </is>
      </c>
      <c r="B29" s="418" t="n">
        <v>17402763.5</v>
      </c>
      <c r="C29" s="418" t="n">
        <v>18495714.74</v>
      </c>
      <c r="D29" s="418" t="n">
        <v>18049526.64</v>
      </c>
      <c r="E29" s="418" t="n">
        <v>19377470.61</v>
      </c>
      <c r="F29" s="418" t="n">
        <v>21126006.39</v>
      </c>
      <c r="G29" s="418" t="n">
        <v>21700715.27</v>
      </c>
      <c r="H29" s="418" t="n">
        <v>21717929.92</v>
      </c>
      <c r="I29" s="418" t="n">
        <v>21216036.94</v>
      </c>
      <c r="J29" s="419">
        <f>J6*J9*J17</f>
        <v/>
      </c>
      <c r="K29" s="419">
        <f>K6*K9*K17</f>
        <v/>
      </c>
      <c r="L29" s="419">
        <f>L6*L9*L17</f>
        <v/>
      </c>
      <c r="M29" s="419">
        <f>M6*M9*M17</f>
        <v/>
      </c>
      <c r="N29" s="420">
        <f>N6*N9*N17</f>
        <v/>
      </c>
    </row>
    <row r="30" ht="16.5" customHeight="1" s="9">
      <c r="A30" s="255" t="inlineStr">
        <is>
          <t xml:space="preserve">  SVK HCT GP 처방량</t>
        </is>
      </c>
      <c r="B30" s="418" t="n">
        <v>20970927.73</v>
      </c>
      <c r="C30" s="418" t="n">
        <v>22920593.94</v>
      </c>
      <c r="D30" s="418" t="n">
        <v>25434658.78</v>
      </c>
      <c r="E30" s="418" t="n">
        <v>28828456.75</v>
      </c>
      <c r="F30" s="418" t="n">
        <v>31521309.38</v>
      </c>
      <c r="G30" s="418" t="n">
        <v>32864946.72</v>
      </c>
      <c r="H30" s="418" t="n">
        <v>34113077.8</v>
      </c>
      <c r="I30" s="418" t="n">
        <v>33663486.72</v>
      </c>
      <c r="J30" s="419">
        <f>J6*J10*J22</f>
        <v/>
      </c>
      <c r="K30" s="419">
        <f>K6*K10*K22</f>
        <v/>
      </c>
      <c r="L30" s="419">
        <f>L6*L10*L22</f>
        <v/>
      </c>
      <c r="M30" s="419">
        <f>M6*M10*M22</f>
        <v/>
      </c>
      <c r="N30" s="420">
        <f>N6*N10*N22</f>
        <v/>
      </c>
    </row>
    <row r="31" ht="16.5" customHeight="1" s="9">
      <c r="A31" s="263" t="inlineStr">
        <is>
          <t xml:space="preserve">  ▶ SVK HCT 처방량 </t>
        </is>
      </c>
      <c r="B31" s="175">
        <f>B29+B30</f>
        <v/>
      </c>
      <c r="C31" s="175">
        <f>C29+C30</f>
        <v/>
      </c>
      <c r="D31" s="175">
        <f>D29+D30</f>
        <v/>
      </c>
      <c r="E31" s="175">
        <f>E29+E30</f>
        <v/>
      </c>
      <c r="F31" s="175">
        <f>F29+F30</f>
        <v/>
      </c>
      <c r="G31" s="175">
        <f>G29+G30</f>
        <v/>
      </c>
      <c r="H31" s="175">
        <f>H29+H30</f>
        <v/>
      </c>
      <c r="I31" s="175">
        <f>I29+I30</f>
        <v/>
      </c>
      <c r="J31" s="175">
        <f>J29+J30</f>
        <v/>
      </c>
      <c r="K31" s="175">
        <f>K29+K30</f>
        <v/>
      </c>
      <c r="L31" s="175">
        <f>L29+L30</f>
        <v/>
      </c>
      <c r="M31" s="175">
        <f>M29+M30</f>
        <v/>
      </c>
      <c r="N31" s="264">
        <f>N29+N30</f>
        <v/>
      </c>
      <c r="P31" s="43" t="n">
        <v>13788781.42</v>
      </c>
      <c r="Q31" s="74" t="n">
        <v>1.01566805494433</v>
      </c>
    </row>
    <row r="33" ht="16.5" customHeight="1" s="9">
      <c r="A33" s="229" t="n"/>
      <c r="B33" s="229" t="inlineStr">
        <is>
          <t>★ 주요 파라미터 (분석 구간: 2018~2025년 실측 기준, 계열별 방식 상이)</t>
        </is>
      </c>
    </row>
    <row r="34" ht="27" customFormat="1" customHeight="1" s="2">
      <c r="B34" s="339" t="inlineStr">
        <is>
          <t>구분</t>
        </is>
      </c>
      <c r="C34" s="339" t="inlineStr">
        <is>
          <t>산출 방식</t>
        </is>
      </c>
      <c r="D34" s="339" t="inlineStr">
        <is>
          <t>floor</t>
        </is>
      </c>
      <c r="E34" s="339" t="inlineStr">
        <is>
          <t>slope(k)</t>
        </is>
      </c>
      <c r="F34" s="339" t="inlineStr">
        <is>
          <t>intercept(x0)</t>
        </is>
      </c>
      <c r="G34" s="339" t="inlineStr">
        <is>
          <t>anchor</t>
        </is>
      </c>
      <c r="H34" s="339" t="inlineStr">
        <is>
          <t>예측 로직</t>
        </is>
      </c>
      <c r="I34" s="384" t="n"/>
      <c r="J34" s="339" t="inlineStr">
        <is>
          <t>비고</t>
        </is>
      </c>
      <c r="K34" s="384" t="n"/>
    </row>
    <row r="35" ht="33.75" customHeight="1" s="9">
      <c r="B35" s="268" t="inlineStr">
        <is>
          <t xml:space="preserve">   HP:GP 비율</t>
        </is>
      </c>
      <c r="C35" s="265" t="inlineStr">
        <is>
          <t>로지스틱(하한 판단고정 22.0%) + 분기회귀</t>
        </is>
      </c>
      <c r="D35" s="421" t="n">
        <v>0.22</v>
      </c>
      <c r="E35" s="422">
        <f>SLOPE($R$59:INDEX($R$59:$CZ$59,COUNTA($R$59:$CZ$59)),$R$57:INDEX($R$57:$CZ$57,COUNTA($R$57:$CZ$57)))</f>
        <v/>
      </c>
      <c r="F35" s="423">
        <f>INTERCEPT($R$59:INDEX($R$59:$CZ$59,COUNTA($R$59:$CZ$59)),$R$57:INDEX($R$57:$CZ$57,COUNTA($R$57:$CZ$57)))</f>
        <v/>
      </c>
      <c r="G35" s="424">
        <f>INDEX($C$59:$CZ$59,COUNTA($C$59:$CZ$59))-(E35*INDEX($C$57:$CZ$57,COUNTA($C$57:$CZ$57))+F35)</f>
        <v/>
      </c>
      <c r="H35" s="340" t="inlineStr">
        <is>
          <t>FY26=실측 1분기+예측 3분기 평균, FY27-30=예측 4분기 평균</t>
        </is>
      </c>
      <c r="I35" s="384" t="n"/>
      <c r="J35" s="340" t="inlineStr">
        <is>
          <t>FY2024Q3(peak) 이후 7분기, p=0.00017·R²=0.953</t>
        </is>
      </c>
      <c r="K35" s="384" t="n"/>
    </row>
    <row r="36" ht="33.75" customHeight="1" s="9">
      <c r="B36" s="268" t="inlineStr">
        <is>
          <t xml:space="preserve">   Olmesartan MS (HP)</t>
        </is>
      </c>
      <c r="C36" s="265" t="inlineStr">
        <is>
          <t>로지스틱(하한 47.03%) curve_fit</t>
        </is>
      </c>
      <c r="D36" s="421" t="n">
        <v>0.4703</v>
      </c>
      <c r="E36" s="422" t="n">
        <v>-0.5269</v>
      </c>
      <c r="F36" s="423" t="n">
        <v>2019.9</v>
      </c>
      <c r="G36" s="424" t="n">
        <v>-0.00305962961348165</v>
      </c>
      <c r="H36" s="340" t="inlineStr">
        <is>
          <t>FY26=실측 1분기+예측 3분기 평균, FY27-30=예측 4분기 평균</t>
        </is>
      </c>
      <c r="I36" s="384" t="n"/>
      <c r="J36" s="340" t="inlineStr">
        <is>
          <t>2018-2025 실측 자유적합, SE(floor)=±4.00%p</t>
        </is>
      </c>
      <c r="K36" s="384" t="n"/>
    </row>
    <row r="37" ht="33.75" customFormat="1" customHeight="1" s="266">
      <c r="B37" s="268" t="inlineStr">
        <is>
          <t xml:space="preserve">   Original 비율 (HP)</t>
        </is>
      </c>
      <c r="C37" s="265" t="inlineStr">
        <is>
          <t>직접선형회귀 (로짓변환 미사용)</t>
        </is>
      </c>
      <c r="D37" s="425" t="n"/>
      <c r="E37" s="422">
        <f>SLOPE($J$60:INDEX($J$60:$CZ$60,COUNTA($J$60:$CZ$60)),$J$54:INDEX($J$54:$CZ$54,COUNTA($J$54:$CZ$54)))</f>
        <v/>
      </c>
      <c r="F37" s="423">
        <f>INTERCEPT($J$60:INDEX($J$60:$CZ$60,COUNTA($J$60:$CZ$60)),$J$54:INDEX($J$54:$CZ$54,COUNTA($J$54:$CZ$54)))</f>
        <v/>
      </c>
      <c r="G37" s="424">
        <f>INDEX($B$60:$CZ$60,COUNTA($B$60:$CZ$60))-(E37*INDEX($B$54:$CZ$54,COUNTA($B$54:$CZ$54))+F37)</f>
        <v/>
      </c>
      <c r="H37" s="340" t="inlineStr">
        <is>
          <t>FY26=실측 1분기+예측 3분기 평균, FY27-30=예측 4분기 평균</t>
        </is>
      </c>
      <c r="I37" s="384" t="n"/>
      <c r="J37" s="340" t="inlineStr">
        <is>
          <t>로짓변환 시 인위적 가속 확인되어 직접선형 유지, 장기외삽 주의</t>
        </is>
      </c>
      <c r="K37" s="384" t="n"/>
    </row>
    <row r="38" ht="33.75" customFormat="1" customHeight="1" s="267">
      <c r="B38" s="268" t="inlineStr">
        <is>
          <t xml:space="preserve">   Olmesartan MS (GP)</t>
        </is>
      </c>
      <c r="C38" s="265" t="inlineStr">
        <is>
          <t>로지스틱(하한 판단고정 37.9%) + 최근5분기 회귀</t>
        </is>
      </c>
      <c r="D38" s="421" t="n">
        <v>0.379</v>
      </c>
      <c r="E38" s="422">
        <f>SLOPE(INDEX($B$61:$CZ$61,COUNTA($B$61:$CZ$61)-4):INDEX($B$61:$CZ$61,COUNTA($B$61:$CZ$61)),INDEX($B$54:$CZ$54,COUNTA($B$54:$CZ$54)-4):INDEX($B$54:$CZ$54,COUNTA($B$54:$CZ$54)))</f>
        <v/>
      </c>
      <c r="F38" s="423">
        <f>INTERCEPT(INDEX($B$61:$CZ$61,COUNTA($B$61:$CZ$61)-4):INDEX($B$61:$CZ$61,COUNTA($B$61:$CZ$61)),INDEX($B$54:$CZ$54,COUNTA($B$54:$CZ$54)-4):INDEX($B$54:$CZ$54,COUNTA($B$54:$CZ$54)))</f>
        <v/>
      </c>
      <c r="G38" s="424" t="n"/>
      <c r="H38" s="340" t="inlineStr">
        <is>
          <t>FY26=실측 1분기+예측 3분기 평균, FY27-30=FY26 4분기 예측값 고정(flat)</t>
        </is>
      </c>
      <c r="I38" s="384" t="n"/>
      <c r="J38" s="340" t="inlineStr">
        <is>
          <t>무기한 하락 비현실적이라 FY26 Q4 수준에서 고정</t>
        </is>
      </c>
      <c r="K38" s="384" t="n"/>
    </row>
    <row r="39" ht="33.75" customHeight="1" s="9">
      <c r="B39" s="268" t="inlineStr">
        <is>
          <t xml:space="preserve">   Original 비율 (GP)</t>
        </is>
      </c>
      <c r="C39" s="265" t="inlineStr">
        <is>
          <t>로짓 변환 회귀 (최근구간만 사용)</t>
        </is>
      </c>
      <c r="D39" s="425" t="n"/>
      <c r="E39" s="422">
        <f>SLOPE($V$62:INDEX($V$62:$CZ$62,COUNTA($V$62:$CZ$62)),$V$54:INDEX($V$54:$CZ$54,COUNTA($V$54:$CZ$54)))</f>
        <v/>
      </c>
      <c r="F39" s="423">
        <f>INTERCEPT($V$62:INDEX($V$62:$CZ$62,COUNTA($V$62:$CZ$62)),$V$54:INDEX($V$54:$CZ$54,COUNTA($V$54:$CZ$54)))</f>
        <v/>
      </c>
      <c r="G39" s="424">
        <f>INDEX($B$62:$CZ$62,COUNTA($B$62:$CZ$62))-(E39*INDEX($B$54:$CZ$54,COUNTA($B$54:$CZ$54))+F39)</f>
        <v/>
      </c>
      <c r="H39" s="340" t="inlineStr">
        <is>
          <t>FY26=실측 1분기+예측 3분기 평균, FY27-30=예측 4분기 평균</t>
        </is>
      </c>
      <c r="I39" s="384" t="n"/>
      <c r="J39" s="340" t="inlineStr">
        <is>
          <t>FY2023Q1~ 자동확장, 전체기간 사용시 초기급락 왜곡 확인되어 최근구간만 사용</t>
        </is>
      </c>
      <c r="K39" s="384" t="n"/>
    </row>
    <row r="40" ht="16.5" customFormat="1" customHeight="1" s="2"/>
    <row r="41" ht="16.5" customHeight="1" s="9">
      <c r="A41" s="229" t="inlineStr">
        <is>
          <t>★ 추정 산출 흐름 — 계열마다 곡선식이 달라 아래 3가지 유형으로 구분</t>
        </is>
      </c>
    </row>
    <row r="42" ht="16.5" customHeight="1" s="9">
      <c r="B42" s="339" t="inlineStr">
        <is>
          <t>유형</t>
        </is>
      </c>
      <c r="C42" s="339" t="inlineStr">
        <is>
          <t>적용 계열</t>
        </is>
      </c>
      <c r="D42" s="339" t="inlineStr">
        <is>
          <t>곡선식</t>
        </is>
      </c>
      <c r="E42" s="339" t="inlineStr">
        <is>
          <t>설명</t>
        </is>
      </c>
    </row>
    <row r="43" ht="16.5" customHeight="1" s="9">
      <c r="B43" s="241" t="inlineStr">
        <is>
          <t>① 로지스틱(하한)</t>
        </is>
      </c>
      <c r="C43" s="241" t="inlineStr">
        <is>
          <t>HP:GP비율, Olmesartan MS(HP,GP)</t>
        </is>
      </c>
      <c r="D43" s="241" t="inlineStr">
        <is>
          <t>p(t) = floor + (1−floor)÷(1+EXP(−(slope×t+intercept[+anchor])))</t>
        </is>
      </c>
      <c r="E43" s="241" t="inlineStr">
        <is>
          <t>floor는 판단 고정값 또는 curve_fit 산출값, slope·intercept는 분기 회귀로 산출</t>
        </is>
      </c>
    </row>
    <row r="44" ht="16.5" customHeight="1" s="9">
      <c r="B44" s="241" t="inlineStr">
        <is>
          <t>② 직접선형회귀</t>
        </is>
      </c>
      <c r="C44" s="241" t="inlineStr">
        <is>
          <t>Original 비율(HP)</t>
        </is>
      </c>
      <c r="D44" s="241" t="inlineStr">
        <is>
          <t>p(t) = (slope×t + intercept + anchor) ÷ 100</t>
        </is>
      </c>
      <c r="E44" s="241" t="inlineStr">
        <is>
          <t>로짓변환 없이 %p 단위로 바로 선형회귀 (로짓변환 시 왜곡 발생 확인되어 미사용)</t>
        </is>
      </c>
    </row>
    <row r="45" ht="16.5" customHeight="1" s="9">
      <c r="B45" s="241" t="inlineStr">
        <is>
          <t>③ 로짓 변환 회귀</t>
        </is>
      </c>
      <c r="C45" s="241" t="inlineStr">
        <is>
          <t>Original 비율(GP)</t>
        </is>
      </c>
      <c r="D45" s="241" t="inlineStr">
        <is>
          <t>p(t) = EXP(slope×t+intercept+anchor) ÷ (1+EXP(slope×t+intercept+anchor))</t>
        </is>
      </c>
      <c r="E45" s="241" t="inlineStr">
        <is>
          <t>표준 로짓변환 회귀 + anchor는 로짓(z) 공간에서 최신 실측에 보정</t>
        </is>
      </c>
    </row>
    <row r="46">
      <c r="A46" s="235" t="n"/>
      <c r="B46" s="235" t="inlineStr">
        <is>
          <t xml:space="preserve">   [분기평균] 모든 계열이 회귀식 하나로 연도값을 바로 내지 않고, 4개 분기(FY+0/0.25/0.5/0.75)를 각각 계산해 평균 — FY26은 1분기 실측을 그대로 쓰고 2~4분기만 예측해서 평균, FY27~30은 4개 분기 모두 예측해서 평균 (Olmesartan MS(GP)만 FY27 이후 4분기째 예측값에서 고정)</t>
        </is>
      </c>
    </row>
    <row r="47">
      <c r="A47" s="235" t="n"/>
    </row>
    <row r="48">
      <c r="A48" s="242" t="inlineStr">
        <is>
          <t>★ [부록] 분기 원자료 (5개 계열 자동확장 회귀용, FY2018Q1~FY2026Q1)</t>
        </is>
      </c>
    </row>
    <row r="49">
      <c r="A49" s="243" t="inlineStr">
        <is>
          <t>항목 / FY분기 ▶</t>
        </is>
      </c>
      <c r="B49" s="243" t="inlineStr">
        <is>
          <t>FY2018Q1</t>
        </is>
      </c>
      <c r="C49" s="243" t="inlineStr">
        <is>
          <t>FY2018Q2</t>
        </is>
      </c>
      <c r="D49" s="243" t="inlineStr">
        <is>
          <t>FY2018Q3</t>
        </is>
      </c>
      <c r="E49" s="243" t="inlineStr">
        <is>
          <t>FY2018Q4</t>
        </is>
      </c>
      <c r="F49" s="243" t="inlineStr">
        <is>
          <t>FY2019Q1</t>
        </is>
      </c>
      <c r="G49" s="243" t="inlineStr">
        <is>
          <t>FY2019Q2</t>
        </is>
      </c>
      <c r="H49" s="243" t="inlineStr">
        <is>
          <t>FY2019Q3</t>
        </is>
      </c>
      <c r="I49" s="243" t="inlineStr">
        <is>
          <t>FY2019Q4</t>
        </is>
      </c>
      <c r="J49" s="243" t="inlineStr">
        <is>
          <t>FY2020Q1</t>
        </is>
      </c>
      <c r="K49" s="243" t="inlineStr">
        <is>
          <t>FY2020Q2</t>
        </is>
      </c>
      <c r="L49" s="243" t="inlineStr">
        <is>
          <t>FY2020Q3</t>
        </is>
      </c>
      <c r="M49" s="243" t="inlineStr">
        <is>
          <t>FY2020Q4</t>
        </is>
      </c>
      <c r="N49" s="243" t="inlineStr">
        <is>
          <t>FY2021Q1</t>
        </is>
      </c>
      <c r="O49" s="243" t="inlineStr">
        <is>
          <t>FY2021Q2</t>
        </is>
      </c>
      <c r="P49" s="243" t="inlineStr">
        <is>
          <t>FY2021Q3</t>
        </is>
      </c>
      <c r="Q49" s="243" t="inlineStr">
        <is>
          <t>FY2021Q4</t>
        </is>
      </c>
      <c r="R49" s="243" t="inlineStr">
        <is>
          <t>FY2022Q1</t>
        </is>
      </c>
      <c r="S49" s="243" t="inlineStr">
        <is>
          <t>FY2022Q2</t>
        </is>
      </c>
      <c r="T49" s="243" t="inlineStr">
        <is>
          <t>FY2022Q3</t>
        </is>
      </c>
      <c r="U49" s="243" t="inlineStr">
        <is>
          <t>FY2022Q4</t>
        </is>
      </c>
      <c r="V49" s="243" t="inlineStr">
        <is>
          <t>FY2023Q1</t>
        </is>
      </c>
      <c r="W49" s="243" t="inlineStr">
        <is>
          <t>FY2023Q2</t>
        </is>
      </c>
      <c r="X49" s="243" t="inlineStr">
        <is>
          <t>FY2023Q3</t>
        </is>
      </c>
      <c r="Y49" s="243" t="inlineStr">
        <is>
          <t>FY2023Q4</t>
        </is>
      </c>
      <c r="Z49" s="243" t="inlineStr">
        <is>
          <t>FY2024Q1</t>
        </is>
      </c>
      <c r="AA49" s="243" t="inlineStr">
        <is>
          <t>FY2024Q2</t>
        </is>
      </c>
      <c r="AB49" s="243" t="inlineStr">
        <is>
          <t>FY2024Q3</t>
        </is>
      </c>
      <c r="AC49" s="243" t="inlineStr">
        <is>
          <t>FY2024Q4</t>
        </is>
      </c>
      <c r="AD49" s="243" t="inlineStr">
        <is>
          <t>FY2025Q1</t>
        </is>
      </c>
      <c r="AE49" s="243" t="inlineStr">
        <is>
          <t>FY2025Q2</t>
        </is>
      </c>
      <c r="AF49" s="243" t="inlineStr">
        <is>
          <t>FY2025Q3</t>
        </is>
      </c>
      <c r="AG49" s="243" t="inlineStr">
        <is>
          <t>FY2025Q4</t>
        </is>
      </c>
      <c r="AH49" s="243" t="inlineStr">
        <is>
          <t>FY2026Q1</t>
        </is>
      </c>
    </row>
    <row r="50">
      <c r="A50" s="243" t="inlineStr">
        <is>
          <t xml:space="preserve">  HP olmesartan</t>
        </is>
      </c>
      <c r="B50" s="244" t="n">
        <v>0.9410219191428369</v>
      </c>
      <c r="C50" s="244" t="n">
        <v>0.902970962174189</v>
      </c>
      <c r="D50" s="244" t="n">
        <v>0.874704736454446</v>
      </c>
      <c r="E50" s="244" t="n">
        <v>0.834606265233186</v>
      </c>
      <c r="F50" s="244" t="n">
        <v>0.8261532850701609</v>
      </c>
      <c r="G50" s="244" t="n">
        <v>0.81388946518853</v>
      </c>
      <c r="H50" s="244" t="n">
        <v>0.772375587143002</v>
      </c>
      <c r="I50" s="244" t="n">
        <v>0.751614626350588</v>
      </c>
      <c r="J50" s="244" t="n">
        <v>0.713880319914143</v>
      </c>
      <c r="K50" s="244" t="n">
        <v>0.7056986331056559</v>
      </c>
      <c r="L50" s="244" t="n">
        <v>0.686286447839732</v>
      </c>
      <c r="M50" s="244" t="n">
        <v>0.686166150517052</v>
      </c>
      <c r="N50" s="244" t="n">
        <v>0.657752774548495</v>
      </c>
      <c r="O50" s="244" t="n">
        <v>0.667149233636996</v>
      </c>
      <c r="P50" s="244" t="n">
        <v>0.678181767181121</v>
      </c>
      <c r="Q50" s="244" t="n">
        <v>0.665651569963589</v>
      </c>
      <c r="R50" s="244" t="n">
        <v>0.674181335626308</v>
      </c>
      <c r="S50" s="244" t="n">
        <v>0.66191024349273</v>
      </c>
      <c r="T50" s="244" t="n">
        <v>0.617122443887648</v>
      </c>
      <c r="U50" s="244" t="n">
        <v>0.597608807173335</v>
      </c>
      <c r="V50" s="244" t="n">
        <v>0.584974091958171</v>
      </c>
      <c r="W50" s="244" t="n">
        <v>0.556742539142593</v>
      </c>
      <c r="X50" s="244" t="n">
        <v>0.549303888409203</v>
      </c>
      <c r="Y50" s="244" t="n">
        <v>0.538389068469589</v>
      </c>
      <c r="Z50" s="244" t="n">
        <v>0.526455867695811</v>
      </c>
      <c r="AA50" s="244" t="n">
        <v>0.52996654892823</v>
      </c>
      <c r="AB50" s="244" t="n">
        <v>0.513278470992437</v>
      </c>
      <c r="AC50" s="244" t="n">
        <v>0.504827552892068</v>
      </c>
      <c r="AD50" s="244" t="n">
        <v>0.506461353354275</v>
      </c>
      <c r="AE50" s="244" t="n">
        <v>0.506823930049604</v>
      </c>
      <c r="AF50" s="244" t="n">
        <v>0.506194105211295</v>
      </c>
      <c r="AG50" s="244" t="n">
        <v>0.485023187851646</v>
      </c>
      <c r="AH50" s="244" t="n">
        <v>0.478402186710604</v>
      </c>
    </row>
    <row r="51">
      <c r="A51" s="243" t="inlineStr">
        <is>
          <t xml:space="preserve">  HP olmesartan 내 Original 비율</t>
        </is>
      </c>
      <c r="B51" s="244" t="n">
        <v>1</v>
      </c>
      <c r="C51" s="244" t="n">
        <v>1</v>
      </c>
      <c r="D51" s="244" t="n">
        <v>1</v>
      </c>
      <c r="E51" s="244" t="n">
        <v>1</v>
      </c>
      <c r="F51" s="244" t="n">
        <v>0.998247730384182</v>
      </c>
      <c r="G51" s="244" t="n">
        <v>0.997164109512624</v>
      </c>
      <c r="H51" s="244" t="n">
        <v>0.995507694238331</v>
      </c>
      <c r="I51" s="244" t="n">
        <v>0.9950407575621421</v>
      </c>
      <c r="J51" s="244" t="n">
        <v>0.995555187396074</v>
      </c>
      <c r="K51" s="244" t="n">
        <v>0.994863887950475</v>
      </c>
      <c r="L51" s="244" t="n">
        <v>0.986296691947594</v>
      </c>
      <c r="M51" s="244" t="n">
        <v>0.982564897258301</v>
      </c>
      <c r="N51" s="244" t="n">
        <v>0.98029136246332</v>
      </c>
      <c r="O51" s="244" t="n">
        <v>0.9780843600374</v>
      </c>
      <c r="P51" s="244" t="n">
        <v>0.979835195970185</v>
      </c>
      <c r="Q51" s="244" t="n">
        <v>0.979535622476743</v>
      </c>
      <c r="R51" s="244" t="n">
        <v>0.973854718699625</v>
      </c>
      <c r="S51" s="244" t="n">
        <v>0.975480323264772</v>
      </c>
      <c r="T51" s="244" t="n">
        <v>0.977421936967809</v>
      </c>
      <c r="U51" s="244" t="n">
        <v>0.97243201157529</v>
      </c>
      <c r="V51" s="244" t="n">
        <v>0.9697096511346061</v>
      </c>
      <c r="W51" s="244" t="n">
        <v>0.968844916026996</v>
      </c>
      <c r="X51" s="244" t="n">
        <v>0.971473310266234</v>
      </c>
      <c r="Y51" s="244" t="n">
        <v>0.966031155972207</v>
      </c>
      <c r="Z51" s="244" t="n">
        <v>0.958001958505772</v>
      </c>
      <c r="AA51" s="244" t="n">
        <v>0.959719527285862</v>
      </c>
      <c r="AB51" s="244" t="n">
        <v>0.959824790448955</v>
      </c>
      <c r="AC51" s="244" t="n">
        <v>0.956598023821031</v>
      </c>
      <c r="AD51" s="244" t="n">
        <v>0.955849948787369</v>
      </c>
      <c r="AE51" s="244" t="n">
        <v>0.955844112107509</v>
      </c>
      <c r="AF51" s="244" t="n">
        <v>0.949249355416971</v>
      </c>
      <c r="AG51" s="244" t="n">
        <v>0.94976544906433</v>
      </c>
      <c r="AH51" s="244" t="n">
        <v>0.935887948273181</v>
      </c>
    </row>
    <row r="52">
      <c r="A52" s="243" t="inlineStr">
        <is>
          <t xml:space="preserve">  GP olmesartan</t>
        </is>
      </c>
      <c r="B52" s="244" t="n">
        <v>0.62159811624398</v>
      </c>
      <c r="C52" s="244" t="n">
        <v>0.5907691141388129</v>
      </c>
      <c r="D52" s="244" t="n">
        <v>0.56968973914807</v>
      </c>
      <c r="E52" s="244" t="n">
        <v>0.534291740109306</v>
      </c>
      <c r="F52" s="244" t="n">
        <v>0.5335102774304989</v>
      </c>
      <c r="G52" s="244" t="n">
        <v>0.5341482127195331</v>
      </c>
      <c r="H52" s="244" t="n">
        <v>0.497474052513973</v>
      </c>
      <c r="I52" s="244" t="n">
        <v>0.45592870375646</v>
      </c>
      <c r="J52" s="244" t="n">
        <v>0.452924754927973</v>
      </c>
      <c r="K52" s="244" t="n">
        <v>0.455173023165231</v>
      </c>
      <c r="L52" s="244" t="n">
        <v>0.451334529102035</v>
      </c>
      <c r="M52" s="244" t="n">
        <v>0.451899292891801</v>
      </c>
      <c r="N52" s="244" t="n">
        <v>0.453570651368026</v>
      </c>
      <c r="O52" s="244" t="n">
        <v>0.457968705272805</v>
      </c>
      <c r="P52" s="244" t="n">
        <v>0.4635386628816</v>
      </c>
      <c r="Q52" s="244" t="n">
        <v>0.476593878065222</v>
      </c>
      <c r="R52" s="244" t="n">
        <v>0.474087333469389</v>
      </c>
      <c r="S52" s="244" t="n">
        <v>0.448445767448293</v>
      </c>
      <c r="T52" s="244" t="n">
        <v>0.438376402273067</v>
      </c>
      <c r="U52" s="244" t="n">
        <v>0.438524948938702</v>
      </c>
      <c r="V52" s="244" t="n">
        <v>0.440409408665877</v>
      </c>
      <c r="W52" s="244" t="n">
        <v>0.443610119419165</v>
      </c>
      <c r="X52" s="244" t="n">
        <v>0.446397929253507</v>
      </c>
      <c r="Y52" s="244" t="n">
        <v>0.451681044854828</v>
      </c>
      <c r="Z52" s="244" t="n">
        <v>0.454666715156277</v>
      </c>
      <c r="AA52" s="244" t="n">
        <v>0.456146730834133</v>
      </c>
      <c r="AB52" s="244" t="n">
        <v>0.458280551618865</v>
      </c>
      <c r="AC52" s="244" t="n">
        <v>0.45980245356688</v>
      </c>
      <c r="AD52" s="244" t="n">
        <v>0.462453758493346</v>
      </c>
      <c r="AE52" s="244" t="n">
        <v>0.455274584694277</v>
      </c>
      <c r="AF52" s="244" t="n">
        <v>0.444951900222819</v>
      </c>
      <c r="AG52" s="244" t="n">
        <v>0.42741792827898</v>
      </c>
      <c r="AH52" s="244" t="n">
        <v>0.41337603009705</v>
      </c>
    </row>
    <row r="53">
      <c r="A53" s="243" t="inlineStr">
        <is>
          <t xml:space="preserve">  GP olmesartan 내 Original 비율</t>
        </is>
      </c>
      <c r="B53" s="244" t="n">
        <v>1</v>
      </c>
      <c r="C53" s="244" t="n">
        <v>1</v>
      </c>
      <c r="D53" s="244" t="n">
        <v>1</v>
      </c>
      <c r="E53" s="244" t="n">
        <v>0.999077925783735</v>
      </c>
      <c r="F53" s="244" t="n">
        <v>0.936641511756743</v>
      </c>
      <c r="G53" s="244" t="n">
        <v>0.887213002595172</v>
      </c>
      <c r="H53" s="244" t="n">
        <v>0.8386289548887</v>
      </c>
      <c r="I53" s="244" t="n">
        <v>0.797587060867298</v>
      </c>
      <c r="J53" s="244" t="n">
        <v>0.766473528983972</v>
      </c>
      <c r="K53" s="244" t="n">
        <v>0.751350506350953</v>
      </c>
      <c r="L53" s="244" t="n">
        <v>0.737263869213282</v>
      </c>
      <c r="M53" s="244" t="n">
        <v>0.719859866306172</v>
      </c>
      <c r="N53" s="244" t="n">
        <v>0.703244665484084</v>
      </c>
      <c r="O53" s="244" t="n">
        <v>0.6934255315026659</v>
      </c>
      <c r="P53" s="244" t="n">
        <v>0.677252962490936</v>
      </c>
      <c r="Q53" s="244" t="n">
        <v>0.656077462491761</v>
      </c>
      <c r="R53" s="244" t="n">
        <v>0.649853832945445</v>
      </c>
      <c r="S53" s="244" t="n">
        <v>0.6429549598569591</v>
      </c>
      <c r="T53" s="244" t="n">
        <v>0.632871323265098</v>
      </c>
      <c r="U53" s="244" t="n">
        <v>0.613150595273748</v>
      </c>
      <c r="V53" s="244" t="n">
        <v>0.601245315221705</v>
      </c>
      <c r="W53" s="244" t="n">
        <v>0.6070565645517541</v>
      </c>
      <c r="X53" s="244" t="n">
        <v>0.600403144574995</v>
      </c>
      <c r="Y53" s="244" t="n">
        <v>0.5868947108807</v>
      </c>
      <c r="Z53" s="244" t="n">
        <v>0.572101673722753</v>
      </c>
      <c r="AA53" s="244" t="n">
        <v>0.56798966588639</v>
      </c>
      <c r="AB53" s="244" t="n">
        <v>0.554816053701785</v>
      </c>
      <c r="AC53" s="244" t="n">
        <v>0.551183036901348</v>
      </c>
      <c r="AD53" s="244" t="n">
        <v>0.536140810953076</v>
      </c>
      <c r="AE53" s="244" t="n">
        <v>0.523201406128521</v>
      </c>
      <c r="AF53" s="244" t="n">
        <v>0.52258557804285</v>
      </c>
      <c r="AG53" s="244" t="n">
        <v>0.511527033121968</v>
      </c>
      <c r="AH53" s="244" t="n">
        <v>0.496517580158298</v>
      </c>
    </row>
    <row r="54">
      <c r="A54" s="243" t="inlineStr">
        <is>
          <t xml:space="preserve">  분기 index(회귀용, FY+0.00/0.25/0.50/0.75)</t>
        </is>
      </c>
      <c r="B54" s="244" t="n">
        <v>2018</v>
      </c>
      <c r="C54" s="244" t="n">
        <v>2018.25</v>
      </c>
      <c r="D54" s="244" t="n">
        <v>2018.5</v>
      </c>
      <c r="E54" s="244" t="n">
        <v>2018.75</v>
      </c>
      <c r="F54" s="244" t="n">
        <v>2019</v>
      </c>
      <c r="G54" s="244" t="n">
        <v>2019.25</v>
      </c>
      <c r="H54" s="244" t="n">
        <v>2019.5</v>
      </c>
      <c r="I54" s="244" t="n">
        <v>2019.75</v>
      </c>
      <c r="J54" s="244" t="n">
        <v>2020</v>
      </c>
      <c r="K54" s="244" t="n">
        <v>2020.25</v>
      </c>
      <c r="L54" s="244" t="n">
        <v>2020.5</v>
      </c>
      <c r="M54" s="244" t="n">
        <v>2020.75</v>
      </c>
      <c r="N54" s="244" t="n">
        <v>2021</v>
      </c>
      <c r="O54" s="244" t="n">
        <v>2021.25</v>
      </c>
      <c r="P54" s="244" t="n">
        <v>2021.5</v>
      </c>
      <c r="Q54" s="244" t="n">
        <v>2021.75</v>
      </c>
      <c r="R54" s="244" t="n">
        <v>2022</v>
      </c>
      <c r="S54" s="244" t="n">
        <v>2022.25</v>
      </c>
      <c r="T54" s="244" t="n">
        <v>2022.5</v>
      </c>
      <c r="U54" s="244" t="n">
        <v>2022.75</v>
      </c>
      <c r="V54" s="244" t="n">
        <v>2023</v>
      </c>
      <c r="W54" s="244" t="n">
        <v>2023.25</v>
      </c>
      <c r="X54" s="244" t="n">
        <v>2023.5</v>
      </c>
      <c r="Y54" s="244" t="n">
        <v>2023.75</v>
      </c>
      <c r="Z54" s="244" t="n">
        <v>2024</v>
      </c>
      <c r="AA54" s="244" t="n">
        <v>2024.25</v>
      </c>
      <c r="AB54" s="244" t="n">
        <v>2024.5</v>
      </c>
      <c r="AC54" s="244" t="n">
        <v>2024.75</v>
      </c>
      <c r="AD54" s="244" t="n">
        <v>2025</v>
      </c>
      <c r="AE54" s="244" t="n">
        <v>2025.25</v>
      </c>
      <c r="AF54" s="244" t="n">
        <v>2025.5</v>
      </c>
      <c r="AG54" s="244" t="n">
        <v>2025.75</v>
      </c>
      <c r="AH54" s="244" t="n">
        <v>2026</v>
      </c>
    </row>
    <row r="56">
      <c r="A56" s="243" t="inlineStr">
        <is>
          <t xml:space="preserve">  (참고) FY분기 라벨</t>
        </is>
      </c>
      <c r="C56" s="244" t="inlineStr">
        <is>
          <t>FY2020Q4</t>
        </is>
      </c>
      <c r="D56" s="244" t="inlineStr">
        <is>
          <t>FY2021Q1</t>
        </is>
      </c>
      <c r="E56" s="244" t="inlineStr">
        <is>
          <t>FY2021Q2</t>
        </is>
      </c>
      <c r="F56" s="244" t="inlineStr">
        <is>
          <t>FY2021Q3</t>
        </is>
      </c>
      <c r="G56" s="244" t="inlineStr">
        <is>
          <t>FY2021Q4</t>
        </is>
      </c>
      <c r="H56" s="244" t="inlineStr">
        <is>
          <t>FY2022Q1</t>
        </is>
      </c>
      <c r="I56" s="244" t="inlineStr">
        <is>
          <t>FY2022Q2</t>
        </is>
      </c>
      <c r="J56" s="244" t="inlineStr">
        <is>
          <t>FY2022Q3</t>
        </is>
      </c>
      <c r="K56" s="244" t="inlineStr">
        <is>
          <t>FY2022Q4</t>
        </is>
      </c>
      <c r="L56" s="244" t="inlineStr">
        <is>
          <t>FY2023Q1</t>
        </is>
      </c>
      <c r="M56" s="244" t="inlineStr">
        <is>
          <t>FY2023Q2</t>
        </is>
      </c>
      <c r="N56" s="244" t="inlineStr">
        <is>
          <t>FY2023Q3</t>
        </is>
      </c>
      <c r="O56" s="244" t="inlineStr">
        <is>
          <t>FY2023Q4</t>
        </is>
      </c>
      <c r="P56" s="244" t="inlineStr">
        <is>
          <t>FY2024Q1</t>
        </is>
      </c>
      <c r="Q56" s="244" t="inlineStr">
        <is>
          <t>FY2024Q2</t>
        </is>
      </c>
      <c r="R56" s="244" t="inlineStr">
        <is>
          <t>FY2024Q3</t>
        </is>
      </c>
      <c r="S56" s="244" t="inlineStr">
        <is>
          <t>FY2024Q4</t>
        </is>
      </c>
      <c r="T56" s="244" t="inlineStr">
        <is>
          <t>FY2025Q1</t>
        </is>
      </c>
      <c r="U56" s="244" t="inlineStr">
        <is>
          <t>FY2025Q2</t>
        </is>
      </c>
      <c r="V56" s="244" t="inlineStr">
        <is>
          <t>FY2025Q3</t>
        </is>
      </c>
      <c r="W56" s="244" t="inlineStr">
        <is>
          <t>FY2025Q4</t>
        </is>
      </c>
      <c r="X56" s="244" t="inlineStr">
        <is>
          <t>FY2026Q1</t>
        </is>
      </c>
    </row>
    <row r="57">
      <c r="A57" s="243" t="inlineStr">
        <is>
          <t xml:space="preserve">  FY분기 index(HP:GP 비율용)</t>
        </is>
      </c>
      <c r="C57" s="244" t="n">
        <v>2020.75</v>
      </c>
      <c r="D57" s="244" t="n">
        <v>2021</v>
      </c>
      <c r="E57" s="244" t="n">
        <v>2021.25</v>
      </c>
      <c r="F57" s="244" t="n">
        <v>2021.5</v>
      </c>
      <c r="G57" s="244" t="n">
        <v>2021.75</v>
      </c>
      <c r="H57" s="244" t="n">
        <v>2022</v>
      </c>
      <c r="I57" s="244" t="n">
        <v>2022.25</v>
      </c>
      <c r="J57" s="244" t="n">
        <v>2022.5</v>
      </c>
      <c r="K57" s="244" t="n">
        <v>2022.75</v>
      </c>
      <c r="L57" s="244" t="n">
        <v>2023</v>
      </c>
      <c r="M57" s="244" t="n">
        <v>2023.25</v>
      </c>
      <c r="N57" s="244" t="n">
        <v>2023.5</v>
      </c>
      <c r="O57" s="244" t="n">
        <v>2023.75</v>
      </c>
      <c r="P57" s="244" t="n">
        <v>2024</v>
      </c>
      <c r="Q57" s="244" t="n">
        <v>2024.25</v>
      </c>
      <c r="R57" s="244" t="n">
        <v>2024.5</v>
      </c>
      <c r="S57" s="244" t="n">
        <v>2024.75</v>
      </c>
      <c r="T57" s="244" t="n">
        <v>2025</v>
      </c>
      <c r="U57" s="244" t="n">
        <v>2025.25</v>
      </c>
      <c r="V57" s="244" t="n">
        <v>2025.5</v>
      </c>
      <c r="W57" s="244" t="n">
        <v>2025.75</v>
      </c>
      <c r="X57" s="244" t="n">
        <v>2026</v>
      </c>
    </row>
    <row r="58">
      <c r="A58" s="243" t="inlineStr">
        <is>
          <t xml:space="preserve">  HP:GP 비율(HP) 분기실측</t>
        </is>
      </c>
      <c r="C58" s="244" t="n">
        <v>0.253304</v>
      </c>
      <c r="D58" s="244" t="n">
        <v>0.246081</v>
      </c>
      <c r="E58" s="244" t="n">
        <v>0.246791</v>
      </c>
      <c r="F58" s="244" t="n">
        <v>0.246833</v>
      </c>
      <c r="G58" s="244" t="n">
        <v>0.240717</v>
      </c>
      <c r="H58" s="244" t="n">
        <v>0.236667</v>
      </c>
      <c r="I58" s="244" t="n">
        <v>0.23406</v>
      </c>
      <c r="J58" s="244" t="n">
        <v>0.235439</v>
      </c>
      <c r="K58" s="244" t="n">
        <v>0.23569</v>
      </c>
      <c r="L58" s="244" t="n">
        <v>0.240672</v>
      </c>
      <c r="M58" s="244" t="n">
        <v>0.244033</v>
      </c>
      <c r="N58" s="244" t="n">
        <v>0.251649</v>
      </c>
      <c r="O58" s="244" t="n">
        <v>0.24779</v>
      </c>
      <c r="P58" s="244" t="n">
        <v>0.246049</v>
      </c>
      <c r="Q58" s="244" t="n">
        <v>0.247133</v>
      </c>
      <c r="R58" s="244" t="n">
        <v>0.25156</v>
      </c>
      <c r="S58" s="244" t="n">
        <v>0.244824</v>
      </c>
      <c r="T58" s="244" t="n">
        <v>0.243403</v>
      </c>
      <c r="U58" s="244" t="n">
        <v>0.23681</v>
      </c>
      <c r="V58" s="244" t="n">
        <v>0.235871</v>
      </c>
      <c r="W58" s="244" t="n">
        <v>0.228495</v>
      </c>
      <c r="X58" s="244" t="n">
        <v>0.229326</v>
      </c>
    </row>
    <row r="59">
      <c r="A59" s="243" t="inlineStr">
        <is>
          <t xml:space="preserve">  logit(floor=0.22 고정) 변환값 = LN((y-floor)/(1-y))</t>
        </is>
      </c>
      <c r="C59" s="244" t="n">
        <v>-3.109980631230925</v>
      </c>
      <c r="D59" s="244" t="n">
        <v>-3.364077855299915</v>
      </c>
      <c r="E59" s="244" t="n">
        <v>-3.336276735508309</v>
      </c>
      <c r="F59" s="244" t="n">
        <v>-3.334654509439917</v>
      </c>
      <c r="G59" s="244" t="n">
        <v>-3.60141994766226</v>
      </c>
      <c r="H59" s="244" t="n">
        <v>-3.824263654638819</v>
      </c>
      <c r="I59" s="244" t="n">
        <v>-3.997769951308475</v>
      </c>
      <c r="J59" s="244" t="n">
        <v>-3.902405037239101</v>
      </c>
      <c r="K59" s="244" t="n">
        <v>-3.885949899285895</v>
      </c>
      <c r="L59" s="244" t="n">
        <v>-3.603653704009156</v>
      </c>
      <c r="M59" s="244" t="n">
        <v>-3.44856983853207</v>
      </c>
      <c r="N59" s="244" t="n">
        <v>-3.163165566732982</v>
      </c>
      <c r="O59" s="244" t="n">
        <v>-3.298339296530067</v>
      </c>
      <c r="P59" s="244" t="n">
        <v>-3.365347999412209</v>
      </c>
      <c r="Q59" s="244" t="n">
        <v>-3.323137886120871</v>
      </c>
      <c r="R59" s="244" t="n">
        <v>-3.166100544348358</v>
      </c>
      <c r="S59" s="244" t="n">
        <v>-3.41513990751921</v>
      </c>
      <c r="T59" s="244" t="n">
        <v>-3.475966527809724</v>
      </c>
      <c r="U59" s="244" t="n">
        <v>-3.815533069902345</v>
      </c>
      <c r="V59" s="244" t="n">
        <v>-3.874243078555391</v>
      </c>
      <c r="W59" s="244" t="n">
        <v>-4.508865397539719</v>
      </c>
      <c r="X59" s="244" t="n">
        <v>-4.41445925826369</v>
      </c>
    </row>
    <row r="60">
      <c r="A60" s="243" t="inlineStr">
        <is>
          <t xml:space="preserve">  Original비율(HP) x100 (직접선형회귀용)</t>
        </is>
      </c>
      <c r="B60" s="244">
        <f>B51*100</f>
        <v/>
      </c>
      <c r="C60" s="244">
        <f>C51*100</f>
        <v/>
      </c>
      <c r="D60" s="244">
        <f>D51*100</f>
        <v/>
      </c>
      <c r="E60" s="244">
        <f>E51*100</f>
        <v/>
      </c>
      <c r="F60" s="244">
        <f>F51*100</f>
        <v/>
      </c>
      <c r="G60" s="244">
        <f>G51*100</f>
        <v/>
      </c>
      <c r="H60" s="244">
        <f>H51*100</f>
        <v/>
      </c>
      <c r="I60" s="244">
        <f>I51*100</f>
        <v/>
      </c>
      <c r="J60" s="244">
        <f>J51*100</f>
        <v/>
      </c>
      <c r="K60" s="244">
        <f>K51*100</f>
        <v/>
      </c>
      <c r="L60" s="244">
        <f>L51*100</f>
        <v/>
      </c>
      <c r="M60" s="244">
        <f>M51*100</f>
        <v/>
      </c>
      <c r="N60" s="244">
        <f>N51*100</f>
        <v/>
      </c>
      <c r="O60" s="244">
        <f>O51*100</f>
        <v/>
      </c>
      <c r="P60" s="244">
        <f>P51*100</f>
        <v/>
      </c>
      <c r="Q60" s="244">
        <f>Q51*100</f>
        <v/>
      </c>
      <c r="R60" s="244">
        <f>R51*100</f>
        <v/>
      </c>
      <c r="S60" s="244">
        <f>S51*100</f>
        <v/>
      </c>
      <c r="T60" s="244">
        <f>T51*100</f>
        <v/>
      </c>
      <c r="U60" s="244">
        <f>U51*100</f>
        <v/>
      </c>
      <c r="V60" s="244">
        <f>V51*100</f>
        <v/>
      </c>
      <c r="W60" s="244">
        <f>W51*100</f>
        <v/>
      </c>
      <c r="X60" s="244">
        <f>X51*100</f>
        <v/>
      </c>
      <c r="Y60" s="244">
        <f>Y51*100</f>
        <v/>
      </c>
      <c r="Z60" s="244">
        <f>Z51*100</f>
        <v/>
      </c>
      <c r="AA60" s="244">
        <f>AA51*100</f>
        <v/>
      </c>
      <c r="AB60" s="244">
        <f>AB51*100</f>
        <v/>
      </c>
      <c r="AC60" s="244">
        <f>AC51*100</f>
        <v/>
      </c>
      <c r="AD60" s="244">
        <f>AD51*100</f>
        <v/>
      </c>
      <c r="AE60" s="244">
        <f>AE51*100</f>
        <v/>
      </c>
      <c r="AF60" s="244">
        <f>AF51*100</f>
        <v/>
      </c>
      <c r="AG60" s="244">
        <f>AG51*100</f>
        <v/>
      </c>
      <c r="AH60" s="244">
        <f>AH51*100</f>
        <v/>
      </c>
    </row>
    <row r="61">
      <c r="A61" s="243" t="inlineStr">
        <is>
          <t xml:space="preserve">  Olmesartan(GP) logit(floor=0.379 고정) 변환값 = LN((y-floor)/(1-y))</t>
        </is>
      </c>
      <c r="B61" s="244">
        <f>LN((B52-0.379)/(1-B52))</f>
        <v/>
      </c>
      <c r="C61" s="244">
        <f>LN((C52-0.379)/(1-C52))</f>
        <v/>
      </c>
      <c r="D61" s="244">
        <f>LN((D52-0.379)/(1-D52))</f>
        <v/>
      </c>
      <c r="E61" s="244">
        <f>LN((E52-0.379)/(1-E52))</f>
        <v/>
      </c>
      <c r="F61" s="244">
        <f>LN((F52-0.379)/(1-F52))</f>
        <v/>
      </c>
      <c r="G61" s="244">
        <f>LN((G52-0.379)/(1-G52))</f>
        <v/>
      </c>
      <c r="H61" s="244">
        <f>LN((H52-0.379)/(1-H52))</f>
        <v/>
      </c>
      <c r="I61" s="244">
        <f>LN((I52-0.379)/(1-I52))</f>
        <v/>
      </c>
      <c r="J61" s="244">
        <f>LN((J52-0.379)/(1-J52))</f>
        <v/>
      </c>
      <c r="K61" s="244">
        <f>LN((K52-0.379)/(1-K52))</f>
        <v/>
      </c>
      <c r="L61" s="244">
        <f>LN((L52-0.379)/(1-L52))</f>
        <v/>
      </c>
      <c r="M61" s="244">
        <f>LN((M52-0.379)/(1-M52))</f>
        <v/>
      </c>
      <c r="N61" s="244">
        <f>LN((N52-0.379)/(1-N52))</f>
        <v/>
      </c>
      <c r="O61" s="244">
        <f>LN((O52-0.379)/(1-O52))</f>
        <v/>
      </c>
      <c r="P61" s="244">
        <f>LN((P52-0.379)/(1-P52))</f>
        <v/>
      </c>
      <c r="Q61" s="244">
        <f>LN((Q52-0.379)/(1-Q52))</f>
        <v/>
      </c>
      <c r="R61" s="244">
        <f>LN((R52-0.379)/(1-R52))</f>
        <v/>
      </c>
      <c r="S61" s="244">
        <f>LN((S52-0.379)/(1-S52))</f>
        <v/>
      </c>
      <c r="T61" s="244">
        <f>LN((T52-0.379)/(1-T52))</f>
        <v/>
      </c>
      <c r="U61" s="244">
        <f>LN((U52-0.379)/(1-U52))</f>
        <v/>
      </c>
      <c r="V61" s="244">
        <f>LN((V52-0.379)/(1-V52))</f>
        <v/>
      </c>
      <c r="W61" s="244">
        <f>LN((W52-0.379)/(1-W52))</f>
        <v/>
      </c>
      <c r="X61" s="244">
        <f>LN((X52-0.379)/(1-X52))</f>
        <v/>
      </c>
      <c r="Y61" s="244">
        <f>LN((Y52-0.379)/(1-Y52))</f>
        <v/>
      </c>
      <c r="Z61" s="244">
        <f>LN((Z52-0.379)/(1-Z52))</f>
        <v/>
      </c>
      <c r="AA61" s="244">
        <f>LN((AA52-0.379)/(1-AA52))</f>
        <v/>
      </c>
      <c r="AB61" s="244">
        <f>LN((AB52-0.379)/(1-AB52))</f>
        <v/>
      </c>
      <c r="AC61" s="244">
        <f>LN((AC52-0.379)/(1-AC52))</f>
        <v/>
      </c>
      <c r="AD61" s="244">
        <f>LN((AD52-0.379)/(1-AD52))</f>
        <v/>
      </c>
      <c r="AE61" s="244">
        <f>LN((AE52-0.379)/(1-AE52))</f>
        <v/>
      </c>
      <c r="AF61" s="244">
        <f>LN((AF52-0.379)/(1-AF52))</f>
        <v/>
      </c>
      <c r="AG61" s="244">
        <f>LN((AG52-0.379)/(1-AG52))</f>
        <v/>
      </c>
      <c r="AH61" s="244">
        <f>LN((AH52-0.379)/(1-AH52))</f>
        <v/>
      </c>
    </row>
    <row r="62">
      <c r="A62" s="243" t="inlineStr">
        <is>
          <t xml:space="preserve">  Original비율(GP) logit 변환값 = LN(y/(1-y))</t>
        </is>
      </c>
      <c r="B62" s="244">
        <f>IFERROR(LN(B53/(1-B53)),"")</f>
        <v/>
      </c>
      <c r="C62" s="244">
        <f>IFERROR(LN(C53/(1-C53)),"")</f>
        <v/>
      </c>
      <c r="D62" s="244">
        <f>IFERROR(LN(D53/(1-D53)),"")</f>
        <v/>
      </c>
      <c r="E62" s="244">
        <f>IFERROR(LN(E53/(1-E53)),"")</f>
        <v/>
      </c>
      <c r="F62" s="244">
        <f>IFERROR(LN(F53/(1-F53)),"")</f>
        <v/>
      </c>
      <c r="G62" s="244">
        <f>IFERROR(LN(G53/(1-G53)),"")</f>
        <v/>
      </c>
      <c r="H62" s="244">
        <f>IFERROR(LN(H53/(1-H53)),"")</f>
        <v/>
      </c>
      <c r="I62" s="244">
        <f>IFERROR(LN(I53/(1-I53)),"")</f>
        <v/>
      </c>
      <c r="J62" s="244">
        <f>IFERROR(LN(J53/(1-J53)),"")</f>
        <v/>
      </c>
      <c r="K62" s="244">
        <f>IFERROR(LN(K53/(1-K53)),"")</f>
        <v/>
      </c>
      <c r="L62" s="244">
        <f>IFERROR(LN(L53/(1-L53)),"")</f>
        <v/>
      </c>
      <c r="M62" s="244">
        <f>IFERROR(LN(M53/(1-M53)),"")</f>
        <v/>
      </c>
      <c r="N62" s="244">
        <f>IFERROR(LN(N53/(1-N53)),"")</f>
        <v/>
      </c>
      <c r="O62" s="244">
        <f>IFERROR(LN(O53/(1-O53)),"")</f>
        <v/>
      </c>
      <c r="P62" s="244">
        <f>IFERROR(LN(P53/(1-P53)),"")</f>
        <v/>
      </c>
      <c r="Q62" s="244">
        <f>IFERROR(LN(Q53/(1-Q53)),"")</f>
        <v/>
      </c>
      <c r="R62" s="244">
        <f>IFERROR(LN(R53/(1-R53)),"")</f>
        <v/>
      </c>
      <c r="S62" s="244">
        <f>IFERROR(LN(S53/(1-S53)),"")</f>
        <v/>
      </c>
      <c r="T62" s="244">
        <f>IFERROR(LN(T53/(1-T53)),"")</f>
        <v/>
      </c>
      <c r="U62" s="244">
        <f>IFERROR(LN(U53/(1-U53)),"")</f>
        <v/>
      </c>
      <c r="V62" s="244">
        <f>IFERROR(LN(V53/(1-V53)),"")</f>
        <v/>
      </c>
      <c r="W62" s="244">
        <f>IFERROR(LN(W53/(1-W53)),"")</f>
        <v/>
      </c>
      <c r="X62" s="244">
        <f>IFERROR(LN(X53/(1-X53)),"")</f>
        <v/>
      </c>
      <c r="Y62" s="244">
        <f>IFERROR(LN(Y53/(1-Y53)),"")</f>
        <v/>
      </c>
      <c r="Z62" s="244">
        <f>IFERROR(LN(Z53/(1-Z53)),"")</f>
        <v/>
      </c>
      <c r="AA62" s="244">
        <f>IFERROR(LN(AA53/(1-AA53)),"")</f>
        <v/>
      </c>
      <c r="AB62" s="244">
        <f>IFERROR(LN(AB53/(1-AB53)),"")</f>
        <v/>
      </c>
      <c r="AC62" s="244">
        <f>IFERROR(LN(AC53/(1-AC53)),"")</f>
        <v/>
      </c>
      <c r="AD62" s="244">
        <f>IFERROR(LN(AD53/(1-AD53)),"")</f>
        <v/>
      </c>
      <c r="AE62" s="244">
        <f>IFERROR(LN(AE53/(1-AE53)),"")</f>
        <v/>
      </c>
      <c r="AF62" s="244">
        <f>IFERROR(LN(AF53/(1-AF53)),"")</f>
        <v/>
      </c>
      <c r="AG62" s="244">
        <f>IFERROR(LN(AG53/(1-AG53)),"")</f>
        <v/>
      </c>
      <c r="AH62" s="244">
        <f>IFERROR(LN(AH53/(1-AH53)),"")</f>
        <v/>
      </c>
    </row>
    <row r="64">
      <c r="A64" s="242" t="inlineStr">
        <is>
          <t>★ [부록] 분기별 예측 스테이징 (FY2026~2030, 각 4분기 — J:N 예측셀은 이 4개 평균)</t>
        </is>
      </c>
    </row>
    <row r="65">
      <c r="A65" s="245" t="inlineStr">
        <is>
          <t>구분 / 분기 ▶</t>
        </is>
      </c>
      <c r="B65" s="245" t="inlineStr">
        <is>
          <t>FY2026Q1</t>
        </is>
      </c>
      <c r="C65" s="245" t="inlineStr">
        <is>
          <t>FY2026Q2</t>
        </is>
      </c>
      <c r="D65" s="245" t="inlineStr">
        <is>
          <t>FY2026Q3</t>
        </is>
      </c>
      <c r="E65" s="245" t="inlineStr">
        <is>
          <t>FY2026Q4</t>
        </is>
      </c>
      <c r="F65" s="245" t="inlineStr">
        <is>
          <t>FY2027Q1</t>
        </is>
      </c>
      <c r="G65" s="245" t="inlineStr">
        <is>
          <t>FY2027Q2</t>
        </is>
      </c>
      <c r="H65" s="245" t="inlineStr">
        <is>
          <t>FY2027Q3</t>
        </is>
      </c>
      <c r="I65" s="245" t="inlineStr">
        <is>
          <t>FY2027Q4</t>
        </is>
      </c>
      <c r="J65" s="245" t="inlineStr">
        <is>
          <t>FY2028Q1</t>
        </is>
      </c>
      <c r="K65" s="245" t="inlineStr">
        <is>
          <t>FY2028Q2</t>
        </is>
      </c>
      <c r="L65" s="245" t="inlineStr">
        <is>
          <t>FY2028Q3</t>
        </is>
      </c>
      <c r="M65" s="245" t="inlineStr">
        <is>
          <t>FY2028Q4</t>
        </is>
      </c>
      <c r="N65" s="245" t="inlineStr">
        <is>
          <t>FY2029Q1</t>
        </is>
      </c>
      <c r="O65" s="245" t="inlineStr">
        <is>
          <t>FY2029Q2</t>
        </is>
      </c>
      <c r="P65" s="245" t="inlineStr">
        <is>
          <t>FY2029Q3</t>
        </is>
      </c>
      <c r="Q65" s="245" t="inlineStr">
        <is>
          <t>FY2029Q4</t>
        </is>
      </c>
      <c r="R65" s="245" t="inlineStr">
        <is>
          <t>FY2030Q1</t>
        </is>
      </c>
      <c r="S65" s="245" t="inlineStr">
        <is>
          <t>FY2030Q2</t>
        </is>
      </c>
      <c r="T65" s="245" t="inlineStr">
        <is>
          <t>FY2030Q3</t>
        </is>
      </c>
      <c r="U65" s="245" t="inlineStr">
        <is>
          <t>FY2030Q4</t>
        </is>
      </c>
    </row>
    <row r="66">
      <c r="A66" s="246" t="inlineStr">
        <is>
          <t xml:space="preserve">  HP:GP 비율</t>
        </is>
      </c>
      <c r="B66" s="426" t="n">
        <v>0.229325772995746</v>
      </c>
      <c r="C66" s="247">
        <f>($D$35+EXP(($E$35*(2026+0.25)+$F$35+$G$35)))/(1+EXP(($E$35*(2026+0.25)+$F$35+$G$35)))</f>
        <v/>
      </c>
      <c r="D66" s="247">
        <f>($D$35+EXP(($E$35*(2026+0.5)+$F$35+$G$35)))/(1+EXP(($E$35*(2026+0.5)+$F$35+$G$35)))</f>
        <v/>
      </c>
      <c r="E66" s="247">
        <f>($D$35+EXP(($E$35*(2026+0.75)+$F$35+$G$35)))/(1+EXP(($E$35*(2026+0.75)+$F$35+$G$35)))</f>
        <v/>
      </c>
      <c r="F66" s="247">
        <f>($D$35+EXP(($E$35*(2027+0)+$F$35+$G$35)))/(1+EXP(($E$35*(2027+0)+$F$35+$G$35)))</f>
        <v/>
      </c>
      <c r="G66" s="247">
        <f>($D$35+EXP(($E$35*(2027+0.25)+$F$35+$G$35)))/(1+EXP(($E$35*(2027+0.25)+$F$35+$G$35)))</f>
        <v/>
      </c>
      <c r="H66" s="247">
        <f>($D$35+EXP(($E$35*(2027+0.5)+$F$35+$G$35)))/(1+EXP(($E$35*(2027+0.5)+$F$35+$G$35)))</f>
        <v/>
      </c>
      <c r="I66" s="247">
        <f>($D$35+EXP(($E$35*(2027+0.75)+$F$35+$G$35)))/(1+EXP(($E$35*(2027+0.75)+$F$35+$G$35)))</f>
        <v/>
      </c>
      <c r="J66" s="247">
        <f>($D$35+EXP(($E$35*(2028+0)+$F$35+$G$35)))/(1+EXP(($E$35*(2028+0)+$F$35+$G$35)))</f>
        <v/>
      </c>
      <c r="K66" s="247">
        <f>($D$35+EXP(($E$35*(2028+0.25)+$F$35+$G$35)))/(1+EXP(($E$35*(2028+0.25)+$F$35+$G$35)))</f>
        <v/>
      </c>
      <c r="L66" s="247">
        <f>($D$35+EXP(($E$35*(2028+0.5)+$F$35+$G$35)))/(1+EXP(($E$35*(2028+0.5)+$F$35+$G$35)))</f>
        <v/>
      </c>
      <c r="M66" s="247">
        <f>($D$35+EXP(($E$35*(2028+0.75)+$F$35+$G$35)))/(1+EXP(($E$35*(2028+0.75)+$F$35+$G$35)))</f>
        <v/>
      </c>
      <c r="N66" s="247">
        <f>($D$35+EXP(($E$35*(2029+0)+$F$35+$G$35)))/(1+EXP(($E$35*(2029+0)+$F$35+$G$35)))</f>
        <v/>
      </c>
      <c r="O66" s="247">
        <f>($D$35+EXP(($E$35*(2029+0.25)+$F$35+$G$35)))/(1+EXP(($E$35*(2029+0.25)+$F$35+$G$35)))</f>
        <v/>
      </c>
      <c r="P66" s="247">
        <f>($D$35+EXP(($E$35*(2029+0.5)+$F$35+$G$35)))/(1+EXP(($E$35*(2029+0.5)+$F$35+$G$35)))</f>
        <v/>
      </c>
      <c r="Q66" s="247">
        <f>($D$35+EXP(($E$35*(2029+0.75)+$F$35+$G$35)))/(1+EXP(($E$35*(2029+0.75)+$F$35+$G$35)))</f>
        <v/>
      </c>
      <c r="R66" s="247">
        <f>($D$35+EXP(($E$35*(2030+0)+$F$35+$G$35)))/(1+EXP(($E$35*(2030+0)+$F$35+$G$35)))</f>
        <v/>
      </c>
      <c r="S66" s="247">
        <f>($D$35+EXP(($E$35*(2030+0.25)+$F$35+$G$35)))/(1+EXP(($E$35*(2030+0.25)+$F$35+$G$35)))</f>
        <v/>
      </c>
      <c r="T66" s="247">
        <f>($D$35+EXP(($E$35*(2030+0.5)+$F$35+$G$35)))/(1+EXP(($E$35*(2030+0.5)+$F$35+$G$35)))</f>
        <v/>
      </c>
      <c r="U66" s="247">
        <f>($D$35+EXP(($E$35*(2030+0.75)+$F$35+$G$35)))/(1+EXP(($E$35*(2030+0.75)+$F$35+$G$35)))</f>
        <v/>
      </c>
    </row>
    <row r="67">
      <c r="A67" s="246" t="inlineStr">
        <is>
          <t xml:space="preserve">  Olmesartan MS (HP)</t>
        </is>
      </c>
      <c r="B67" s="426" t="n">
        <v>0.478402186710604</v>
      </c>
      <c r="C67" s="427">
        <f>$D$36+(1-$D$36)/(1+EXP(-$E$36*((2026+0.25)-$F$36)))+$G$36</f>
        <v/>
      </c>
      <c r="D67" s="427">
        <f>$D$36+(1-$D$36)/(1+EXP(-$E$36*((2026+0.5)-$F$36)))+$G$36</f>
        <v/>
      </c>
      <c r="E67" s="427">
        <f>$D$36+(1-$D$36)/(1+EXP(-$E$36*((2026+0.75)-$F$36)))+$G$36</f>
        <v/>
      </c>
      <c r="F67" s="427">
        <f>$D$36+(1-$D$36)/(1+EXP(-$E$36*((2027+0)-$F$36)))+$G$36</f>
        <v/>
      </c>
      <c r="G67" s="427">
        <f>$D$36+(1-$D$36)/(1+EXP(-$E$36*((2027+0.25)-$F$36)))+$G$36</f>
        <v/>
      </c>
      <c r="H67" s="427">
        <f>$D$36+(1-$D$36)/(1+EXP(-$E$36*((2027+0.5)-$F$36)))+$G$36</f>
        <v/>
      </c>
      <c r="I67" s="427">
        <f>$D$36+(1-$D$36)/(1+EXP(-$E$36*((2027+0.75)-$F$36)))+$G$36</f>
        <v/>
      </c>
      <c r="J67" s="427">
        <f>$D$36+(1-$D$36)/(1+EXP(-$E$36*((2028+0)-$F$36)))+$G$36</f>
        <v/>
      </c>
      <c r="K67" s="427">
        <f>$D$36+(1-$D$36)/(1+EXP(-$E$36*((2028+0.25)-$F$36)))+$G$36</f>
        <v/>
      </c>
      <c r="L67" s="427">
        <f>$D$36+(1-$D$36)/(1+EXP(-$E$36*((2028+0.5)-$F$36)))+$G$36</f>
        <v/>
      </c>
      <c r="M67" s="427">
        <f>$D$36+(1-$D$36)/(1+EXP(-$E$36*((2028+0.75)-$F$36)))+$G$36</f>
        <v/>
      </c>
      <c r="N67" s="427">
        <f>$D$36+(1-$D$36)/(1+EXP(-$E$36*((2029+0)-$F$36)))+$G$36</f>
        <v/>
      </c>
      <c r="O67" s="427">
        <f>$D$36+(1-$D$36)/(1+EXP(-$E$36*((2029+0.25)-$F$36)))+$G$36</f>
        <v/>
      </c>
      <c r="P67" s="427">
        <f>$D$36+(1-$D$36)/(1+EXP(-$E$36*((2029+0.5)-$F$36)))+$G$36</f>
        <v/>
      </c>
      <c r="Q67" s="427">
        <f>$D$36+(1-$D$36)/(1+EXP(-$E$36*((2029+0.75)-$F$36)))+$G$36</f>
        <v/>
      </c>
      <c r="R67" s="427">
        <f>$D$36+(1-$D$36)/(1+EXP(-$E$36*((2030+0)-$F$36)))+$G$36</f>
        <v/>
      </c>
      <c r="S67" s="427">
        <f>$D$36+(1-$D$36)/(1+EXP(-$E$36*((2030+0.25)-$F$36)))+$G$36</f>
        <v/>
      </c>
      <c r="T67" s="427">
        <f>$D$36+(1-$D$36)/(1+EXP(-$E$36*((2030+0.5)-$F$36)))+$G$36</f>
        <v/>
      </c>
      <c r="U67" s="427">
        <f>$D$36+(1-$D$36)/(1+EXP(-$E$36*((2030+0.75)-$F$36)))+$G$36</f>
        <v/>
      </c>
    </row>
    <row r="68">
      <c r="A68" s="246" t="inlineStr">
        <is>
          <t xml:space="preserve">  Original 비율 (HP)</t>
        </is>
      </c>
      <c r="B68" s="426" t="n">
        <v>0.935887948273181</v>
      </c>
      <c r="C68" s="247">
        <f>($E$37*(2026+0.25)+$F$37+$G$37)/100</f>
        <v/>
      </c>
      <c r="D68" s="247">
        <f>($E$37*(2026+0.5)+$F$37+$G$37)/100</f>
        <v/>
      </c>
      <c r="E68" s="247">
        <f>($E$37*(2026+0.75)+$F$37+$G$37)/100</f>
        <v/>
      </c>
      <c r="F68" s="247">
        <f>($E$37*(2027+0)+$F$37+$G$37)/100</f>
        <v/>
      </c>
      <c r="G68" s="247">
        <f>($E$37*(2027+0.25)+$F$37+$G$37)/100</f>
        <v/>
      </c>
      <c r="H68" s="247">
        <f>($E$37*(2027+0.5)+$F$37+$G$37)/100</f>
        <v/>
      </c>
      <c r="I68" s="247">
        <f>($E$37*(2027+0.75)+$F$37+$G$37)/100</f>
        <v/>
      </c>
      <c r="J68" s="247">
        <f>($E$37*(2028+0)+$F$37+$G$37)/100</f>
        <v/>
      </c>
      <c r="K68" s="247">
        <f>($E$37*(2028+0.25)+$F$37+$G$37)/100</f>
        <v/>
      </c>
      <c r="L68" s="247">
        <f>($E$37*(2028+0.5)+$F$37+$G$37)/100</f>
        <v/>
      </c>
      <c r="M68" s="247">
        <f>($E$37*(2028+0.75)+$F$37+$G$37)/100</f>
        <v/>
      </c>
      <c r="N68" s="247">
        <f>($E$37*(2029+0)+$F$37+$G$37)/100</f>
        <v/>
      </c>
      <c r="O68" s="247">
        <f>($E$37*(2029+0.25)+$F$37+$G$37)/100</f>
        <v/>
      </c>
      <c r="P68" s="247">
        <f>($E$37*(2029+0.5)+$F$37+$G$37)/100</f>
        <v/>
      </c>
      <c r="Q68" s="247">
        <f>($E$37*(2029+0.75)+$F$37+$G$37)/100</f>
        <v/>
      </c>
      <c r="R68" s="247">
        <f>($E$37*(2030+0)+$F$37+$G$37)/100</f>
        <v/>
      </c>
      <c r="S68" s="247">
        <f>($E$37*(2030+0.25)+$F$37+$G$37)/100</f>
        <v/>
      </c>
      <c r="T68" s="247">
        <f>($E$37*(2030+0.5)+$F$37+$G$37)/100</f>
        <v/>
      </c>
      <c r="U68" s="247">
        <f>($E$37*(2030+0.75)+$F$37+$G$37)/100</f>
        <v/>
      </c>
    </row>
    <row r="69">
      <c r="A69" s="246" t="inlineStr">
        <is>
          <t xml:space="preserve">  Olmesartan MS (GP)</t>
        </is>
      </c>
      <c r="B69" s="426" t="n">
        <v>0.41337603009705</v>
      </c>
      <c r="C69" s="247">
        <f>$D$38+(1-$D$38)/(1+EXP(-($E$38*(2026+0.25)+$F$38)))</f>
        <v/>
      </c>
      <c r="D69" s="247">
        <f>$D$38+(1-$D$38)/(1+EXP(-($E$38*(2026+0.5)+$F$38)))</f>
        <v/>
      </c>
      <c r="E69" s="247">
        <f>$D$38+(1-$D$38)/(1+EXP(-($E$38*(2026+0.75)+$F$38)))</f>
        <v/>
      </c>
      <c r="F69" s="247">
        <f>E69</f>
        <v/>
      </c>
      <c r="G69" s="247">
        <f>F69</f>
        <v/>
      </c>
      <c r="H69" s="247">
        <f>G69</f>
        <v/>
      </c>
      <c r="I69" s="247">
        <f>H69</f>
        <v/>
      </c>
      <c r="J69" s="247">
        <f>I69</f>
        <v/>
      </c>
      <c r="K69" s="247">
        <f>J69</f>
        <v/>
      </c>
      <c r="L69" s="247">
        <f>K69</f>
        <v/>
      </c>
      <c r="M69" s="247">
        <f>L69</f>
        <v/>
      </c>
      <c r="N69" s="247">
        <f>M69</f>
        <v/>
      </c>
      <c r="O69" s="247">
        <f>N69</f>
        <v/>
      </c>
      <c r="P69" s="247">
        <f>O69</f>
        <v/>
      </c>
      <c r="Q69" s="247">
        <f>P69</f>
        <v/>
      </c>
      <c r="R69" s="247">
        <f>Q69</f>
        <v/>
      </c>
      <c r="S69" s="247">
        <f>R69</f>
        <v/>
      </c>
      <c r="T69" s="247">
        <f>S69</f>
        <v/>
      </c>
      <c r="U69" s="247">
        <f>T69</f>
        <v/>
      </c>
    </row>
    <row r="70">
      <c r="A70" s="246" t="inlineStr">
        <is>
          <t xml:space="preserve">  Original 비율 (GP)</t>
        </is>
      </c>
      <c r="B70" s="426" t="n">
        <v>0.496517580158298</v>
      </c>
      <c r="C70" s="247">
        <f>EXP(($E$39*(2026+0.25)+$F$39+$G$39))/(1+EXP(($E$39*(2026+0.25)+$F$39+$G$39)))</f>
        <v/>
      </c>
      <c r="D70" s="247">
        <f>EXP(($E$39*(2026+0.5)+$F$39+$G$39))/(1+EXP(($E$39*(2026+0.5)+$F$39+$G$39)))</f>
        <v/>
      </c>
      <c r="E70" s="247">
        <f>EXP(($E$39*(2026+0.75)+$F$39+$G$39))/(1+EXP(($E$39*(2026+0.75)+$F$39+$G$39)))</f>
        <v/>
      </c>
      <c r="F70" s="247">
        <f>EXP(($E$39*(2027+0)+$F$39+$G$39))/(1+EXP(($E$39*(2027+0)+$F$39+$G$39)))</f>
        <v/>
      </c>
      <c r="G70" s="247">
        <f>EXP(($E$39*(2027+0.25)+$F$39+$G$39))/(1+EXP(($E$39*(2027+0.25)+$F$39+$G$39)))</f>
        <v/>
      </c>
      <c r="H70" s="247">
        <f>EXP(($E$39*(2027+0.5)+$F$39+$G$39))/(1+EXP(($E$39*(2027+0.5)+$F$39+$G$39)))</f>
        <v/>
      </c>
      <c r="I70" s="247">
        <f>EXP(($E$39*(2027+0.75)+$F$39+$G$39))/(1+EXP(($E$39*(2027+0.75)+$F$39+$G$39)))</f>
        <v/>
      </c>
      <c r="J70" s="247">
        <f>EXP(($E$39*(2028+0)+$F$39+$G$39))/(1+EXP(($E$39*(2028+0)+$F$39+$G$39)))</f>
        <v/>
      </c>
      <c r="K70" s="247">
        <f>EXP(($E$39*(2028+0.25)+$F$39+$G$39))/(1+EXP(($E$39*(2028+0.25)+$F$39+$G$39)))</f>
        <v/>
      </c>
      <c r="L70" s="247">
        <f>EXP(($E$39*(2028+0.5)+$F$39+$G$39))/(1+EXP(($E$39*(2028+0.5)+$F$39+$G$39)))</f>
        <v/>
      </c>
      <c r="M70" s="247">
        <f>EXP(($E$39*(2028+0.75)+$F$39+$G$39))/(1+EXP(($E$39*(2028+0.75)+$F$39+$G$39)))</f>
        <v/>
      </c>
      <c r="N70" s="247">
        <f>EXP(($E$39*(2029+0)+$F$39+$G$39))/(1+EXP(($E$39*(2029+0)+$F$39+$G$39)))</f>
        <v/>
      </c>
      <c r="O70" s="247">
        <f>EXP(($E$39*(2029+0.25)+$F$39+$G$39))/(1+EXP(($E$39*(2029+0.25)+$F$39+$G$39)))</f>
        <v/>
      </c>
      <c r="P70" s="247">
        <f>EXP(($E$39*(2029+0.5)+$F$39+$G$39))/(1+EXP(($E$39*(2029+0.5)+$F$39+$G$39)))</f>
        <v/>
      </c>
      <c r="Q70" s="247">
        <f>EXP(($E$39*(2029+0.75)+$F$39+$G$39))/(1+EXP(($E$39*(2029+0.75)+$F$39+$G$39)))</f>
        <v/>
      </c>
      <c r="R70" s="247">
        <f>EXP(($E$39*(2030+0)+$F$39+$G$39))/(1+EXP(($E$39*(2030+0)+$F$39+$G$39)))</f>
        <v/>
      </c>
      <c r="S70" s="247">
        <f>EXP(($E$39*(2030+0.25)+$F$39+$G$39))/(1+EXP(($E$39*(2030+0.25)+$F$39+$G$39)))</f>
        <v/>
      </c>
      <c r="T70" s="247">
        <f>EXP(($E$39*(2030+0.5)+$F$39+$G$39))/(1+EXP(($E$39*(2030+0.5)+$F$39+$G$39)))</f>
        <v/>
      </c>
      <c r="U70" s="247">
        <f>EXP(($E$39*(2030+0.75)+$F$39+$G$39))/(1+EXP(($E$39*(2030+0.75)+$F$39+$G$39)))</f>
        <v/>
      </c>
    </row>
    <row r="72">
      <c r="A72" s="51" t="inlineStr">
        <is>
          <t xml:space="preserve">※ 출처 : UBIST(2018~2025), BI 자체 추정 </t>
        </is>
      </c>
    </row>
    <row r="73">
      <c r="A73" s="52" t="inlineStr">
        <is>
          <t>※ 범례</t>
        </is>
      </c>
    </row>
    <row r="74">
      <c r="A74" s="53" t="inlineStr">
        <is>
          <t>· 외부 입력 데이터: 청색(Blue) 표기</t>
        </is>
      </c>
    </row>
    <row r="75">
      <c r="A75" s="53" t="inlineStr">
        <is>
          <t>· 예측 변수(또는 예측치): 녹색(Green) 표기</t>
        </is>
      </c>
    </row>
    <row r="76">
      <c r="A76" s="53" t="inlineStr">
        <is>
          <t>· 최종 산출 결과: 황색(Yellow) 음영 행</t>
        </is>
      </c>
    </row>
  </sheetData>
  <mergeCells count="13">
    <mergeCell ref="J39:K39"/>
    <mergeCell ref="H39:I39"/>
    <mergeCell ref="J35:K35"/>
    <mergeCell ref="H35:I35"/>
    <mergeCell ref="H34:I34"/>
    <mergeCell ref="J34:K34"/>
    <mergeCell ref="H38:I38"/>
    <mergeCell ref="J38:K38"/>
    <mergeCell ref="J37:K37"/>
    <mergeCell ref="H37:I37"/>
    <mergeCell ref="H36:I36"/>
    <mergeCell ref="J36:K3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C0C0"/>
    <outlinePr summaryBelow="1" summaryRight="1"/>
    <pageSetUpPr/>
  </sheetPr>
  <dimension ref="A1:AH120"/>
  <sheetViews>
    <sheetView showGridLines="0" tabSelected="0" zoomScaleNormal="100" workbookViewId="0">
      <selection activeCell="K23" sqref="K23:O23"/>
    </sheetView>
  </sheetViews>
  <sheetFormatPr baseColWidth="8" defaultColWidth="8.5" defaultRowHeight="16.5"/>
  <cols>
    <col width="54.25" customWidth="1" style="9" min="1" max="1"/>
    <col width="13.375" customWidth="1" style="9" min="2" max="2"/>
    <col width="12.25" customWidth="1" style="9" min="3" max="15"/>
  </cols>
  <sheetData>
    <row r="1" ht="16.5" customHeight="1" s="9">
      <c r="A1" s="0" t="inlineStr">
        <is>
          <t>ARB 시장 구조 예측 모델  |  파라미터·예측 통합</t>
        </is>
      </c>
      <c r="C1" s="0" t="inlineStr">
        <is>
          <t>FY기준</t>
        </is>
      </c>
    </row>
    <row r="2" ht="16.5" customHeight="1" s="9">
      <c r="A2" s="54" t="inlineStr">
        <is>
          <t>항목</t>
        </is>
      </c>
      <c r="B2" s="54" t="inlineStr">
        <is>
          <t>단위</t>
        </is>
      </c>
      <c r="C2" s="0" t="n">
        <v>2018</v>
      </c>
      <c r="D2" s="0" t="n">
        <v>2019</v>
      </c>
      <c r="E2" s="0" t="n">
        <v>2020</v>
      </c>
      <c r="F2" s="0" t="n">
        <v>2021</v>
      </c>
      <c r="G2" s="0" t="n">
        <v>2022</v>
      </c>
      <c r="H2" s="0" t="n">
        <v>2023</v>
      </c>
      <c r="I2" s="0" t="n">
        <v>2024</v>
      </c>
      <c r="J2" s="0" t="n">
        <v>2025</v>
      </c>
      <c r="K2" s="0" t="n">
        <v>2026</v>
      </c>
      <c r="L2" s="0" t="n">
        <v>2027</v>
      </c>
      <c r="M2" s="0" t="n">
        <v>2028</v>
      </c>
      <c r="N2" s="0" t="n">
        <v>2029</v>
      </c>
      <c r="O2" s="0" t="n">
        <v>2030</v>
      </c>
    </row>
    <row r="3" ht="16.5" customHeight="1" s="9">
      <c r="A3" s="0" t="inlineStr">
        <is>
          <t>A. 전체 ARB 시장</t>
        </is>
      </c>
    </row>
    <row r="4" ht="16.5" customHeight="1" s="9">
      <c r="A4" s="54" t="inlineStr">
        <is>
          <t xml:space="preserve">  전체 시장</t>
        </is>
      </c>
      <c r="B4" s="54" t="inlineStr">
        <is>
          <t>처방량</t>
        </is>
      </c>
      <c r="C4" s="43" t="n">
        <v>2060974764.82</v>
      </c>
      <c r="D4" s="43" t="n">
        <v>2197022240.85</v>
      </c>
      <c r="E4" s="43" t="n">
        <v>2331565239.93</v>
      </c>
      <c r="F4" s="43" t="n">
        <v>2493296870.01</v>
      </c>
      <c r="G4" s="43" t="n">
        <v>2641048248.08</v>
      </c>
      <c r="H4" s="43" t="n">
        <v>2778028703.13</v>
      </c>
      <c r="I4" s="43" t="n">
        <v>2918267885.01</v>
      </c>
      <c r="J4" s="43" t="n">
        <v>3003677566.44</v>
      </c>
      <c r="K4" s="43">
        <f>근거_ARB처방량!R9</f>
        <v/>
      </c>
      <c r="L4" s="43">
        <f>근거_ARB처방량!S9</f>
        <v/>
      </c>
      <c r="M4" s="43">
        <f>근거_ARB처방량!T9</f>
        <v/>
      </c>
      <c r="N4" s="43">
        <f>근거_ARB처방량!U9</f>
        <v/>
      </c>
      <c r="O4" s="43">
        <f>근거_ARB처방량!V9</f>
        <v/>
      </c>
    </row>
    <row r="6" ht="16.5" customHeight="1" s="9">
      <c r="A6" s="0" t="inlineStr">
        <is>
          <t>B. ARB 처방중 단일제/복합제 비율  |  예측(2026-30): 복합제(비다중, MAIN)는 로지스틱(하한) 개별 자유적합, 단일제는 추세 비유의(p=0.337)로 8년 평균 고정, 복합제(다중)는 100%-나머지2개 잔여값. 근거: 하단 [참고] 표</t>
        </is>
      </c>
    </row>
    <row r="7" ht="16.5" customHeight="1" s="9">
      <c r="A7" s="54" t="inlineStr">
        <is>
          <t>단일제</t>
        </is>
      </c>
      <c r="B7" s="0" t="inlineStr">
        <is>
          <t>%</t>
        </is>
      </c>
      <c r="C7" s="390" t="n">
        <v>0.351071311449654</v>
      </c>
      <c r="D7" s="390" t="n">
        <v>0.351636990757594</v>
      </c>
      <c r="E7" s="390" t="n">
        <v>0.346668457780005</v>
      </c>
      <c r="F7" s="390" t="n">
        <v>0.343921101916981</v>
      </c>
      <c r="G7" s="390" t="n">
        <v>0.345001646366136</v>
      </c>
      <c r="H7" s="390" t="n">
        <v>0.348286236153667</v>
      </c>
      <c r="I7" s="390" t="n">
        <v>0.353182816270641</v>
      </c>
      <c r="J7" s="390" t="n">
        <v>0.358216841981229</v>
      </c>
      <c r="K7" s="390">
        <f>$C$60</f>
        <v/>
      </c>
      <c r="L7" s="390">
        <f>$C$60</f>
        <v/>
      </c>
      <c r="M7" s="390">
        <f>$C$60</f>
        <v/>
      </c>
      <c r="N7" s="390">
        <f>$C$60</f>
        <v/>
      </c>
      <c r="O7" s="390">
        <f>$C$60</f>
        <v/>
      </c>
    </row>
    <row r="8" ht="16.5" customHeight="1" s="9">
      <c r="A8" s="80" t="inlineStr">
        <is>
          <t>복합제 (심혈관 질환 다중요법 목적의 복합제제 제외)</t>
        </is>
      </c>
      <c r="B8" s="81" t="inlineStr">
        <is>
          <t>%</t>
        </is>
      </c>
      <c r="C8" s="428" t="n">
        <v>0.606258722294024</v>
      </c>
      <c r="D8" s="428" t="n">
        <v>0.6021911547413999</v>
      </c>
      <c r="E8" s="428" t="n">
        <v>0.6001022775635509</v>
      </c>
      <c r="F8" s="428" t="n">
        <v>0.598517497013508</v>
      </c>
      <c r="G8" s="428" t="n">
        <v>0.598509298532936</v>
      </c>
      <c r="H8" s="428" t="n">
        <v>0.596880838121565</v>
      </c>
      <c r="I8" s="428" t="n">
        <v>0.594680209440078</v>
      </c>
      <c r="J8" s="428" t="n">
        <v>0.595173130589651</v>
      </c>
      <c r="K8" s="390">
        <f>$C$59+(1-$C$59)/(1+EXP(-$D$59*(K$2-$E$59)))+$F$59</f>
        <v/>
      </c>
      <c r="L8" s="390">
        <f>$C$59+(1-$C$59)/(1+EXP(-$D$59*(L$2-$E$59)))+$F$59</f>
        <v/>
      </c>
      <c r="M8" s="390">
        <f>$C$59+(1-$C$59)/(1+EXP(-$D$59*(M$2-$E$59)))+$F$59</f>
        <v/>
      </c>
      <c r="N8" s="390">
        <f>$C$59+(1-$C$59)/(1+EXP(-$D$59*(N$2-$E$59)))+$F$59</f>
        <v/>
      </c>
      <c r="O8" s="390">
        <f>$C$59+(1-$C$59)/(1+EXP(-$D$59*(O$2-$E$59)))+$F$59</f>
        <v/>
      </c>
    </row>
    <row r="9" ht="16.5" customHeight="1" s="9">
      <c r="A9" s="54" t="inlineStr">
        <is>
          <t>복합제 (심혈관 질환 다중요법 목적의 복합제제)</t>
        </is>
      </c>
      <c r="B9" s="0" t="inlineStr">
        <is>
          <t>%</t>
        </is>
      </c>
      <c r="C9" s="390" t="n">
        <v>0.0426699662563217</v>
      </c>
      <c r="D9" s="390" t="n">
        <v>0.0461718545010058</v>
      </c>
      <c r="E9" s="390" t="n">
        <v>0.0532292646564443</v>
      </c>
      <c r="F9" s="390" t="n">
        <v>0.0575614010695101</v>
      </c>
      <c r="G9" s="390" t="n">
        <v>0.0564890551009278</v>
      </c>
      <c r="H9" s="390" t="n">
        <v>0.0548329257247678</v>
      </c>
      <c r="I9" s="390" t="n">
        <v>0.0521369742892807</v>
      </c>
      <c r="J9" s="390" t="n">
        <v>0.0466100274291198</v>
      </c>
      <c r="K9" s="390">
        <f>1-(K7+K8)</f>
        <v/>
      </c>
      <c r="L9" s="390">
        <f>1-(L7+L8)</f>
        <v/>
      </c>
      <c r="M9" s="390">
        <f>1-(M7+M8)</f>
        <v/>
      </c>
      <c r="N9" s="390">
        <f>1-(N7+N8)</f>
        <v/>
      </c>
      <c r="O9" s="390">
        <f>1-(O7+O8)</f>
        <v/>
      </c>
    </row>
    <row r="11" ht="16.5" customHeight="1" s="9">
      <c r="A11" s="0" t="inlineStr">
        <is>
          <t>C. ARB 복합제 중 특정 조합 비율  |  예측(2026-30): ARB+CCB·ARB+CCB+DU·ARB+DU는 로지스틱(S-curve) 개별 자유적합, 기타는 100%-나머지3개 잔여값으로 산출(잔여값이 실측 기타와 최대오차 0.2%p로 근접해 타당성 확인). 근거: 하단 [참고] 표</t>
        </is>
      </c>
    </row>
    <row r="12" ht="16.5" customHeight="1" s="9">
      <c r="A12" s="0" t="inlineStr">
        <is>
          <t>ARB+DU 복합제</t>
        </is>
      </c>
      <c r="B12" s="0" t="inlineStr">
        <is>
          <t>%</t>
        </is>
      </c>
      <c r="C12" s="390" t="n">
        <v>0.325254305688117</v>
      </c>
      <c r="D12" s="390" t="n">
        <v>0.29403023444523</v>
      </c>
      <c r="E12" s="390" t="n">
        <v>0.268818374511446</v>
      </c>
      <c r="F12" s="390" t="n">
        <v>0.242947819269961</v>
      </c>
      <c r="G12" s="390" t="n">
        <v>0.219802971224037</v>
      </c>
      <c r="H12" s="390" t="n">
        <v>0.204167947787957</v>
      </c>
      <c r="I12" s="390" t="n">
        <v>0.188799804739041</v>
      </c>
      <c r="J12" s="390" t="n">
        <v>0.173529582050262</v>
      </c>
      <c r="K12" s="390">
        <f>$C$66+(1-$C$66)/(1+EXP(-$D$66*(K$2-$E$66)))+$F$66</f>
        <v/>
      </c>
      <c r="L12" s="390">
        <f>$C$66+(1-$C$66)/(1+EXP(-$D$66*(L$2-$E$66)))+$F$66</f>
        <v/>
      </c>
      <c r="M12" s="390">
        <f>$C$66+(1-$C$66)/(1+EXP(-$D$66*(M$2-$E$66)))+$F$66</f>
        <v/>
      </c>
      <c r="N12" s="390">
        <f>$C$66+(1-$C$66)/(1+EXP(-$D$66*(N$2-$E$66)))+$F$66</f>
        <v/>
      </c>
      <c r="O12" s="390">
        <f>$C$66+(1-$C$66)/(1+EXP(-$D$66*(O$2-$E$66)))+$F$66</f>
        <v/>
      </c>
    </row>
    <row r="13" ht="16.5" customHeight="1" s="9">
      <c r="A13" s="83" t="inlineStr">
        <is>
          <t>ARB+CCB 복합제</t>
        </is>
      </c>
      <c r="B13" s="81" t="inlineStr">
        <is>
          <t>%</t>
        </is>
      </c>
      <c r="C13" s="428" t="n">
        <v>0.627126548074215</v>
      </c>
      <c r="D13" s="428" t="n">
        <v>0.642467715410724</v>
      </c>
      <c r="E13" s="428" t="n">
        <v>0.650016379464139</v>
      </c>
      <c r="F13" s="428" t="n">
        <v>0.664471484530792</v>
      </c>
      <c r="G13" s="428" t="n">
        <v>0.672998710047475</v>
      </c>
      <c r="H13" s="428" t="n">
        <v>0.676614841581904</v>
      </c>
      <c r="I13" s="428" t="n">
        <v>0.6838019928836681</v>
      </c>
      <c r="J13" s="428" t="n">
        <v>0.692463538928242</v>
      </c>
      <c r="K13" s="390">
        <f>$C$64/(1+EXP(-$D$64*(K$2-$E$64)))+$F$64</f>
        <v/>
      </c>
      <c r="L13" s="390">
        <f>$C$64/(1+EXP(-$D$64*(L$2-$E$64)))+$F$64</f>
        <v/>
      </c>
      <c r="M13" s="390">
        <f>$C$64/(1+EXP(-$D$64*(M$2-$E$64)))+$F$64</f>
        <v/>
      </c>
      <c r="N13" s="390">
        <f>$C$64/(1+EXP(-$D$64*(N$2-$E$64)))+$F$64</f>
        <v/>
      </c>
      <c r="O13" s="390">
        <f>$C$64/(1+EXP(-$D$64*(O$2-$E$64)))+$F$64</f>
        <v/>
      </c>
    </row>
    <row r="14" ht="16.5" customHeight="1" s="9">
      <c r="A14" s="83" t="inlineStr">
        <is>
          <t>ARB+CCB+DU 복합제</t>
        </is>
      </c>
      <c r="B14" s="81" t="inlineStr">
        <is>
          <t>%</t>
        </is>
      </c>
      <c r="C14" s="428" t="n">
        <v>0.0448549343629028</v>
      </c>
      <c r="D14" s="428" t="n">
        <v>0.0578943434154243</v>
      </c>
      <c r="E14" s="428" t="n">
        <v>0.0727171496576534</v>
      </c>
      <c r="F14" s="428" t="n">
        <v>0.08105930826331489</v>
      </c>
      <c r="G14" s="428" t="n">
        <v>0.0915813186327973</v>
      </c>
      <c r="H14" s="428" t="n">
        <v>0.0985499521038767</v>
      </c>
      <c r="I14" s="428" t="n">
        <v>0.101759356177742</v>
      </c>
      <c r="J14" s="428" t="n">
        <v>0.105371339631793</v>
      </c>
      <c r="K14" s="429">
        <f>$C$65/(1+EXP(-$D$65*(K$2-$E$65)))+$F$65</f>
        <v/>
      </c>
      <c r="L14" s="429">
        <f>$C$65/(1+EXP(-$D$65*(L$2-$E$65)))+$F$65</f>
        <v/>
      </c>
      <c r="M14" s="429">
        <f>$C$65/(1+EXP(-$D$65*(M$2-$E$65)))+$F$65</f>
        <v/>
      </c>
      <c r="N14" s="429">
        <f>$C$65/(1+EXP(-$D$65*(N$2-$E$65)))+$F$65</f>
        <v/>
      </c>
      <c r="O14" s="429">
        <f>$C$65/(1+EXP(-$D$65*(O$2-$E$65)))+$F$65</f>
        <v/>
      </c>
    </row>
    <row r="15" ht="16.5" customHeight="1" s="9">
      <c r="A15" s="54" t="inlineStr">
        <is>
          <t>기타 복합제</t>
        </is>
      </c>
      <c r="B15" s="0" t="inlineStr">
        <is>
          <t>%</t>
        </is>
      </c>
      <c r="C15" s="390" t="n">
        <v>0.00276421187476505</v>
      </c>
      <c r="D15" s="390" t="n">
        <v>0.00560770672862153</v>
      </c>
      <c r="E15" s="390" t="n">
        <v>0.00844809636676145</v>
      </c>
      <c r="F15" s="390" t="n">
        <v>0.0115213879359336</v>
      </c>
      <c r="G15" s="390" t="n">
        <v>0.0156170000956898</v>
      </c>
      <c r="H15" s="390" t="n">
        <v>0.0206672585262632</v>
      </c>
      <c r="I15" s="390" t="n">
        <v>0.0256388461995503</v>
      </c>
      <c r="J15" s="390" t="n">
        <v>0.0286355393897019</v>
      </c>
      <c r="K15" s="429">
        <f>1-(K12+K13+K14)</f>
        <v/>
      </c>
      <c r="L15" s="429">
        <f>1-(L12+L13+L14)</f>
        <v/>
      </c>
      <c r="M15" s="429">
        <f>1-(M12+M13+M14)</f>
        <v/>
      </c>
      <c r="N15" s="429">
        <f>1-(N12+N13+N14)</f>
        <v/>
      </c>
      <c r="O15" s="429">
        <f>1-(O12+O13+O14)</f>
        <v/>
      </c>
    </row>
    <row r="16" ht="16.5" customHeight="1" s="9">
      <c r="A16" s="54" t="inlineStr">
        <is>
          <t xml:space="preserve">  합계 확인</t>
        </is>
      </c>
      <c r="B16" s="0" t="inlineStr">
        <is>
          <t>%</t>
        </is>
      </c>
      <c r="C16" s="390">
        <f>SUM(C12:C15)</f>
        <v/>
      </c>
      <c r="D16" s="390">
        <f>SUM(D12:D15)</f>
        <v/>
      </c>
      <c r="E16" s="390">
        <f>SUM(E12:E15)</f>
        <v/>
      </c>
      <c r="F16" s="390">
        <f>SUM(F12:F15)</f>
        <v/>
      </c>
      <c r="G16" s="390">
        <f>SUM(G12:G15)</f>
        <v/>
      </c>
      <c r="H16" s="390">
        <f>SUM(H12:H15)</f>
        <v/>
      </c>
      <c r="I16" s="390">
        <f>SUM(I12:I15)</f>
        <v/>
      </c>
      <c r="J16" s="390">
        <f>SUM(J12:J15)</f>
        <v/>
      </c>
      <c r="K16" s="401">
        <f>SUM(K12:K15)</f>
        <v/>
      </c>
      <c r="L16" s="401">
        <f>SUM(L12:L15)</f>
        <v/>
      </c>
      <c r="M16" s="401">
        <f>SUM(M12:M15)</f>
        <v/>
      </c>
      <c r="N16" s="401">
        <f>SUM(N12:N15)</f>
        <v/>
      </c>
      <c r="O16" s="401">
        <f>SUM(O12:O15)</f>
        <v/>
      </c>
    </row>
    <row r="17" ht="16.5" customHeight="1" s="9">
      <c r="C17" s="398" t="n"/>
      <c r="D17" s="398" t="n"/>
      <c r="E17" s="398" t="n"/>
      <c r="F17" s="398" t="n"/>
      <c r="G17" s="398" t="n"/>
      <c r="H17" s="398" t="n"/>
      <c r="I17" s="398" t="n"/>
      <c r="J17" s="398" t="n"/>
      <c r="K17" s="398" t="n"/>
      <c r="L17" s="398" t="n"/>
      <c r="M17" s="398" t="n"/>
      <c r="N17" s="398" t="n"/>
      <c r="O17" s="398" t="n"/>
    </row>
    <row r="18" ht="16.5" customHeight="1" s="9">
      <c r="A18" s="0" t="inlineStr">
        <is>
          <t>D. ARB+CCB+DU 복합제: HP/GP 비율  |  예측(2026-30): 최근5년(2021-25) 평균고정(사실상 정체). 근거: 하단 [참고] 표</t>
        </is>
      </c>
    </row>
    <row r="19" ht="16.5" customHeight="1" s="9">
      <c r="A19" s="0" t="inlineStr">
        <is>
          <t>HP</t>
        </is>
      </c>
      <c r="B19" s="0" t="inlineStr">
        <is>
          <t>%</t>
        </is>
      </c>
      <c r="C19" s="390" t="n">
        <v>0.350336330970754</v>
      </c>
      <c r="D19" s="390" t="n">
        <v>0.306557670469796</v>
      </c>
      <c r="E19" s="390" t="n">
        <v>0.256954875524191</v>
      </c>
      <c r="F19" s="390" t="n">
        <v>0.245059921159281</v>
      </c>
      <c r="G19" s="390" t="n">
        <v>0.235452903370122</v>
      </c>
      <c r="H19" s="390" t="n">
        <v>0.246099969979893</v>
      </c>
      <c r="I19" s="390" t="n">
        <v>0.247431402619439</v>
      </c>
      <c r="J19" s="390" t="n">
        <v>0.2359709892361</v>
      </c>
      <c r="K19" s="430">
        <f>(INDEX($C$118:$CZ$118,COUNTA($C$118:$CZ$118))+($G$70+(1-$G$70)/(1+EXP(-($C$70*2026.25+$D$70+$F$70))))+($G$70+(1-$G$70)/(1+EXP(-($C$70*2026.5+$D$70+$F$70))))+($G$70+(1-$G$70)/(1+EXP(-($C$70*2026.75+$D$70+$F$70)))))/4</f>
        <v/>
      </c>
      <c r="L19" s="430">
        <f>(($G$70+(1-$G$70)/(1+EXP(-($C$70*2027+$D$70+$F$70))))+($G$70+(1-$G$70)/(1+EXP(-($C$70*2027.25+$D$70+$F$70))))+($G$70+(1-$G$70)/(1+EXP(-($C$70*2027.5+$D$70+$F$70))))+($G$70+(1-$G$70)/(1+EXP(-($C$70*2027.75+$D$70+$F$70)))))/4</f>
        <v/>
      </c>
      <c r="M19" s="430">
        <f>(($G$70+(1-$G$70)/(1+EXP(-($C$70*2028+$D$70+$F$70))))+($G$70+(1-$G$70)/(1+EXP(-($C$70*2028.25+$D$70+$F$70))))+($G$70+(1-$G$70)/(1+EXP(-($C$70*2028.5+$D$70+$F$70))))+($G$70+(1-$G$70)/(1+EXP(-($C$70*2028.75+$D$70+$F$70)))))/4</f>
        <v/>
      </c>
      <c r="N19" s="430">
        <f>(($G$70+(1-$G$70)/(1+EXP(-($C$70*2029+$D$70+$F$70))))+($G$70+(1-$G$70)/(1+EXP(-($C$70*2029.25+$D$70+$F$70))))+($G$70+(1-$G$70)/(1+EXP(-($C$70*2029.5+$D$70+$F$70))))+($G$70+(1-$G$70)/(1+EXP(-($C$70*2029.75+$D$70+$F$70)))))/4</f>
        <v/>
      </c>
      <c r="O19" s="430">
        <f>(($G$70+(1-$G$70)/(1+EXP(-($C$70*2030+$D$70+$F$70))))+($G$70+(1-$G$70)/(1+EXP(-($C$70*2030.25+$D$70+$F$70))))+($G$70+(1-$G$70)/(1+EXP(-($C$70*2030.5+$D$70+$F$70))))+($G$70+(1-$G$70)/(1+EXP(-($C$70*2030.75+$D$70+$F$70)))))/4</f>
        <v/>
      </c>
    </row>
    <row r="20" ht="16.5" customHeight="1" s="9">
      <c r="A20" s="0" t="inlineStr">
        <is>
          <t>GP</t>
        </is>
      </c>
      <c r="B20" s="0" t="inlineStr">
        <is>
          <t>%</t>
        </is>
      </c>
      <c r="C20" s="390" t="n">
        <v>0.649663669029246</v>
      </c>
      <c r="D20" s="390" t="n">
        <v>0.693442329530204</v>
      </c>
      <c r="E20" s="390" t="n">
        <v>0.7430451244758089</v>
      </c>
      <c r="F20" s="390" t="n">
        <v>0.754940078840719</v>
      </c>
      <c r="G20" s="390" t="n">
        <v>0.764547096629878</v>
      </c>
      <c r="H20" s="390" t="n">
        <v>0.753900030020107</v>
      </c>
      <c r="I20" s="390" t="n">
        <v>0.752568597380561</v>
      </c>
      <c r="J20" s="390" t="n">
        <v>0.7640290107639</v>
      </c>
      <c r="K20" s="430">
        <f>1-K19</f>
        <v/>
      </c>
      <c r="L20" s="430">
        <f>1-L19</f>
        <v/>
      </c>
      <c r="M20" s="430">
        <f>1-M19</f>
        <v/>
      </c>
      <c r="N20" s="430">
        <f>1-N19</f>
        <v/>
      </c>
      <c r="O20" s="430">
        <f>1-O19</f>
        <v/>
      </c>
    </row>
    <row r="22" ht="16.5" customHeight="1" s="9">
      <c r="A22" s="136" t="inlineStr">
        <is>
          <t>E. ARB+CCB+DU 복합제 / HP/ 성분별 비율  |  예측(2026-30): olmesartan[MAIN]=로지스틱(하한), FY2026은 1분기 실측+분기 추세 블렌드로 계산방식 통일(기존 단일점 대입 방식 폐기), fimasartan=로지스틱(상한), telmisartan=선형회귀, valsartan=가정치, losartan=잔여값. 근거: 하단 [참고] 표</t>
        </is>
      </c>
    </row>
    <row r="23" ht="16.5" customHeight="1" s="9">
      <c r="A23" s="85" t="inlineStr">
        <is>
          <t>olmesartan</t>
        </is>
      </c>
      <c r="B23" s="81" t="inlineStr">
        <is>
          <t>%</t>
        </is>
      </c>
      <c r="C23" s="86" t="n">
        <v>0.88632324895485</v>
      </c>
      <c r="D23" s="86" t="n">
        <v>0.790443315525205</v>
      </c>
      <c r="E23" s="86" t="n">
        <v>0.697583535500402</v>
      </c>
      <c r="F23" s="86" t="n">
        <v>0.667412595538492</v>
      </c>
      <c r="G23" s="86" t="n">
        <v>0.6358245114690551</v>
      </c>
      <c r="H23" s="86" t="n">
        <v>0.556859846181903</v>
      </c>
      <c r="I23" s="86" t="n">
        <v>0.518509224271903</v>
      </c>
      <c r="J23" s="86" t="n">
        <v>0.500997063556048</v>
      </c>
      <c r="K23" s="431">
        <f>(INDEX($B$98:$CZ$98,COUNTA($B$98:$CZ$98))+($C$73+(1-$C$73)/(1+EXP(-$D$73*(K$2+0.25-$E$73)))+$F$73)+($C$73+(1-$C$73)/(1+EXP(-$D$73*(K$2+0.5-$E$73)))+$F$73)+($C$73+(1-$C$73)/(1+EXP(-$D$73*(K$2+0.75-$E$73)))+$F$73))/4</f>
        <v/>
      </c>
      <c r="L23" s="431">
        <f>(($C$73+(1-$C$73)/(1+EXP(-$D$73*(L$2-$E$73)))+$F$73)+($C$73+(1-$C$73)/(1+EXP(-$D$73*(L$2+0.25-$E$73)))+$F$73)+($C$73+(1-$C$73)/(1+EXP(-$D$73*(L$2+0.5-$E$73)))+$F$73)+($C$73+(1-$C$73)/(1+EXP(-$D$73*(L$2+0.75-$E$73)))+$F$73))/4</f>
        <v/>
      </c>
      <c r="M23" s="431">
        <f>(($C$73+(1-$C$73)/(1+EXP(-$D$73*(M$2-$E$73)))+$F$73)+($C$73+(1-$C$73)/(1+EXP(-$D$73*(M$2+0.25-$E$73)))+$F$73)+($C$73+(1-$C$73)/(1+EXP(-$D$73*(M$2+0.5-$E$73)))+$F$73)+($C$73+(1-$C$73)/(1+EXP(-$D$73*(M$2+0.75-$E$73)))+$F$73))/4</f>
        <v/>
      </c>
      <c r="N23" s="431">
        <f>(($C$73+(1-$C$73)/(1+EXP(-$D$73*(N$2-$E$73)))+$F$73)+($C$73+(1-$C$73)/(1+EXP(-$D$73*(N$2+0.25-$E$73)))+$F$73)+($C$73+(1-$C$73)/(1+EXP(-$D$73*(N$2+0.5-$E$73)))+$F$73)+($C$73+(1-$C$73)/(1+EXP(-$D$73*(N$2+0.75-$E$73)))+$F$73))/4</f>
        <v/>
      </c>
      <c r="O23" s="431">
        <f>(($C$73+(1-$C$73)/(1+EXP(-$D$73*(O$2-$E$73)))+$F$73)+($C$73+(1-$C$73)/(1+EXP(-$D$73*(O$2+0.25-$E$73)))+$F$73)+($C$73+(1-$C$73)/(1+EXP(-$D$73*(O$2+0.5-$E$73)))+$F$73)+($C$73+(1-$C$73)/(1+EXP(-$D$73*(O$2+0.75-$E$73)))+$F$73))/4</f>
        <v/>
      </c>
      <c r="P23" s="0" t="inlineStr">
        <is>
          <t>[MAIN][26~30: 로지스틱(하한 47.0%)]</t>
        </is>
      </c>
    </row>
    <row r="24" ht="16.5" customHeight="1" s="9">
      <c r="A24" s="0" t="inlineStr">
        <is>
          <t>fimasartan</t>
        </is>
      </c>
      <c r="B24" s="0" t="inlineStr">
        <is>
          <t>%</t>
        </is>
      </c>
      <c r="C24" s="74" t="n">
        <v>0</v>
      </c>
      <c r="D24" s="74" t="n">
        <v>0</v>
      </c>
      <c r="E24" s="74" t="n">
        <v>0</v>
      </c>
      <c r="F24" s="74" t="n">
        <v>0</v>
      </c>
      <c r="G24" s="74" t="n">
        <v>0.0450006415624975</v>
      </c>
      <c r="H24" s="74" t="n">
        <v>0.15013849748178</v>
      </c>
      <c r="I24" s="74" t="n">
        <v>0.20136216447478</v>
      </c>
      <c r="J24" s="74" t="n">
        <v>0.216025651082755</v>
      </c>
      <c r="K24" s="390">
        <f>$C$74/(1+EXP(-$D$74*(K$2-$E$74)))+$F$74</f>
        <v/>
      </c>
      <c r="L24" s="390">
        <f>$C$74/(1+EXP(-$D$74*(L$2-$E$74)))+$F$74</f>
        <v/>
      </c>
      <c r="M24" s="390">
        <f>$C$74/(1+EXP(-$D$74*(M$2-$E$74)))+$F$74</f>
        <v/>
      </c>
      <c r="N24" s="390">
        <f>$C$74/(1+EXP(-$D$74*(N$2-$E$74)))+$F$74</f>
        <v/>
      </c>
      <c r="O24" s="390">
        <f>$C$74/(1+EXP(-$D$74*(O$2-$E$74)))+$F$74</f>
        <v/>
      </c>
      <c r="P24" s="0" t="inlineStr">
        <is>
          <t>[26~30: 로지스틱(상한 21.6%)]</t>
        </is>
      </c>
    </row>
    <row r="25" ht="16.5" customHeight="1" s="9">
      <c r="A25" s="0" t="inlineStr">
        <is>
          <t>losartan</t>
        </is>
      </c>
      <c r="B25" s="0" t="inlineStr">
        <is>
          <t>%</t>
        </is>
      </c>
      <c r="C25" s="74" t="n">
        <v>0.08687682536693379</v>
      </c>
      <c r="D25" s="74" t="n">
        <v>0.16529931183445</v>
      </c>
      <c r="E25" s="74" t="n">
        <v>0.202882557932265</v>
      </c>
      <c r="F25" s="74" t="n">
        <v>0.197423014843103</v>
      </c>
      <c r="G25" s="74" t="n">
        <v>0.181261010889638</v>
      </c>
      <c r="H25" s="74" t="n">
        <v>0.160766685644821</v>
      </c>
      <c r="I25" s="74" t="n">
        <v>0.149565882959704</v>
      </c>
      <c r="J25" s="390" t="n">
        <v>0.157134611384571</v>
      </c>
      <c r="K25" s="390">
        <f>1-(K23+K24+K26+K27)</f>
        <v/>
      </c>
      <c r="L25" s="390">
        <f>1-(L23+L24+L26+L27)</f>
        <v/>
      </c>
      <c r="M25" s="390">
        <f>1-(M23+M24+M26+M27)</f>
        <v/>
      </c>
      <c r="N25" s="390">
        <f>1-(N23+N24+N26+N27)</f>
        <v/>
      </c>
      <c r="O25" s="390">
        <f>1-(O23+O24+O26+O27)</f>
        <v/>
      </c>
      <c r="P25" s="0" t="inlineStr">
        <is>
          <t>[26~30: 잔여값]</t>
        </is>
      </c>
    </row>
    <row r="26" ht="16.5" customHeight="1" s="9">
      <c r="A26" s="0" t="inlineStr">
        <is>
          <t>telmisartan</t>
        </is>
      </c>
      <c r="B26" s="0" t="inlineStr">
        <is>
          <t>%</t>
        </is>
      </c>
      <c r="C26" s="74" t="n">
        <v>0.0267999256782162</v>
      </c>
      <c r="D26" s="74" t="n">
        <v>0.0442573726403448</v>
      </c>
      <c r="E26" s="74" t="n">
        <v>0.0995339065673336</v>
      </c>
      <c r="F26" s="74" t="n">
        <v>0.135164389618406</v>
      </c>
      <c r="G26" s="74" t="n">
        <v>0.13791383607881</v>
      </c>
      <c r="H26" s="74" t="n">
        <v>0.132234970691495</v>
      </c>
      <c r="I26" s="74" t="n">
        <v>0.130562728293613</v>
      </c>
      <c r="J26" s="74" t="n">
        <v>0.12580649517194</v>
      </c>
      <c r="K26" s="390">
        <f>$C$75*K$2+$D$75</f>
        <v/>
      </c>
      <c r="L26" s="390">
        <f>$C$75*L$2+$D$75</f>
        <v/>
      </c>
      <c r="M26" s="390">
        <f>$C$75*M$2+$D$75</f>
        <v/>
      </c>
      <c r="N26" s="390">
        <f>$C$75*N$2+$D$75</f>
        <v/>
      </c>
      <c r="O26" s="390">
        <f>$C$75*O$2+$D$75</f>
        <v/>
      </c>
      <c r="P26" s="0" t="inlineStr">
        <is>
          <t>[26~30: 선형회귀]</t>
        </is>
      </c>
    </row>
    <row r="27" ht="16.5" customHeight="1" s="9">
      <c r="A27" s="0" t="inlineStr">
        <is>
          <t>valsartan</t>
        </is>
      </c>
      <c r="B27" s="0" t="inlineStr">
        <is>
          <t>%</t>
        </is>
      </c>
      <c r="C27" s="74" t="n">
        <v>0</v>
      </c>
      <c r="D27" s="74" t="n">
        <v>0</v>
      </c>
      <c r="E27" s="74" t="n">
        <v>0</v>
      </c>
      <c r="F27" s="74" t="n">
        <v>0</v>
      </c>
      <c r="G27" s="74" t="n">
        <v>0</v>
      </c>
      <c r="H27" s="74" t="n">
        <v>0</v>
      </c>
      <c r="I27" s="74" t="n">
        <v>0</v>
      </c>
      <c r="J27" s="74" t="n">
        <v>3.61788046870598e-05</v>
      </c>
      <c r="K27" s="390">
        <f>$C$76</f>
        <v/>
      </c>
      <c r="L27" s="390">
        <f>$C$76</f>
        <v/>
      </c>
      <c r="M27" s="390">
        <f>$C$76</f>
        <v/>
      </c>
      <c r="N27" s="390">
        <f>$C$76</f>
        <v/>
      </c>
      <c r="O27" s="390">
        <f>$C$76</f>
        <v/>
      </c>
      <c r="P27" s="0" t="inlineStr">
        <is>
          <t>[26~30: 가정치·고정]</t>
        </is>
      </c>
    </row>
    <row r="28" ht="16.5" customHeight="1" s="9">
      <c r="A28" s="87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390" t="n"/>
      <c r="L28" s="390" t="n"/>
      <c r="M28" s="390" t="n"/>
      <c r="N28" s="390" t="n"/>
      <c r="O28" s="390" t="n"/>
    </row>
    <row r="29" ht="16.5" customHeight="1" s="9">
      <c r="A29" s="0" t="inlineStr">
        <is>
          <t>F. ARB+CCB+DU 복합제 / HP/ Olmesartan / Original:generic 비율  |  예측(2026-30): Original[MAIN]=분기실측 기반 FY2020Q1~ 자동확장 직접선형회귀 (연간(2020-25) 방식 폐기, 로짓변환 시 인위적 가속 재확인되어 직접선형 유지). 근거: 하단 [참고] 표</t>
        </is>
      </c>
    </row>
    <row r="30" ht="16.5" customHeight="1" s="9">
      <c r="A30" s="88" t="inlineStr">
        <is>
          <t>Original</t>
        </is>
      </c>
      <c r="B30" s="81" t="inlineStr">
        <is>
          <t>%</t>
        </is>
      </c>
      <c r="C30" s="86" t="n">
        <v>1</v>
      </c>
      <c r="D30" s="86" t="n">
        <v>0.996513626927894</v>
      </c>
      <c r="E30" s="86" t="n">
        <v>0.989698787506203</v>
      </c>
      <c r="F30" s="86" t="n">
        <v>0.979437352952315</v>
      </c>
      <c r="G30" s="86" t="n">
        <v>0.9748144556763541</v>
      </c>
      <c r="H30" s="86" t="n">
        <v>0.96902683029992</v>
      </c>
      <c r="I30" s="86" t="n">
        <v>0.958570658717396</v>
      </c>
      <c r="J30" s="86" t="n">
        <v>0.952689415962103</v>
      </c>
      <c r="K30" s="74">
        <f>(INDEX($B$99:$CZ$99,COUNTA($B$99:$CZ$99))+(($C$81*2026.25+$D$81+$F$81)/100)+(($C$81*2026.5+$D$81+$F$81)/100)+(($C$81*2026.75+$D$81+$F$81)/100))/4</f>
        <v/>
      </c>
      <c r="L30" s="74">
        <f>((($C$81*2027+$D$81+$F$81)/100)+(($C$81*2027.25+$D$81+$F$81)/100)+(($C$81*2027.5+$D$81+$F$81)/100)+(($C$81*2027.75+$D$81+$F$81)/100))/4</f>
        <v/>
      </c>
      <c r="M30" s="74">
        <f>((($C$81*2028+$D$81+$F$81)/100)+(($C$81*2028.25+$D$81+$F$81)/100)+(($C$81*2028.5+$D$81+$F$81)/100)+(($C$81*2028.75+$D$81+$F$81)/100))/4</f>
        <v/>
      </c>
      <c r="N30" s="74">
        <f>((($C$81*2029+$D$81+$F$81)/100)+(($C$81*2029.25+$D$81+$F$81)/100)+(($C$81*2029.5+$D$81+$F$81)/100)+(($C$81*2029.75+$D$81+$F$81)/100))/4</f>
        <v/>
      </c>
      <c r="O30" s="74">
        <f>((($C$81*2030+$D$81+$F$81)/100)+(($C$81*2030.25+$D$81+$F$81)/100)+(($C$81*2030.5+$D$81+$F$81)/100)+(($C$81*2030.75+$D$81+$F$81)/100))/4</f>
        <v/>
      </c>
      <c r="P30" s="0" t="inlineStr">
        <is>
          <t>[MAIN][26~30: 직접 선형회귀]</t>
        </is>
      </c>
    </row>
    <row r="31" ht="16.5" customHeight="1" s="9">
      <c r="A31" s="87" t="inlineStr">
        <is>
          <t>Generic</t>
        </is>
      </c>
      <c r="B31" s="0" t="inlineStr">
        <is>
          <t>%</t>
        </is>
      </c>
      <c r="C31" s="74" t="n">
        <v>0</v>
      </c>
      <c r="D31" s="74" t="n">
        <v>0.00348637307210553</v>
      </c>
      <c r="E31" s="74" t="n">
        <v>0.0103012124937976</v>
      </c>
      <c r="F31" s="74" t="n">
        <v>0.0205626470476855</v>
      </c>
      <c r="G31" s="74" t="n">
        <v>0.0251855443236466</v>
      </c>
      <c r="H31" s="74" t="n">
        <v>0.0309731697000801</v>
      </c>
      <c r="I31" s="74" t="n">
        <v>0.0414293412826036</v>
      </c>
      <c r="J31" s="74" t="n">
        <v>0.0473105840378967</v>
      </c>
      <c r="K31" s="74">
        <f>1-K30</f>
        <v/>
      </c>
      <c r="L31" s="74">
        <f>1-L30</f>
        <v/>
      </c>
      <c r="M31" s="74">
        <f>1-M30</f>
        <v/>
      </c>
      <c r="N31" s="74">
        <f>1-N30</f>
        <v/>
      </c>
      <c r="O31" s="74">
        <f>1-O30</f>
        <v/>
      </c>
      <c r="P31" s="0" t="inlineStr">
        <is>
          <t>[26~30: Original과 대칭]</t>
        </is>
      </c>
    </row>
    <row r="32" ht="16.5" customHeight="1" s="9">
      <c r="C32" s="390" t="n"/>
      <c r="D32" s="390" t="n"/>
      <c r="E32" s="390" t="n"/>
      <c r="F32" s="390" t="n"/>
      <c r="G32" s="390" t="n"/>
      <c r="H32" s="390" t="n"/>
      <c r="I32" s="390" t="n"/>
      <c r="J32" s="390" t="n"/>
    </row>
    <row r="33" ht="16.5" customHeight="1" s="9">
      <c r="A33" s="0" t="inlineStr">
        <is>
          <t>G. ARB+CCB+DU 복합제 / GP/ 성분별 비율  |  예측(2026-30): olmesartan[MAIN]=FY26 1분기까지 분기 실측 기준 로짓 추세 3분기 연장 후 flat(잠정), losartan=선형회귀(최근5년) 폐기 — 분기 실측상 FY25Q1(20.4%, 역대 최저) 저점 찍고 4분기 연속 반등 확인되어 최근 저점권 평균 flat 고정, fimasartan=로지스틱(상한), valsartan=가정치, telmisartan=잔여값(olmesartan·losartan 재조정으로 30% 상한 이내 안착 확인). 근거: 하단 [참고] 표</t>
        </is>
      </c>
    </row>
    <row r="34" ht="16.5" customHeight="1" s="9">
      <c r="A34" s="88" t="inlineStr">
        <is>
          <t>olmesartan</t>
        </is>
      </c>
      <c r="B34" s="81" t="inlineStr">
        <is>
          <t>%</t>
        </is>
      </c>
      <c r="C34" s="86" t="n">
        <v>0.576093071908955</v>
      </c>
      <c r="D34" s="86" t="n">
        <v>0.500896936761708</v>
      </c>
      <c r="E34" s="86" t="n">
        <v>0.452808931081053</v>
      </c>
      <c r="F34" s="86" t="n">
        <v>0.463220648597702</v>
      </c>
      <c r="G34" s="86" t="n">
        <v>0.449018195558326</v>
      </c>
      <c r="H34" s="86" t="n">
        <v>0.445595402153679</v>
      </c>
      <c r="I34" s="86" t="n">
        <v>0.457251590723627</v>
      </c>
      <c r="J34" s="86" t="n">
        <v>0.446997157627387</v>
      </c>
      <c r="K34" s="74">
        <f>(INDEX($B$104:$CZ$104,COUNTA($B$104:$CZ$104))+($C$84+(1-$C$84)/(1+EXP(-($D$84*2026.25+$E$84))))+($C$84+(1-$C$84)/(1+EXP(-($D$84*2026.5+$E$84))))+($C$84+(1-$C$84)/(1+EXP(-($D$84*2026.75+$E$84)))))/4</f>
        <v/>
      </c>
      <c r="L34" s="74">
        <f>($C$84+(1-$C$84)/(1+EXP(-($D$84*2026.75+$E$84))))</f>
        <v/>
      </c>
      <c r="M34" s="74">
        <f>($C$84+(1-$C$84)/(1+EXP(-($D$84*2026.75+$E$84))))</f>
        <v/>
      </c>
      <c r="N34" s="74">
        <f>($C$84+(1-$C$84)/(1+EXP(-($D$84*2026.75+$E$84))))</f>
        <v/>
      </c>
      <c r="O34" s="74">
        <f>($C$84+(1-$C$84)/(1+EXP(-($D$84*2026.75+$E$84))))</f>
        <v/>
      </c>
      <c r="P34" s="0" t="inlineStr">
        <is>
          <t>[MAIN][26~30: 20-25년 평균고정]</t>
        </is>
      </c>
    </row>
    <row r="35" ht="16.5" customHeight="1" s="9">
      <c r="A35" s="87" t="inlineStr">
        <is>
          <t>losartan</t>
        </is>
      </c>
      <c r="B35" s="0" t="inlineStr">
        <is>
          <t>%</t>
        </is>
      </c>
      <c r="C35" s="74" t="n">
        <v>0.339142974912747</v>
      </c>
      <c r="D35" s="74" t="n">
        <v>0.356488639630229</v>
      </c>
      <c r="E35" s="74" t="n">
        <v>0.304402692415302</v>
      </c>
      <c r="F35" s="74" t="n">
        <v>0.284883591555218</v>
      </c>
      <c r="G35" s="74" t="n">
        <v>0.245324026039605</v>
      </c>
      <c r="H35" s="74" t="n">
        <v>0.229733992394962</v>
      </c>
      <c r="I35" s="74" t="n">
        <v>0.213967925398784</v>
      </c>
      <c r="J35" s="74" t="n">
        <v>0.212169390683298</v>
      </c>
      <c r="K35" s="74">
        <f>$C$86</f>
        <v/>
      </c>
      <c r="L35" s="74">
        <f>$C$86</f>
        <v/>
      </c>
      <c r="M35" s="74">
        <f>$C$86</f>
        <v/>
      </c>
      <c r="N35" s="74">
        <f>$C$86</f>
        <v/>
      </c>
      <c r="O35" s="74">
        <f>$C$86</f>
        <v/>
      </c>
      <c r="P35" s="0" t="inlineStr">
        <is>
          <t>[26~30: 선형회귀(최근5년)]</t>
        </is>
      </c>
    </row>
    <row r="36" ht="16.5" customHeight="1" s="9">
      <c r="A36" s="87" t="inlineStr">
        <is>
          <t>telmisartan</t>
        </is>
      </c>
      <c r="B36" s="0" t="inlineStr">
        <is>
          <t>%</t>
        </is>
      </c>
      <c r="C36" s="74" t="n">
        <v>0.0847639531782991</v>
      </c>
      <c r="D36" s="74" t="n">
        <v>0.142614423608063</v>
      </c>
      <c r="E36" s="74" t="n">
        <v>0.242788376503644</v>
      </c>
      <c r="F36" s="74" t="n">
        <v>0.251895759847079</v>
      </c>
      <c r="G36" s="74" t="n">
        <v>0.229234858799047</v>
      </c>
      <c r="H36" s="74" t="n">
        <v>0.213781603292309</v>
      </c>
      <c r="I36" s="74" t="n">
        <v>0.204858777987151</v>
      </c>
      <c r="J36" s="390" t="n">
        <v>0.208165937274728</v>
      </c>
      <c r="K36" s="74">
        <f>1-(K34+K35+K37+K38)</f>
        <v/>
      </c>
      <c r="L36" s="74">
        <f>1-(L34+L35+L37+L38)</f>
        <v/>
      </c>
      <c r="M36" s="74">
        <f>1-(M34+M35+M37+M38)</f>
        <v/>
      </c>
      <c r="N36" s="74">
        <f>1-(N34+N35+N37+N38)</f>
        <v/>
      </c>
      <c r="O36" s="74">
        <f>1-(O34+O35+O37+O38)</f>
        <v/>
      </c>
      <c r="P36" s="0" t="inlineStr">
        <is>
          <t>[26~30: 잔여값]</t>
        </is>
      </c>
    </row>
    <row r="37" ht="16.5" customHeight="1" s="9">
      <c r="A37" s="87" t="inlineStr">
        <is>
          <t>fimasartan</t>
        </is>
      </c>
      <c r="B37" s="0" t="inlineStr">
        <is>
          <t>%</t>
        </is>
      </c>
      <c r="C37" s="74" t="n">
        <v>0</v>
      </c>
      <c r="D37" s="74" t="n">
        <v>0</v>
      </c>
      <c r="E37" s="74" t="n">
        <v>0</v>
      </c>
      <c r="F37" s="74" t="n">
        <v>0</v>
      </c>
      <c r="G37" s="74" t="n">
        <v>0.0764229196030224</v>
      </c>
      <c r="H37" s="74" t="n">
        <v>0.11088900215905</v>
      </c>
      <c r="I37" s="74" t="n">
        <v>0.123921705890439</v>
      </c>
      <c r="J37" s="74" t="n">
        <v>0.130828148527539</v>
      </c>
      <c r="K37" s="74">
        <f>$C$85/(1+EXP(-$D$85*(K$2-$E$85)))+$F$85</f>
        <v/>
      </c>
      <c r="L37" s="74">
        <f>$C$85/(1+EXP(-$D$85*(L$2-$E$85)))+$F$85</f>
        <v/>
      </c>
      <c r="M37" s="74">
        <f>$C$85/(1+EXP(-$D$85*(M$2-$E$85)))+$F$85</f>
        <v/>
      </c>
      <c r="N37" s="74">
        <f>$C$85/(1+EXP(-$D$85*(N$2-$E$85)))+$F$85</f>
        <v/>
      </c>
      <c r="O37" s="74">
        <f>$C$85/(1+EXP(-$D$85*(O$2-$E$85)))+$F$85</f>
        <v/>
      </c>
      <c r="P37" s="0" t="inlineStr">
        <is>
          <t>[26~30: 로지스틱(상한 13.2%)]</t>
        </is>
      </c>
    </row>
    <row r="38" ht="16.5" customHeight="1" s="9">
      <c r="A38" s="87" t="inlineStr">
        <is>
          <t>valsartan</t>
        </is>
      </c>
      <c r="B38" s="0" t="inlineStr">
        <is>
          <t>%</t>
        </is>
      </c>
      <c r="C38" s="74" t="n">
        <v>0</v>
      </c>
      <c r="D38" s="74" t="n">
        <v>0</v>
      </c>
      <c r="E38" s="74" t="n">
        <v>0</v>
      </c>
      <c r="F38" s="74" t="n">
        <v>0</v>
      </c>
      <c r="G38" s="74" t="n">
        <v>0</v>
      </c>
      <c r="H38" s="74" t="n">
        <v>0</v>
      </c>
      <c r="I38" s="74" t="n">
        <v>0</v>
      </c>
      <c r="J38" s="74" t="n">
        <v>0.00183936588704951</v>
      </c>
      <c r="K38" s="74">
        <f>$C$87</f>
        <v/>
      </c>
      <c r="L38" s="74">
        <f>$C$87</f>
        <v/>
      </c>
      <c r="M38" s="74">
        <f>$C$87</f>
        <v/>
      </c>
      <c r="N38" s="74">
        <f>$C$87</f>
        <v/>
      </c>
      <c r="O38" s="74">
        <f>$C$87</f>
        <v/>
      </c>
      <c r="P38" s="0" t="inlineStr">
        <is>
          <t>[26~30: 가정치·고정]</t>
        </is>
      </c>
    </row>
    <row r="39" ht="16.5" customHeight="1" s="9">
      <c r="K39" s="64">
        <f>SUM(K34:K38)</f>
        <v/>
      </c>
      <c r="L39" s="64">
        <f>SUM(L34:L38)</f>
        <v/>
      </c>
      <c r="M39" s="64">
        <f>SUM(M34:M38)</f>
        <v/>
      </c>
      <c r="N39" s="64">
        <f>SUM(N34:N38)</f>
        <v/>
      </c>
      <c r="O39" s="64">
        <f>SUM(O34:O38)</f>
        <v/>
      </c>
    </row>
    <row r="40" ht="16.5" customHeight="1" s="9">
      <c r="A40" s="0" t="inlineStr">
        <is>
          <t>H. ARB+CCB+DU 복합제 / GP/ Olmesartan / Original:generic 비율  |  예측(2026-30): Original[MAIN]=분기실측 기반 FY2019Q1~ 자동확장 로짓 변환 회귀 (연간(최근5년) 방식 폐기). 근거: 하단 [참고] 표</t>
        </is>
      </c>
    </row>
    <row r="41" ht="16.5" customHeight="1" s="9">
      <c r="A41" s="88" t="inlineStr">
        <is>
          <t>Original</t>
        </is>
      </c>
      <c r="B41" s="81" t="inlineStr">
        <is>
          <t>%</t>
        </is>
      </c>
      <c r="C41" s="428" t="n">
        <v>0.999759434291781</v>
      </c>
      <c r="D41" s="428" t="n">
        <v>0.861513692880966</v>
      </c>
      <c r="E41" s="428" t="n">
        <v>0.742995268909848</v>
      </c>
      <c r="F41" s="428" t="n">
        <v>0.681502205477633</v>
      </c>
      <c r="G41" s="428" t="n">
        <v>0.634281341729946</v>
      </c>
      <c r="H41" s="428" t="n">
        <v>0.598684050102536</v>
      </c>
      <c r="I41" s="428" t="n">
        <v>0.561353707283729</v>
      </c>
      <c r="J41" s="428" t="n">
        <v>0.523269421545586</v>
      </c>
      <c r="K41" s="74">
        <f>(INDEX($B$105:$CZ$105,COUNTA($B$105:$CZ$105))+(EXP($C$92*2026.25+$D$92+$F$92)/(1+EXP($C$92*2026.25+$D$92+$F$92)))+(EXP($C$92*2026.5+$D$92+$F$92)/(1+EXP($C$92*2026.5+$D$92+$F$92)))+(EXP($C$92*2026.75+$D$92+$F$92)/(1+EXP($C$92*2026.75+$D$92+$F$92))))/4</f>
        <v/>
      </c>
      <c r="L41" s="74">
        <f>((EXP($C$92*2027+$D$92+$F$92)/(1+EXP($C$92*2027+$D$92+$F$92)))+(EXP($C$92*2027.25+$D$92+$F$92)/(1+EXP($C$92*2027.25+$D$92+$F$92)))+(EXP($C$92*2027.5+$D$92+$F$92)/(1+EXP($C$92*2027.5+$D$92+$F$92)))+(EXP($C$92*2027.75+$D$92+$F$92)/(1+EXP($C$92*2027.75+$D$92+$F$92))))/4</f>
        <v/>
      </c>
      <c r="M41" s="74">
        <f>((EXP($C$92*2028+$D$92+$F$92)/(1+EXP($C$92*2028+$D$92+$F$92)))+(EXP($C$92*2028.25+$D$92+$F$92)/(1+EXP($C$92*2028.25+$D$92+$F$92)))+(EXP($C$92*2028.5+$D$92+$F$92)/(1+EXP($C$92*2028.5+$D$92+$F$92)))+(EXP($C$92*2028.75+$D$92+$F$92)/(1+EXP($C$92*2028.75+$D$92+$F$92))))/4</f>
        <v/>
      </c>
      <c r="N41" s="74">
        <f>((EXP($C$92*2029+$D$92+$F$92)/(1+EXP($C$92*2029+$D$92+$F$92)))+(EXP($C$92*2029.25+$D$92+$F$92)/(1+EXP($C$92*2029.25+$D$92+$F$92)))+(EXP($C$92*2029.5+$D$92+$F$92)/(1+EXP($C$92*2029.5+$D$92+$F$92)))+(EXP($C$92*2029.75+$D$92+$F$92)/(1+EXP($C$92*2029.75+$D$92+$F$92))))/4</f>
        <v/>
      </c>
      <c r="O41" s="74">
        <f>((EXP($C$92*2030+$D$92+$F$92)/(1+EXP($C$92*2030+$D$92+$F$92)))+(EXP($C$92*2030.25+$D$92+$F$92)/(1+EXP($C$92*2030.25+$D$92+$F$92)))+(EXP($C$92*2030.5+$D$92+$F$92)/(1+EXP($C$92*2030.5+$D$92+$F$92)))+(EXP($C$92*2030.75+$D$92+$F$92)/(1+EXP($C$92*2030.75+$D$92+$F$92))))/4</f>
        <v/>
      </c>
      <c r="P41" s="0" t="inlineStr">
        <is>
          <t>[MAIN][26~30: 로짓 변환 회귀(최근5년)]</t>
        </is>
      </c>
    </row>
    <row r="42" ht="16.5" customHeight="1" s="9">
      <c r="A42" s="87" t="inlineStr">
        <is>
          <t>Generic</t>
        </is>
      </c>
      <c r="B42" s="0" t="inlineStr">
        <is>
          <t>%</t>
        </is>
      </c>
      <c r="C42" s="74" t="n">
        <v>0.000240565708219135</v>
      </c>
      <c r="D42" s="74" t="n">
        <v>0.138486307119034</v>
      </c>
      <c r="E42" s="74" t="n">
        <v>0.257004731090153</v>
      </c>
      <c r="F42" s="74" t="n">
        <v>0.318497794522367</v>
      </c>
      <c r="G42" s="74" t="n">
        <v>0.365718658270054</v>
      </c>
      <c r="H42" s="74" t="n">
        <v>0.401315949897464</v>
      </c>
      <c r="I42" s="74" t="n">
        <v>0.43864629271627</v>
      </c>
      <c r="J42" s="74" t="n">
        <v>0.476730578454414</v>
      </c>
      <c r="K42" s="74">
        <f>1-K41</f>
        <v/>
      </c>
      <c r="L42" s="74">
        <f>1-L41</f>
        <v/>
      </c>
      <c r="M42" s="74">
        <f>1-M41</f>
        <v/>
      </c>
      <c r="N42" s="74">
        <f>1-N41</f>
        <v/>
      </c>
      <c r="O42" s="74">
        <f>1-O41</f>
        <v/>
      </c>
      <c r="P42" s="0" t="inlineStr">
        <is>
          <t>[26~30: Original과 대칭]</t>
        </is>
      </c>
    </row>
    <row r="43" ht="16.5" customHeight="1" s="9">
      <c r="A43" s="87" t="n"/>
      <c r="C43" s="74" t="n"/>
      <c r="D43" s="74" t="n"/>
      <c r="E43" s="74" t="n"/>
      <c r="F43" s="74" t="n"/>
      <c r="G43" s="74" t="n"/>
      <c r="H43" s="74" t="n"/>
      <c r="I43" s="74" t="n"/>
      <c r="J43" s="74" t="n"/>
    </row>
    <row r="44" ht="16.5" customHeight="1" s="9">
      <c r="A44" s="0" t="inlineStr">
        <is>
          <t>I. SVK HCT 처방량 실측 및 Forecast (시장 × MS)</t>
        </is>
      </c>
    </row>
    <row r="45" ht="16.5" customHeight="1" s="9">
      <c r="A45" s="0" t="inlineStr">
        <is>
          <t>SVK HCT HP</t>
        </is>
      </c>
      <c r="B45" s="54" t="inlineStr">
        <is>
          <t>처방량</t>
        </is>
      </c>
      <c r="C45" s="398" t="n">
        <v>17402763.5</v>
      </c>
      <c r="D45" s="398" t="n">
        <v>18495714.74</v>
      </c>
      <c r="E45" s="398" t="n">
        <v>18049526.64</v>
      </c>
      <c r="F45" s="398" t="n">
        <v>19377470.61</v>
      </c>
      <c r="G45" s="398" t="n">
        <v>21126006.39</v>
      </c>
      <c r="H45" s="398" t="n">
        <v>21700715.27</v>
      </c>
      <c r="I45" s="398" t="n">
        <v>21717929.92</v>
      </c>
      <c r="J45" s="398" t="n">
        <v>21216036.94</v>
      </c>
      <c r="K45" s="398">
        <f>K4*K8*K14*K19*K23*K30</f>
        <v/>
      </c>
      <c r="L45" s="398">
        <f>L4*L8*L14*L19*L23*L30</f>
        <v/>
      </c>
      <c r="M45" s="398">
        <f>M4*M8*M14*M19*M23*M30</f>
        <v/>
      </c>
      <c r="N45" s="398">
        <f>N4*N8*N14*N19*N23*N30</f>
        <v/>
      </c>
      <c r="O45" s="398">
        <f>O4*O8*O14*O19*O23*O30</f>
        <v/>
      </c>
    </row>
    <row r="46" ht="16.5" customHeight="1" s="9">
      <c r="A46" s="87" t="inlineStr">
        <is>
          <t>SVK HCT GP</t>
        </is>
      </c>
      <c r="C46" s="398" t="n">
        <v>20970927.73</v>
      </c>
      <c r="D46" s="398" t="n">
        <v>22920593.94</v>
      </c>
      <c r="E46" s="398" t="n">
        <v>25434658.78</v>
      </c>
      <c r="F46" s="398" t="n">
        <v>28828456.75</v>
      </c>
      <c r="G46" s="398" t="n">
        <v>31521309.38</v>
      </c>
      <c r="H46" s="398" t="n">
        <v>32864946.72</v>
      </c>
      <c r="I46" s="398" t="n">
        <v>34113077.8</v>
      </c>
      <c r="J46" s="398" t="n">
        <v>33663486.72</v>
      </c>
      <c r="K46" s="398">
        <f>K4*K8*K14*K20*K34*K41</f>
        <v/>
      </c>
      <c r="L46" s="398">
        <f>L4*L8*L14*L20*L34*L41</f>
        <v/>
      </c>
      <c r="M46" s="398">
        <f>M4*M8*M14*M20*M34*M41</f>
        <v/>
      </c>
      <c r="N46" s="398">
        <f>N4*N8*N14*N20*N34*N41</f>
        <v/>
      </c>
      <c r="O46" s="398">
        <f>O4*O8*O14*O20*O34*O41</f>
        <v/>
      </c>
    </row>
    <row r="47" ht="16.5" customHeight="1" s="9">
      <c r="A47" s="87" t="inlineStr">
        <is>
          <t>SVK HCT Total</t>
        </is>
      </c>
      <c r="C47" s="398">
        <f>C45+C46</f>
        <v/>
      </c>
      <c r="D47" s="398">
        <f>D45+D46</f>
        <v/>
      </c>
      <c r="E47" s="398">
        <f>E45+E46</f>
        <v/>
      </c>
      <c r="F47" s="398">
        <f>F45+F46</f>
        <v/>
      </c>
      <c r="G47" s="398">
        <f>G45+G46</f>
        <v/>
      </c>
      <c r="H47" s="398">
        <f>H45+H46</f>
        <v/>
      </c>
      <c r="I47" s="398">
        <f>I45+I46</f>
        <v/>
      </c>
      <c r="J47" s="398">
        <f>J45+J46</f>
        <v/>
      </c>
      <c r="K47" s="398">
        <f>K45+K46</f>
        <v/>
      </c>
      <c r="L47" s="398">
        <f>L45+L46</f>
        <v/>
      </c>
      <c r="M47" s="398">
        <f>M45+M46</f>
        <v/>
      </c>
      <c r="N47" s="398">
        <f>N45+N46</f>
        <v/>
      </c>
      <c r="O47" s="398">
        <f>O45+O46</f>
        <v/>
      </c>
    </row>
    <row r="57" ht="16.5" customHeight="1" s="9">
      <c r="A57" s="0" t="inlineStr">
        <is>
          <t>════════ [참고] 구성비 예측방법 상세 (로그비율/다항로짓 회귀, 2018-2025 실측 기준) ════════</t>
        </is>
      </c>
    </row>
    <row r="58" ht="16.5" customHeight="1" s="9">
      <c r="A58" s="0" t="inlineStr">
        <is>
          <t>▶ B. 단일제/복합제 구성비 — 복합제(비다중) 중심 재설계(로지스틱 개별적합 + 단일제=평균 + 복합제다중=잔여)</t>
        </is>
      </c>
    </row>
    <row r="59" ht="16.5" customHeight="1" s="9">
      <c r="A59" s="54" t="inlineStr">
        <is>
          <t xml:space="preserve">  복합제(비다중): floor(하한)/k/x0/anchor(2025보정)</t>
        </is>
      </c>
      <c r="C59" s="0" t="n">
        <v>0.5935</v>
      </c>
      <c r="D59" s="0" t="n">
        <v>-0.2979</v>
      </c>
      <c r="E59" s="0" t="n">
        <v>2006.4</v>
      </c>
      <c r="F59" s="0" t="n">
        <v>6.999999999999999e-05</v>
      </c>
      <c r="H59" s="0" t="inlineStr">
        <is>
          <t>2018-2025 실측 자유적합(curve_fit), SE(floor)=±0.16%p (매우 안정적, 이미 하한 근접)</t>
        </is>
      </c>
    </row>
    <row r="60" ht="16.5" customHeight="1" s="9">
      <c r="A60" s="54" t="inlineStr">
        <is>
          <t xml:space="preserve">  단일제: 2018-2025 평균(추세 비유의, p=0.337)</t>
        </is>
      </c>
      <c r="C60" s="64">
        <f>AVERAGE(C7:J7)</f>
        <v/>
      </c>
    </row>
    <row r="61" ht="16.5" customHeight="1" s="9">
      <c r="A61" s="54" t="inlineStr">
        <is>
          <t xml:space="preserve">  ※ 복합제(다중)는 개별모델 없이 100%-(단일제+복합제비다중) 잔여값으로 산출 (참고: 잔여값이 2021년 실측 피크를 완만화해서 반영, 최대오차 약 0.9%p)</t>
        </is>
      </c>
    </row>
    <row r="63" ht="16.5" customHeight="1" s="9">
      <c r="A63" s="0" t="inlineStr">
        <is>
          <t>▶ C. ARB 복합제 조합 구성비 — ARB+CCB·ARB+CCB+DU 중심 재설계(로지스틱 개별적합 + 기타=잔여)</t>
        </is>
      </c>
    </row>
    <row r="64" ht="16.5" customHeight="1" s="9">
      <c r="A64" s="0" t="inlineStr">
        <is>
          <t xml:space="preserve">  ARB+CCB: L(상한)/k/x0/anchor(2025보정)</t>
        </is>
      </c>
      <c r="C64" s="89" t="n">
        <v>0.718</v>
      </c>
      <c r="D64" s="0" t="n">
        <v>0.1721</v>
      </c>
      <c r="E64" s="0" t="n">
        <v>2007</v>
      </c>
      <c r="F64" s="0" t="n">
        <v>0.00166</v>
      </c>
      <c r="H64" s="89" t="inlineStr">
        <is>
          <t>C64는 curve_fit 자유적합 결과(약 0.7203)가 아니라 FY26 1분기 실측과의 정합성을 우선해 수동 보정한 값. 이로 인해 anchor(F64)는 2025 실측점과 약 -0.38%p 어긋남(2025 정합성보다 FY26 예측 정합성을 우선한 트레이드오프)</t>
        </is>
      </c>
    </row>
    <row r="65" ht="16.5" customHeight="1" s="9">
      <c r="A65" s="79" t="inlineStr">
        <is>
          <t xml:space="preserve">  ARB+CCB+DU: L(상한)/k/x0/anchor(FY26Q1 실측 재보정, ★2025→26Q1로 변경) — FY25Q3~26Q1 3분기 재가속(정체기 대비) 확인되어 근시일 정합 우선, L/k/x0는 22분기 검증값 유지</t>
        </is>
      </c>
      <c r="C65" s="89" t="n">
        <v>0.115</v>
      </c>
      <c r="D65" s="0" t="n">
        <v>0.489</v>
      </c>
      <c r="E65" s="0" t="n">
        <v>2018.8</v>
      </c>
      <c r="F65" s="79" t="n">
        <v>0.00240350917394279</v>
      </c>
      <c r="H65" s="89" t="inlineStr">
        <is>
          <t>C65는 curve_fit 자유적합 결과가 아니라 FY26 1분기 실측과의 정합성을 우선해 수동 보정한 값. 이로 인해 anchor(F65)는 2025 실측점과 약 +0.48%p 어긋남(2025 정합성보다 FY26 예측 정합성을 우선한 트레이드오프)</t>
        </is>
      </c>
    </row>
    <row r="66" ht="16.5" customHeight="1" s="9">
      <c r="A66" s="0" t="inlineStr">
        <is>
          <t xml:space="preserve">  ARB+DU: floor(하한)/k/x0/anchor(2025보정)</t>
        </is>
      </c>
      <c r="C66" s="0" t="n">
        <v>0.1045</v>
      </c>
      <c r="D66" s="0" t="n">
        <v>-0.1937</v>
      </c>
      <c r="E66" s="0" t="n">
        <v>2012.2</v>
      </c>
      <c r="F66" s="0" t="n">
        <v>-0.00017</v>
      </c>
      <c r="H66" s="0" t="inlineStr">
        <is>
          <t>2018-2025 실측 자유적합(curve_fit), SE(floor)=±0.80%p</t>
        </is>
      </c>
    </row>
    <row r="67" ht="16.5" customHeight="1" s="9">
      <c r="A67" s="54" t="inlineStr">
        <is>
          <t xml:space="preserve">  ※ 기타 복합제는 개별모델 없이 100%-(ARB+CCB+ARB+CCB+DU+ARB+DU) 잔여값으로 산출 (검증: 잔여값이 2018-2025 실측 기타값과 매우 근접, 최대오차 0.2%p)</t>
        </is>
      </c>
    </row>
    <row r="68" ht="16.5" customHeight="1" s="9"/>
    <row r="69" ht="16.5" customHeight="1" s="9">
      <c r="A69" s="131" t="inlineStr">
        <is>
          <t>▶ D. HP/GP 비율 — FY2024Q3(peak) 이후 분기 자동확장 로지스틱(floor=22.0%, ARB+CCB 자체 HP:GP 22.1%가 이미 flat인 것을 하한 근거로 판단 고정) (기존 21-25 평균고정 폐기: 8년 전체 p=0.782 비유의, FY24Q3~26Q1 7분기 p=0.00017·R²=0.953로 하락 확인됐으나 무기한 직선하락은 비현실적)</t>
        </is>
      </c>
    </row>
    <row r="70" ht="16.5" customHeight="1" s="9">
      <c r="A70" s="131" t="inlineStr">
        <is>
          <t xml:space="preserve">  floor(하한, G62=판단고정) / 기울기·절편·R²(C62:E62, FY2024Q3~ 자동확장) / anchor(F62)</t>
        </is>
      </c>
      <c r="C70" s="132">
        <f>SLOPE($R$120:INDEX($R$120:$CZ$120,COUNTA($R$120:$CZ$120)),$R$116:INDEX($R$116:$CZ$116,COUNTA($R$116:$CZ$116)))</f>
        <v/>
      </c>
      <c r="D70" s="131">
        <f>INTERCEPT($R$120:INDEX($R$120:$CZ$120,COUNTA($R$120:$CZ$120)),$R$116:INDEX($R$116:$CZ$116,COUNTA($R$116:$CZ$116)))</f>
        <v/>
      </c>
      <c r="E70" s="131">
        <f>RSQ($R$120:INDEX($R$120:$CZ$120,COUNTA($R$120:$CZ$120)),$R$116:INDEX($R$116:$CZ$116,COUNTA($R$116:$CZ$116)))</f>
        <v/>
      </c>
      <c r="F70" s="131">
        <f>LN((INDEX($C$118:$CZ$118,COUNTA($C$118:$CZ$118))-$G$70)/(1-INDEX($C$118:$CZ$118,COUNTA($C$118:$CZ$118))))-($C$70*INDEX($C$116:$CZ$116,COUNTA($C$118:$CZ$118))+$D$70)</f>
        <v/>
      </c>
      <c r="G70" s="131" t="n">
        <v>0.22</v>
      </c>
      <c r="H70" s="0">
        <f>LN(H19/H20)</f>
        <v/>
      </c>
      <c r="I70" s="0">
        <f>LN(I19/I20)</f>
        <v/>
      </c>
      <c r="J70" s="0">
        <f>LN(J19/J20)</f>
        <v/>
      </c>
    </row>
    <row r="71" ht="16.5" customHeight="1" s="9"/>
    <row r="72" ht="16.5" customHeight="1" s="9">
      <c r="A72" s="0" t="inlineStr">
        <is>
          <t>▶ E. HP내 성분별 비율 — olmesartan[MAIN]=로지스틱(하한), fimasartan=로지스틱(상한), telmisartan=선형회귀(직접), valsartan=가정치(신규진입), losartan=잔여값</t>
        </is>
      </c>
    </row>
    <row r="73" ht="16.5" customHeight="1" s="9">
      <c r="A73" s="0" t="inlineStr">
        <is>
          <t xml:space="preserve">  olmesartan: floor(하한)/k/x0/anchor(2025보정)</t>
        </is>
      </c>
      <c r="C73" s="0" t="n">
        <v>0.4703</v>
      </c>
      <c r="D73" s="0" t="n">
        <v>-0.5269</v>
      </c>
      <c r="E73" s="0" t="n">
        <v>2019.9</v>
      </c>
      <c r="F73" s="0" t="n">
        <v>-0.00305962961348165</v>
      </c>
      <c r="H73" s="0" t="inlineStr">
        <is>
          <t>2018-2025 실측 자유적합(curve_fit), SE(floor)=±4.00%p</t>
        </is>
      </c>
    </row>
    <row r="74" ht="16.5" customHeight="1" s="9">
      <c r="A74" s="0" t="inlineStr">
        <is>
          <t xml:space="preserve">  fimasartan: L(상한)/k/x0/anchor(2025보정, 2022년 진입)</t>
        </is>
      </c>
      <c r="C74" s="0" t="n">
        <v>0.216</v>
      </c>
      <c r="D74" s="0" t="n">
        <v>2.1039</v>
      </c>
      <c r="E74" s="0" t="n">
        <v>2022.6</v>
      </c>
      <c r="F74" s="0" t="n">
        <v>0.00137647440273966</v>
      </c>
      <c r="H74" s="0" t="inlineStr">
        <is>
          <t>2022-2025 실측 자유적합(curve_fit), SE(L)=±0.36%p (매우 안정적)</t>
        </is>
      </c>
    </row>
    <row r="75" ht="16.5" customHeight="1" s="9">
      <c r="A75" s="0" t="inlineStr">
        <is>
          <t xml:space="preserve">  telmisartan: 기울기/절편/R² (선형회귀, 직접)</t>
        </is>
      </c>
      <c r="C75" s="0">
        <f>SLOPE(C26:J26,$C$2:$J$2)</f>
        <v/>
      </c>
      <c r="D75" s="0">
        <f>INTERCEPT(C26:J26,$C$2:$J$2)</f>
        <v/>
      </c>
      <c r="E75" s="0">
        <f>RSQ(C26:J26,$C$2:$J$2)</f>
        <v/>
      </c>
    </row>
    <row r="76" ht="16.5" customHeight="1" s="9">
      <c r="A76" s="0" t="inlineStr">
        <is>
          <t xml:space="preserve">  valsartan: 가정치 (2025년 1개 실측뿐, 값 고정)</t>
        </is>
      </c>
      <c r="C76" s="74">
        <f>J27</f>
        <v/>
      </c>
    </row>
    <row r="77" ht="16.5" customHeight="1" s="9">
      <c r="A77" s="0" t="inlineStr">
        <is>
          <t xml:space="preserve">  ※ losartan은 개별모델 없이 100%-(olmesartan+fimasartan+telmisartan+valsartan) 잔여값 (최근3년 실측과 오차 1%p 이내로 근접 확인)</t>
        </is>
      </c>
    </row>
    <row r="79" ht="16.5" customHeight="1" s="9">
      <c r="A79" s="0" t="inlineStr">
        <is>
          <t>▶ F. HP Original/Generic 비율 — Original[MAIN]=로지스틱(하한)</t>
        </is>
      </c>
    </row>
    <row r="80" ht="16.5" customHeight="1" s="9">
      <c r="A80" s="0" t="inlineStr">
        <is>
          <t xml:space="preserve">  Original: 분기실측(row91) 참조, FY2020Q1~ 자동확장 — 직접선형회귀용 (제네릭 출시 이후만 사용, 기존 방식 유지)</t>
        </is>
      </c>
      <c r="C80" s="0" t="n">
        <v>0.9469</v>
      </c>
      <c r="D80" s="0" t="n">
        <v>-0.6768999999999999</v>
      </c>
      <c r="E80" s="0">
        <f>E30*100</f>
        <v/>
      </c>
      <c r="F80" s="0">
        <f>F30*100</f>
        <v/>
      </c>
      <c r="G80" s="0">
        <f>G30*100</f>
        <v/>
      </c>
      <c r="I80" s="0">
        <f>I30*100</f>
        <v/>
      </c>
      <c r="J80" s="0">
        <f>J30*100</f>
        <v/>
      </c>
    </row>
    <row r="81" ht="16.5" customHeight="1" s="9">
      <c r="A81" s="0" t="inlineStr">
        <is>
          <t xml:space="preserve">  Original 기울기(%p/분기)/절편/R² (직접선형, FY2020Q1~ 자동확장, 연간(2020-25) 방식 폐기) — 분기검증: 로짓변환 시 인위적 가속(2030년 75.8% vs 91.0%) 재확인되어 직접선형 유지 | F73=anchor(최근분기 실측에 정확히 맞춤)</t>
        </is>
      </c>
      <c r="C81" s="0">
        <f>SLOPE($J$99:INDEX($J$99:$CZ$99,COUNTA($J$99:$CZ$99)),$J$111:INDEX($J$111:$CZ$111,COUNTA($J$111:$CZ$111)))*100</f>
        <v/>
      </c>
      <c r="D81" s="0">
        <f>INTERCEPT($J$99:INDEX($J$99:$CZ$99,COUNTA($J$99:$CZ$99)),$J$111:INDEX($J$111:$CZ$111,COUNTA($J$111:$CZ$111)))*100</f>
        <v/>
      </c>
      <c r="E81" s="0">
        <f>RSQ($J$99:INDEX($J$99:$CZ$99,COUNTA($J$99:$CZ$99)),$J$111:INDEX($J$111:$CZ$111,COUNTA($J$111:$CZ$111)))</f>
        <v/>
      </c>
      <c r="F81" s="0">
        <f>INDEX($B$99:$CZ$99,COUNTA($B$99:$CZ$99))*100-($C$81*INDEX($B$111:$CZ$111,COUNTA($B$99:$CZ$99))+$D$81)</f>
        <v/>
      </c>
      <c r="H81" s="90" t="inlineStr">
        <is>
          <t>2026-27 실측 확보되면 재검증 필요 (직접선형은 장기 외삽 시 0% 하회 가능성 있어 단기(~2030)에만 적용 권장)</t>
        </is>
      </c>
    </row>
    <row r="82" ht="16.5" customHeight="1" s="9">
      <c r="H82" s="90" t="n"/>
    </row>
    <row r="83" ht="16.5" customHeight="1" s="9">
      <c r="A83" s="0" t="inlineStr">
        <is>
          <t>▶ G. GP내 성분별 비율 — olmesartan[MAIN]=평균고정(2020-25), fimasartan=로지스틱(상한), losartan=선형회귀(최근5년), valsartan=가정치, telmisartan=잔여값</t>
        </is>
      </c>
    </row>
    <row r="84" ht="16.5" customHeight="1" s="9">
      <c r="A84" s="0" t="inlineStr">
        <is>
          <t xml:space="preserve">  olmesartan: 2020-25년 평균고정 폐기 — 분기 실측 기준 floor(하한, C76)는 판단 고정치, k·절편은 최근5분기 로짓회귀로 자동연동(D76:F76). 실측 분기 추가되면 로그비율 변환행(104행)·index행(103행)에 값만 채우면 자동 재계산됨. floor 자체는 반등/추가하락 확인되면 수동 재검토 필요</t>
        </is>
      </c>
      <c r="C84" s="64" t="n">
        <v>0.379</v>
      </c>
      <c r="D84" s="0">
        <f>SLOPE(INDEX($B$112:$CZ$112,COUNTA($B$112:$CZ$112)-4):INDEX($B$112:$CZ$112,COUNTA($B$112:$CZ$112)),INDEX($B$111:$CZ$111,COUNTA($B$111:$CZ$111)-4):INDEX($B$111:$CZ$111,COUNTA($B$111:$CZ$111)))</f>
        <v/>
      </c>
      <c r="E84" s="0">
        <f>INTERCEPT(INDEX($B$112:$CZ$112,COUNTA($B$112:$CZ$112)-4):INDEX($B$112:$CZ$112,COUNTA($B$112:$CZ$112)),INDEX($B$111:$CZ$111,COUNTA($B$111:$CZ$111)-4):INDEX($B$111:$CZ$111,COUNTA($B$111:$CZ$111)))</f>
        <v/>
      </c>
      <c r="F84" s="0">
        <f>RSQ(INDEX($B$112:$CZ$112,COUNTA($B$112:$CZ$112)-4):INDEX($B$112:$CZ$112,COUNTA($B$112:$CZ$112)),INDEX($B$111:$CZ$111,COUNTA($B$111:$CZ$111)-4):INDEX($B$111:$CZ$111,COUNTA($B$111:$CZ$111)))</f>
        <v/>
      </c>
    </row>
    <row r="85" ht="16.5" customHeight="1" s="9">
      <c r="A85" s="0" t="inlineStr">
        <is>
          <t xml:space="preserve">  fimasartan: L(상한)/k/x0/anchor(2025보정, 2022년 진입)</t>
        </is>
      </c>
      <c r="C85" s="0" t="n">
        <v>0.1319</v>
      </c>
      <c r="D85" s="0" t="n">
        <v>1.3013</v>
      </c>
      <c r="E85" s="0" t="n">
        <v>2021.8</v>
      </c>
      <c r="F85" s="0" t="n">
        <v>0.000918714345126102</v>
      </c>
      <c r="H85" s="0" t="inlineStr">
        <is>
          <t>2022-2025 실측 자유적합(curve_fit), SE(L)=±0.21%p</t>
        </is>
      </c>
    </row>
    <row r="86" ht="16.5" customHeight="1" s="9">
      <c r="A86" s="0" t="inlineStr">
        <is>
          <t xml:space="preserve">  losartan: 선형회귀(최근5년) 폐기 — FY25Q1(20.43%, 역대 최저) 저점 확인 후 최근 4분기 롤링평균으로 flat 고정(C78, 자동연동). 실측 분기 추가되면 100행에 값만 채우면 평균창이 자동으로 최신 4분기로 이동함. 재하락/추가반등 뚜렷해지면 판단 재검토 필요</t>
        </is>
      </c>
      <c r="C86" s="64">
        <f>AVERAGE(INDEX($B$108:$CZ$108,COUNTA($B$108:$CZ$108)-3):INDEX($B$108:$CZ$108,COUNTA($B$108:$CZ$108)))</f>
        <v/>
      </c>
      <c r="D86" s="0" t="n"/>
      <c r="E86" s="0" t="n"/>
    </row>
    <row r="87" ht="16.5" customHeight="1" s="9">
      <c r="A87" s="0" t="inlineStr">
        <is>
          <t xml:space="preserve">  valsartan: 가정치 (2025년 1개 실측뿐, 값 고정)</t>
        </is>
      </c>
      <c r="C87" s="74">
        <f>J38</f>
        <v/>
      </c>
    </row>
    <row r="88" ht="16.5" customHeight="1" s="9">
      <c r="A88" s="0" t="inlineStr">
        <is>
          <t xml:space="preserve">  ※ telmisartan은 개별모델 없이 100%-(olmesartan+fimasartan+losartan+valsartan) 잔여값 (최근3년 실측과 오차 0.7%p 이내로 근접 확인)</t>
        </is>
      </c>
    </row>
    <row r="90" ht="16.5" customHeight="1" s="9">
      <c r="A90" s="0" t="inlineStr">
        <is>
          <t>▶ H. GP Original/Generic 비율 — Original[MAIN]=로짓 변환 회귀(최근5년, 로지스틱 적합 불안정하여 미채택)</t>
        </is>
      </c>
    </row>
    <row r="91" ht="16.5" customHeight="1" s="9">
      <c r="A91" s="0" t="inlineStr">
        <is>
          <t xml:space="preserve">  ln(Original/Generic), 분기 변환행(106행) 참조 — FY2023Q1~ 자동확장(전체기간 대비 감속 확인되어 최근구간만 사용)</t>
        </is>
      </c>
      <c r="C91" s="0">
        <f>LN(C41/C42)</f>
        <v/>
      </c>
      <c r="D91" s="0">
        <f>LN(D41/D42)</f>
        <v/>
      </c>
      <c r="E91" s="0">
        <f>LN(E41/E42)</f>
        <v/>
      </c>
      <c r="F91" s="0">
        <f>LN(F41/F42)</f>
        <v/>
      </c>
      <c r="G91" s="0">
        <f>LN(G41/G42)</f>
        <v/>
      </c>
      <c r="H91" s="0">
        <f>LN(H41/H42)</f>
        <v/>
      </c>
      <c r="I91" s="0">
        <f>LN(I41/I42)</f>
        <v/>
      </c>
      <c r="J91" s="0">
        <f>LN(J41/J42)</f>
        <v/>
      </c>
    </row>
    <row r="92" ht="16.5" customHeight="1" s="9">
      <c r="A92" s="0" t="inlineStr">
        <is>
          <t xml:space="preserve">  Original 기울기/절편/R² — 분기실측 기반(FY2023Q1~ 자동확장). 전체33분기(2019~)는 초기 급락(2019년 -4.6%p/분기)이 평균을 왜곡해 기울기 과대(-0.27, R²=0.81) → 최근구간(2023~)만 사용시 -0.15, R²=0.98로 훨씬 안정적. anchor(F84)로 최근분기 실측에 정확히 맞춤</t>
        </is>
      </c>
      <c r="C92" s="0">
        <f>SLOPE($V$114:INDEX($V$114:$CZ$114,COUNTA($V$114:$CZ$114)),$V$111:INDEX($V$111:$CZ$111,COUNTA($V$111:$CZ$111)))</f>
        <v/>
      </c>
      <c r="D92" s="0">
        <f>INTERCEPT($V$114:INDEX($V$114:$CZ$114,COUNTA($V$114:$CZ$114)),$V$111:INDEX($V$111:$CZ$111,COUNTA($V$111:$CZ$111)))</f>
        <v/>
      </c>
      <c r="E92" s="0">
        <f>RSQ($V$114:INDEX($V$114:$CZ$114,COUNTA($V$114:$CZ$114)),$V$111:INDEX($V$111:$CZ$111,COUNTA($V$111:$CZ$111)))</f>
        <v/>
      </c>
      <c r="F92" s="0">
        <f>LN(INDEX($B$105:$CZ$105,COUNTA($B$105:$CZ$105))/(1-INDEX($B$105:$CZ$105,COUNTA($B$105:$CZ$105))))-($C$92*INDEX($B$111:$CZ$111,COUNTA($B$105:$CZ$105))+$D$92)</f>
        <v/>
      </c>
    </row>
    <row r="95" ht="16.5" customHeight="1" s="9">
      <c r="A95" s="0" t="inlineStr">
        <is>
          <t>════════ [분기 모니터링] GP/HP 성분별 비율 · Olmesartan Original 비율 분기 원자료 (UBIST, CY→FY 환산) ════════</t>
        </is>
      </c>
    </row>
    <row r="96" ht="16.5" customHeight="1" s="9">
      <c r="A96" s="91" t="inlineStr">
        <is>
          <t>※ CY(역년) 데이터를 FY(회계연도, 4~3월)로 환산: FY(Y) Q1=CY(Y) Q2, Q2=CY(Y) Q3, Q3=CY(Y) Q4, Q4=CY(Y+1) Q1 (예: CY26 Q2 = FY26 Q1)</t>
        </is>
      </c>
    </row>
    <row r="97" ht="16.5" customHeight="1" s="9">
      <c r="A97" s="54" t="inlineStr">
        <is>
          <t>항목 / FY분기 ▶</t>
        </is>
      </c>
      <c r="B97" s="0" t="inlineStr">
        <is>
          <t>FY2018Q1</t>
        </is>
      </c>
      <c r="C97" s="0" t="inlineStr">
        <is>
          <t>FY2018Q2</t>
        </is>
      </c>
      <c r="D97" s="0" t="inlineStr">
        <is>
          <t>FY2018Q3</t>
        </is>
      </c>
      <c r="E97" s="0" t="inlineStr">
        <is>
          <t>FY2018Q4</t>
        </is>
      </c>
      <c r="F97" s="0" t="inlineStr">
        <is>
          <t>FY2019Q1</t>
        </is>
      </c>
      <c r="G97" s="0" t="inlineStr">
        <is>
          <t>FY2019Q2</t>
        </is>
      </c>
      <c r="H97" s="0" t="inlineStr">
        <is>
          <t>FY2019Q3</t>
        </is>
      </c>
      <c r="I97" s="0" t="inlineStr">
        <is>
          <t>FY2019Q4</t>
        </is>
      </c>
      <c r="J97" s="0" t="inlineStr">
        <is>
          <t>FY2020Q1</t>
        </is>
      </c>
      <c r="K97" s="0" t="inlineStr">
        <is>
          <t>FY2020Q2</t>
        </is>
      </c>
      <c r="L97" s="0" t="inlineStr">
        <is>
          <t>FY2020Q3</t>
        </is>
      </c>
      <c r="M97" s="0" t="inlineStr">
        <is>
          <t>FY2020Q4</t>
        </is>
      </c>
      <c r="N97" s="0" t="inlineStr">
        <is>
          <t>FY2021Q1</t>
        </is>
      </c>
      <c r="O97" s="0" t="inlineStr">
        <is>
          <t>FY2021Q2</t>
        </is>
      </c>
      <c r="P97" s="0" t="inlineStr">
        <is>
          <t>FY2021Q3</t>
        </is>
      </c>
      <c r="Q97" s="0" t="inlineStr">
        <is>
          <t>FY2021Q4</t>
        </is>
      </c>
      <c r="R97" s="0" t="inlineStr">
        <is>
          <t>FY2022Q1</t>
        </is>
      </c>
      <c r="S97" s="0" t="inlineStr">
        <is>
          <t>FY2022Q2</t>
        </is>
      </c>
      <c r="T97" s="0" t="inlineStr">
        <is>
          <t>FY2022Q3</t>
        </is>
      </c>
      <c r="U97" s="0" t="inlineStr">
        <is>
          <t>FY2022Q4</t>
        </is>
      </c>
      <c r="V97" s="0" t="inlineStr">
        <is>
          <t>FY2023Q1</t>
        </is>
      </c>
      <c r="W97" s="0" t="inlineStr">
        <is>
          <t>FY2023Q2</t>
        </is>
      </c>
      <c r="X97" s="0" t="inlineStr">
        <is>
          <t>FY2023Q3</t>
        </is>
      </c>
      <c r="Y97" s="0" t="inlineStr">
        <is>
          <t>FY2023Q4</t>
        </is>
      </c>
      <c r="Z97" s="0" t="inlineStr">
        <is>
          <t>FY2024Q1</t>
        </is>
      </c>
      <c r="AA97" s="0" t="inlineStr">
        <is>
          <t>FY2024Q2</t>
        </is>
      </c>
      <c r="AB97" s="0" t="inlineStr">
        <is>
          <t>FY2024Q3</t>
        </is>
      </c>
      <c r="AC97" s="0" t="inlineStr">
        <is>
          <t>FY2024Q4</t>
        </is>
      </c>
      <c r="AD97" s="0" t="inlineStr">
        <is>
          <t>FY2025Q1</t>
        </is>
      </c>
      <c r="AE97" s="0" t="inlineStr">
        <is>
          <t>FY2025Q2</t>
        </is>
      </c>
      <c r="AF97" s="0" t="inlineStr">
        <is>
          <t>FY2025Q3</t>
        </is>
      </c>
      <c r="AG97" s="0" t="inlineStr">
        <is>
          <t>FY2025Q4</t>
        </is>
      </c>
      <c r="AH97" s="0" t="inlineStr">
        <is>
          <t>FY2026Q1</t>
        </is>
      </c>
    </row>
    <row r="98" ht="16.5" customHeight="1" s="9">
      <c r="A98" s="0" t="inlineStr">
        <is>
          <t xml:space="preserve">  HP olmesartan</t>
        </is>
      </c>
      <c r="B98" s="401" t="n">
        <v>0.9410219191428369</v>
      </c>
      <c r="C98" s="401" t="n">
        <v>0.902970962174189</v>
      </c>
      <c r="D98" s="401" t="n">
        <v>0.874704736454446</v>
      </c>
      <c r="E98" s="401" t="n">
        <v>0.834606265233186</v>
      </c>
      <c r="F98" s="401" t="n">
        <v>0.8261532850701609</v>
      </c>
      <c r="G98" s="401" t="n">
        <v>0.81388946518853</v>
      </c>
      <c r="H98" s="401" t="n">
        <v>0.772375587143002</v>
      </c>
      <c r="I98" s="401" t="n">
        <v>0.751614626350588</v>
      </c>
      <c r="J98" s="401" t="n">
        <v>0.713880319914143</v>
      </c>
      <c r="K98" s="401" t="n">
        <v>0.7056986331056559</v>
      </c>
      <c r="L98" s="401" t="n">
        <v>0.686286447839732</v>
      </c>
      <c r="M98" s="401" t="n">
        <v>0.686166150517052</v>
      </c>
      <c r="N98" s="401" t="n">
        <v>0.657752774548495</v>
      </c>
      <c r="O98" s="401" t="n">
        <v>0.667149233636996</v>
      </c>
      <c r="P98" s="401" t="n">
        <v>0.678181767181121</v>
      </c>
      <c r="Q98" s="401" t="n">
        <v>0.665651569963589</v>
      </c>
      <c r="R98" s="401" t="n">
        <v>0.674181335626308</v>
      </c>
      <c r="S98" s="401" t="n">
        <v>0.66191024349273</v>
      </c>
      <c r="T98" s="401" t="n">
        <v>0.617122443887648</v>
      </c>
      <c r="U98" s="401" t="n">
        <v>0.597608807173335</v>
      </c>
      <c r="V98" s="401" t="n">
        <v>0.584974091958171</v>
      </c>
      <c r="W98" s="401" t="n">
        <v>0.556742539142593</v>
      </c>
      <c r="X98" s="401" t="n">
        <v>0.549303888409203</v>
      </c>
      <c r="Y98" s="401" t="n">
        <v>0.538389068469589</v>
      </c>
      <c r="Z98" s="401" t="n">
        <v>0.526455867695811</v>
      </c>
      <c r="AA98" s="401" t="n">
        <v>0.52996654892823</v>
      </c>
      <c r="AB98" s="401" t="n">
        <v>0.513278470992437</v>
      </c>
      <c r="AC98" s="401" t="n">
        <v>0.504827552892068</v>
      </c>
      <c r="AD98" s="401" t="n">
        <v>0.506461353354275</v>
      </c>
      <c r="AE98" s="401" t="n">
        <v>0.506823930049604</v>
      </c>
      <c r="AF98" s="401" t="n">
        <v>0.506194105211295</v>
      </c>
      <c r="AG98" s="401" t="n">
        <v>0.485023187851646</v>
      </c>
      <c r="AH98" s="401" t="n">
        <v>0.478402186710604</v>
      </c>
    </row>
    <row r="99" ht="16.5" customHeight="1" s="9">
      <c r="A99" s="0" t="inlineStr">
        <is>
          <t xml:space="preserve">  HP olmesartan 내 Original 비율</t>
        </is>
      </c>
      <c r="B99" s="401" t="n">
        <v>1</v>
      </c>
      <c r="C99" s="401" t="n">
        <v>1</v>
      </c>
      <c r="D99" s="401" t="n">
        <v>1</v>
      </c>
      <c r="E99" s="401" t="n">
        <v>1</v>
      </c>
      <c r="F99" s="401" t="n">
        <v>0.998247730384182</v>
      </c>
      <c r="G99" s="401" t="n">
        <v>0.997164109512624</v>
      </c>
      <c r="H99" s="401" t="n">
        <v>0.995507694238331</v>
      </c>
      <c r="I99" s="401" t="n">
        <v>0.9950407575621421</v>
      </c>
      <c r="J99" s="401" t="n">
        <v>0.995555187396074</v>
      </c>
      <c r="K99" s="401" t="n">
        <v>0.994863887950475</v>
      </c>
      <c r="L99" s="401" t="n">
        <v>0.986296691947594</v>
      </c>
      <c r="M99" s="401" t="n">
        <v>0.982564897258301</v>
      </c>
      <c r="N99" s="401" t="n">
        <v>0.98029136246332</v>
      </c>
      <c r="O99" s="401" t="n">
        <v>0.9780843600374</v>
      </c>
      <c r="P99" s="401" t="n">
        <v>0.979835195970185</v>
      </c>
      <c r="Q99" s="401" t="n">
        <v>0.979535622476743</v>
      </c>
      <c r="R99" s="401" t="n">
        <v>0.973854718699625</v>
      </c>
      <c r="S99" s="401" t="n">
        <v>0.975480323264772</v>
      </c>
      <c r="T99" s="401" t="n">
        <v>0.977421936967809</v>
      </c>
      <c r="U99" s="401" t="n">
        <v>0.97243201157529</v>
      </c>
      <c r="V99" s="401" t="n">
        <v>0.9697096511346061</v>
      </c>
      <c r="W99" s="401" t="n">
        <v>0.968844916026996</v>
      </c>
      <c r="X99" s="401" t="n">
        <v>0.971473310266234</v>
      </c>
      <c r="Y99" s="401" t="n">
        <v>0.966031155972207</v>
      </c>
      <c r="Z99" s="401" t="n">
        <v>0.958001958505772</v>
      </c>
      <c r="AA99" s="401" t="n">
        <v>0.959719527285862</v>
      </c>
      <c r="AB99" s="401" t="n">
        <v>0.959824790448955</v>
      </c>
      <c r="AC99" s="401" t="n">
        <v>0.956598023821031</v>
      </c>
      <c r="AD99" s="401" t="n">
        <v>0.955849948787369</v>
      </c>
      <c r="AE99" s="401" t="n">
        <v>0.955844112107509</v>
      </c>
      <c r="AF99" s="401" t="n">
        <v>0.949249355416971</v>
      </c>
      <c r="AG99" s="401" t="n">
        <v>0.94976544906433</v>
      </c>
      <c r="AH99" s="401" t="n">
        <v>0.935887948273181</v>
      </c>
    </row>
    <row r="100" ht="16.5" customHeight="1" s="9">
      <c r="A100" s="0" t="inlineStr">
        <is>
          <t xml:space="preserve">  HP fimasartan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 t="n">
        <v>0</v>
      </c>
      <c r="G100" s="401" t="n">
        <v>0</v>
      </c>
      <c r="H100" s="401" t="n">
        <v>0</v>
      </c>
      <c r="I100" s="401" t="n">
        <v>0</v>
      </c>
      <c r="J100" s="401" t="n">
        <v>0</v>
      </c>
      <c r="K100" s="401" t="n">
        <v>0</v>
      </c>
      <c r="L100" s="401" t="n">
        <v>0</v>
      </c>
      <c r="M100" s="401" t="n">
        <v>0</v>
      </c>
      <c r="N100" s="401" t="n">
        <v>0</v>
      </c>
      <c r="O100" s="401" t="n">
        <v>0</v>
      </c>
      <c r="P100" s="401" t="n">
        <v>0</v>
      </c>
      <c r="Q100" s="401" t="n">
        <v>0</v>
      </c>
      <c r="R100" s="401" t="n">
        <v>0.00124283946675594</v>
      </c>
      <c r="S100" s="401" t="n">
        <v>0.0111499664477253</v>
      </c>
      <c r="T100" s="401" t="n">
        <v>0.0631403444320016</v>
      </c>
      <c r="U100" s="401" t="n">
        <v>0.0954364854677419</v>
      </c>
      <c r="V100" s="401" t="n">
        <v>0.119123288913204</v>
      </c>
      <c r="W100" s="401" t="n">
        <v>0.143536699005691</v>
      </c>
      <c r="X100" s="401" t="n">
        <v>0.157800221670696</v>
      </c>
      <c r="Y100" s="401" t="n">
        <v>0.177383217247156</v>
      </c>
      <c r="Z100" s="401" t="n">
        <v>0.183339611517973</v>
      </c>
      <c r="AA100" s="401" t="n">
        <v>0.196333671626622</v>
      </c>
      <c r="AB100" s="401" t="n">
        <v>0.210909924126757</v>
      </c>
      <c r="AC100" s="401" t="n">
        <v>0.213909666345395</v>
      </c>
      <c r="AD100" s="401" t="n">
        <v>0.220960158183067</v>
      </c>
      <c r="AE100" s="401" t="n">
        <v>0.214939123985353</v>
      </c>
      <c r="AF100" s="401" t="n">
        <v>0.213494401695226</v>
      </c>
      <c r="AG100" s="401" t="n">
        <v>0.214724781019735</v>
      </c>
      <c r="AH100" s="401" t="n">
        <v>0.207039256508812</v>
      </c>
    </row>
    <row r="101" ht="16.5" customHeight="1" s="9">
      <c r="A101" s="0" t="inlineStr">
        <is>
          <t xml:space="preserve">  HP telmisartan</t>
        </is>
      </c>
      <c r="B101" s="401" t="n">
        <v>0.0108103006792121</v>
      </c>
      <c r="C101" s="401" t="n">
        <v>0.019442818955192</v>
      </c>
      <c r="D101" s="401" t="n">
        <v>0.0325394500100142</v>
      </c>
      <c r="E101" s="401" t="n">
        <v>0.0417881630140353</v>
      </c>
      <c r="F101" s="401" t="n">
        <v>0.0364514177725952</v>
      </c>
      <c r="G101" s="401" t="n">
        <v>0.0362552343721403</v>
      </c>
      <c r="H101" s="401" t="n">
        <v>0.0448373418865969</v>
      </c>
      <c r="I101" s="401" t="n">
        <v>0.0590845783150697</v>
      </c>
      <c r="J101" s="401" t="n">
        <v>0.0824144522752162</v>
      </c>
      <c r="K101" s="401" t="n">
        <v>0.0863300249124373</v>
      </c>
      <c r="L101" s="401" t="n">
        <v>0.108542716923503</v>
      </c>
      <c r="M101" s="401" t="n">
        <v>0.11855911693898</v>
      </c>
      <c r="N101" s="401" t="n">
        <v>0.131336090969947</v>
      </c>
      <c r="O101" s="401" t="n">
        <v>0.132620872939836</v>
      </c>
      <c r="P101" s="401" t="n">
        <v>0.138222874399368</v>
      </c>
      <c r="Q101" s="401" t="n">
        <v>0.138060998066226</v>
      </c>
      <c r="R101" s="401" t="n">
        <v>0.138650763897986</v>
      </c>
      <c r="S101" s="401" t="n">
        <v>0.140490868208001</v>
      </c>
      <c r="T101" s="401" t="n">
        <v>0.141117854963556</v>
      </c>
      <c r="U101" s="401" t="n">
        <v>0.131798293903888</v>
      </c>
      <c r="V101" s="401" t="n">
        <v>0.132426557635688</v>
      </c>
      <c r="W101" s="401" t="n">
        <v>0.133808508566017</v>
      </c>
      <c r="X101" s="401" t="n">
        <v>0.133474845979016</v>
      </c>
      <c r="Y101" s="401" t="n">
        <v>0.129376094358336</v>
      </c>
      <c r="Z101" s="401" t="n">
        <v>0.13324185381323</v>
      </c>
      <c r="AA101" s="401" t="n">
        <v>0.127949187761537</v>
      </c>
      <c r="AB101" s="401" t="n">
        <v>0.129150431470804</v>
      </c>
      <c r="AC101" s="401" t="n">
        <v>0.132046797803555</v>
      </c>
      <c r="AD101" s="401" t="n">
        <v>0.127328137695416</v>
      </c>
      <c r="AE101" s="401" t="n">
        <v>0.12550418513995</v>
      </c>
      <c r="AF101" s="401" t="n">
        <v>0.125873082272964</v>
      </c>
      <c r="AG101" s="401" t="n">
        <v>0.124554338661154</v>
      </c>
      <c r="AH101" s="401" t="n">
        <v>0.12860903225901</v>
      </c>
    </row>
    <row r="102" ht="16.5" customHeight="1" s="9">
      <c r="A102" s="0" t="inlineStr">
        <is>
          <t xml:space="preserve">  HP losartan</t>
        </is>
      </c>
      <c r="B102" s="401" t="n">
        <v>0.0481677801779507</v>
      </c>
      <c r="C102" s="401" t="n">
        <v>0.07758621887061901</v>
      </c>
      <c r="D102" s="401" t="n">
        <v>0.0927558135355401</v>
      </c>
      <c r="E102" s="401" t="n">
        <v>0.123605571752779</v>
      </c>
      <c r="F102" s="401" t="n">
        <v>0.137395297157244</v>
      </c>
      <c r="G102" s="401" t="n">
        <v>0.14985530043933</v>
      </c>
      <c r="H102" s="401" t="n">
        <v>0.182787070970401</v>
      </c>
      <c r="I102" s="401" t="n">
        <v>0.189300795334342</v>
      </c>
      <c r="J102" s="401" t="n">
        <v>0.203705227810641</v>
      </c>
      <c r="K102" s="401" t="n">
        <v>0.207971341981906</v>
      </c>
      <c r="L102" s="401" t="n">
        <v>0.205170835236765</v>
      </c>
      <c r="M102" s="401" t="n">
        <v>0.195274732543967</v>
      </c>
      <c r="N102" s="401" t="n">
        <v>0.210911134481558</v>
      </c>
      <c r="O102" s="401" t="n">
        <v>0.200229893423168</v>
      </c>
      <c r="P102" s="401" t="n">
        <v>0.183595358419511</v>
      </c>
      <c r="Q102" s="401" t="n">
        <v>0.196287431970186</v>
      </c>
      <c r="R102" s="401" t="n">
        <v>0.18592506100895</v>
      </c>
      <c r="S102" s="401" t="n">
        <v>0.186448921851544</v>
      </c>
      <c r="T102" s="401" t="n">
        <v>0.178619356716794</v>
      </c>
      <c r="U102" s="401" t="n">
        <v>0.175156413455035</v>
      </c>
      <c r="V102" s="401" t="n">
        <v>0.163476061492937</v>
      </c>
      <c r="W102" s="401" t="n">
        <v>0.165912253285699</v>
      </c>
      <c r="X102" s="401" t="n">
        <v>0.159421043941085</v>
      </c>
      <c r="Y102" s="401" t="n">
        <v>0.154851619924918</v>
      </c>
      <c r="Z102" s="401" t="n">
        <v>0.156962666972986</v>
      </c>
      <c r="AA102" s="401" t="n">
        <v>0.145750591683612</v>
      </c>
      <c r="AB102" s="401" t="n">
        <v>0.146661173410002</v>
      </c>
      <c r="AC102" s="401" t="n">
        <v>0.149215982958983</v>
      </c>
      <c r="AD102" s="401" t="n">
        <v>0.145250350767242</v>
      </c>
      <c r="AE102" s="401" t="n">
        <v>0.152732760825093</v>
      </c>
      <c r="AF102" s="401" t="n">
        <v>0.154438410820515</v>
      </c>
      <c r="AG102" s="401" t="n">
        <v>0.175556360531225</v>
      </c>
      <c r="AH102" s="401" t="n">
        <v>0.184377774427846</v>
      </c>
    </row>
    <row r="103" ht="16.5" customHeight="1" s="9">
      <c r="A103" s="0" t="inlineStr">
        <is>
          <t xml:space="preserve">  HP valsartan</t>
        </is>
      </c>
      <c r="B103" s="401" t="n">
        <v>0</v>
      </c>
      <c r="C103" s="401" t="n">
        <v>0</v>
      </c>
      <c r="D103" s="401" t="n">
        <v>0</v>
      </c>
      <c r="E103" s="401" t="n">
        <v>0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0.000141331936240232</v>
      </c>
      <c r="AH103" s="401" t="n">
        <v>0.00157175009372815</v>
      </c>
    </row>
    <row r="104" ht="16.5" customHeight="1" s="9">
      <c r="A104" s="0" t="inlineStr">
        <is>
          <t xml:space="preserve">  GP olmesartan</t>
        </is>
      </c>
      <c r="B104" s="401" t="n">
        <v>0.62159811624398</v>
      </c>
      <c r="C104" s="401" t="n">
        <v>0.5907691141388129</v>
      </c>
      <c r="D104" s="401" t="n">
        <v>0.56968973914807</v>
      </c>
      <c r="E104" s="401" t="n">
        <v>0.534291740109306</v>
      </c>
      <c r="F104" s="401" t="n">
        <v>0.5335102774304989</v>
      </c>
      <c r="G104" s="401" t="n">
        <v>0.5341482127195331</v>
      </c>
      <c r="H104" s="401" t="n">
        <v>0.497474052513973</v>
      </c>
      <c r="I104" s="401" t="n">
        <v>0.45592870375646</v>
      </c>
      <c r="J104" s="401" t="n">
        <v>0.452924754927973</v>
      </c>
      <c r="K104" s="401" t="n">
        <v>0.455173023165231</v>
      </c>
      <c r="L104" s="401" t="n">
        <v>0.451334529102035</v>
      </c>
      <c r="M104" s="401" t="n">
        <v>0.451899292891801</v>
      </c>
      <c r="N104" s="401" t="n">
        <v>0.453570651368026</v>
      </c>
      <c r="O104" s="401" t="n">
        <v>0.457968705272805</v>
      </c>
      <c r="P104" s="401" t="n">
        <v>0.4635386628816</v>
      </c>
      <c r="Q104" s="401" t="n">
        <v>0.476593878065222</v>
      </c>
      <c r="R104" s="401" t="n">
        <v>0.474087333469389</v>
      </c>
      <c r="S104" s="401" t="n">
        <v>0.448445767448293</v>
      </c>
      <c r="T104" s="401" t="n">
        <v>0.438376402273067</v>
      </c>
      <c r="U104" s="401" t="n">
        <v>0.438524948938702</v>
      </c>
      <c r="V104" s="401" t="n">
        <v>0.440409408665877</v>
      </c>
      <c r="W104" s="401" t="n">
        <v>0.443610119419165</v>
      </c>
      <c r="X104" s="401" t="n">
        <v>0.446397929253507</v>
      </c>
      <c r="Y104" s="401" t="n">
        <v>0.451681044854828</v>
      </c>
      <c r="Z104" s="401" t="n">
        <v>0.454666715156277</v>
      </c>
      <c r="AA104" s="401" t="n">
        <v>0.456146730834133</v>
      </c>
      <c r="AB104" s="401" t="n">
        <v>0.458280551618865</v>
      </c>
      <c r="AC104" s="401" t="n">
        <v>0.45980245356688</v>
      </c>
      <c r="AD104" s="401" t="n">
        <v>0.462453758493346</v>
      </c>
      <c r="AE104" s="401" t="n">
        <v>0.455274584694277</v>
      </c>
      <c r="AF104" s="401" t="n">
        <v>0.444951900222819</v>
      </c>
      <c r="AG104" s="401" t="n">
        <v>0.42741792827898</v>
      </c>
      <c r="AH104" s="401" t="n">
        <v>0.41337603009705</v>
      </c>
    </row>
    <row r="105" ht="16.5" customHeight="1" s="9">
      <c r="A105" s="0" t="inlineStr">
        <is>
          <t xml:space="preserve">  GP olmesartan 내 Original 비율</t>
        </is>
      </c>
      <c r="B105" s="401" t="n">
        <v>1</v>
      </c>
      <c r="C105" s="401" t="n">
        <v>1</v>
      </c>
      <c r="D105" s="401" t="n">
        <v>1</v>
      </c>
      <c r="E105" s="401" t="n">
        <v>0.999077925783735</v>
      </c>
      <c r="F105" s="401" t="n">
        <v>0.936641511756743</v>
      </c>
      <c r="G105" s="401" t="n">
        <v>0.887213002595172</v>
      </c>
      <c r="H105" s="401" t="n">
        <v>0.8386289548887</v>
      </c>
      <c r="I105" s="401" t="n">
        <v>0.797587060867298</v>
      </c>
      <c r="J105" s="401" t="n">
        <v>0.766473528983972</v>
      </c>
      <c r="K105" s="401" t="n">
        <v>0.751350506350953</v>
      </c>
      <c r="L105" s="401" t="n">
        <v>0.737263869213282</v>
      </c>
      <c r="M105" s="401" t="n">
        <v>0.719859866306172</v>
      </c>
      <c r="N105" s="401" t="n">
        <v>0.703244665484084</v>
      </c>
      <c r="O105" s="401" t="n">
        <v>0.6934255315026659</v>
      </c>
      <c r="P105" s="401" t="n">
        <v>0.677252962490936</v>
      </c>
      <c r="Q105" s="401" t="n">
        <v>0.656077462491761</v>
      </c>
      <c r="R105" s="401" t="n">
        <v>0.649853832945445</v>
      </c>
      <c r="S105" s="401" t="n">
        <v>0.6429549598569591</v>
      </c>
      <c r="T105" s="401" t="n">
        <v>0.632871323265098</v>
      </c>
      <c r="U105" s="401" t="n">
        <v>0.613150595273748</v>
      </c>
      <c r="V105" s="401" t="n">
        <v>0.601245315221705</v>
      </c>
      <c r="W105" s="401" t="n">
        <v>0.6070565645517541</v>
      </c>
      <c r="X105" s="401" t="n">
        <v>0.600403144574995</v>
      </c>
      <c r="Y105" s="401" t="n">
        <v>0.5868947108807</v>
      </c>
      <c r="Z105" s="401" t="n">
        <v>0.572101673722753</v>
      </c>
      <c r="AA105" s="401" t="n">
        <v>0.56798966588639</v>
      </c>
      <c r="AB105" s="401" t="n">
        <v>0.554816053701785</v>
      </c>
      <c r="AC105" s="401" t="n">
        <v>0.551183036901348</v>
      </c>
      <c r="AD105" s="401" t="n">
        <v>0.536140810953076</v>
      </c>
      <c r="AE105" s="401" t="n">
        <v>0.523201406128521</v>
      </c>
      <c r="AF105" s="401" t="n">
        <v>0.52258557804285</v>
      </c>
      <c r="AG105" s="401" t="n">
        <v>0.511527033121968</v>
      </c>
      <c r="AH105" s="401" t="n">
        <v>0.496517580158298</v>
      </c>
    </row>
    <row r="106" ht="16.5" customHeight="1" s="9">
      <c r="A106" s="0" t="inlineStr">
        <is>
          <t xml:space="preserve">  GP fimasartan</t>
        </is>
      </c>
      <c r="B106" s="401" t="n">
        <v>0</v>
      </c>
      <c r="C106" s="401" t="n">
        <v>0</v>
      </c>
      <c r="D106" s="401" t="n">
        <v>0</v>
      </c>
      <c r="E106" s="401" t="n">
        <v>0</v>
      </c>
      <c r="F106" s="401" t="n">
        <v>0</v>
      </c>
      <c r="G106" s="401" t="n">
        <v>0</v>
      </c>
      <c r="H106" s="401" t="n">
        <v>0</v>
      </c>
      <c r="I106" s="401" t="n">
        <v>0</v>
      </c>
      <c r="J106" s="401" t="n">
        <v>0</v>
      </c>
      <c r="K106" s="401" t="n">
        <v>0</v>
      </c>
      <c r="L106" s="401" t="n">
        <v>0</v>
      </c>
      <c r="M106" s="401" t="n">
        <v>0</v>
      </c>
      <c r="N106" s="401" t="n">
        <v>0</v>
      </c>
      <c r="O106" s="401" t="n">
        <v>0</v>
      </c>
      <c r="P106" s="401" t="n">
        <v>0</v>
      </c>
      <c r="Q106" s="401" t="n">
        <v>0</v>
      </c>
      <c r="R106" s="401" t="n">
        <v>0.0157436361380761</v>
      </c>
      <c r="S106" s="401" t="n">
        <v>0.0744046952436859</v>
      </c>
      <c r="T106" s="401" t="n">
        <v>0.0996042658732766</v>
      </c>
      <c r="U106" s="401" t="n">
        <v>0.10746186536528</v>
      </c>
      <c r="V106" s="401" t="n">
        <v>0.108767068020022</v>
      </c>
      <c r="W106" s="401" t="n">
        <v>0.10927961286961</v>
      </c>
      <c r="X106" s="401" t="n">
        <v>0.111055181427588</v>
      </c>
      <c r="Y106" s="401" t="n">
        <v>0.114285934592697</v>
      </c>
      <c r="Z106" s="401" t="n">
        <v>0.120316847238525</v>
      </c>
      <c r="AA106" s="401" t="n">
        <v>0.123398082474328</v>
      </c>
      <c r="AB106" s="401" t="n">
        <v>0.124785815305078</v>
      </c>
      <c r="AC106" s="401" t="n">
        <v>0.12705783616647</v>
      </c>
      <c r="AD106" s="401" t="n">
        <v>0.129675056102958</v>
      </c>
      <c r="AE106" s="401" t="n">
        <v>0.132974753081429</v>
      </c>
      <c r="AF106" s="401" t="n">
        <v>0.131381413730382</v>
      </c>
      <c r="AG106" s="401" t="n">
        <v>0.12936661457877</v>
      </c>
      <c r="AH106" s="401" t="n">
        <v>0.125434937475033</v>
      </c>
    </row>
    <row r="107" ht="16.5" customHeight="1" s="9">
      <c r="A107" s="0" t="inlineStr">
        <is>
          <t xml:space="preserve">  GP telmisartan</t>
        </is>
      </c>
      <c r="B107" s="401" t="n">
        <v>0.0688022800853882</v>
      </c>
      <c r="C107" s="401" t="n">
        <v>0.07814305361921101</v>
      </c>
      <c r="D107" s="401" t="n">
        <v>0.09213605087345809</v>
      </c>
      <c r="E107" s="401" t="n">
        <v>0.0958605146234551</v>
      </c>
      <c r="F107" s="401" t="n">
        <v>0.09311704126406981</v>
      </c>
      <c r="G107" s="401" t="n">
        <v>0.0915793444649263</v>
      </c>
      <c r="H107" s="401" t="n">
        <v>0.144658787524899</v>
      </c>
      <c r="I107" s="401" t="n">
        <v>0.213946456372561</v>
      </c>
      <c r="J107" s="401" t="n">
        <v>0.232045907652418</v>
      </c>
      <c r="K107" s="401" t="n">
        <v>0.237460150397003</v>
      </c>
      <c r="L107" s="401" t="n">
        <v>0.24984282104262</v>
      </c>
      <c r="M107" s="401" t="n">
        <v>0.250574627320881</v>
      </c>
      <c r="N107" s="401" t="n">
        <v>0.252790794415707</v>
      </c>
      <c r="O107" s="401" t="n">
        <v>0.252243282439106</v>
      </c>
      <c r="P107" s="401" t="n">
        <v>0.252902468936751</v>
      </c>
      <c r="Q107" s="401" t="n">
        <v>0.249754571754117</v>
      </c>
      <c r="R107" s="401" t="n">
        <v>0.24586133788688</v>
      </c>
      <c r="S107" s="401" t="n">
        <v>0.23072538705679</v>
      </c>
      <c r="T107" s="401" t="n">
        <v>0.22334629274044</v>
      </c>
      <c r="U107" s="401" t="n">
        <v>0.219419467910995</v>
      </c>
      <c r="V107" s="401" t="n">
        <v>0.21779914052517</v>
      </c>
      <c r="W107" s="401" t="n">
        <v>0.215514234316804</v>
      </c>
      <c r="X107" s="401" t="n">
        <v>0.213147634196098</v>
      </c>
      <c r="Y107" s="401" t="n">
        <v>0.208896139117728</v>
      </c>
      <c r="Z107" s="401" t="n">
        <v>0.206301938856571</v>
      </c>
      <c r="AA107" s="401" t="n">
        <v>0.204950910284558</v>
      </c>
      <c r="AB107" s="401" t="n">
        <v>0.204785698818191</v>
      </c>
      <c r="AC107" s="401" t="n">
        <v>0.203440966734559</v>
      </c>
      <c r="AD107" s="401" t="n">
        <v>0.203555837041245</v>
      </c>
      <c r="AE107" s="401" t="n">
        <v>0.206061526180461</v>
      </c>
      <c r="AF107" s="401" t="n">
        <v>0.205137007020085</v>
      </c>
      <c r="AG107" s="401" t="n">
        <v>0.217046379128812</v>
      </c>
      <c r="AH107" s="401" t="n">
        <v>0.223168544341052</v>
      </c>
    </row>
    <row r="108" ht="16.5" customHeight="1" s="9">
      <c r="A108" s="0" t="inlineStr">
        <is>
          <t xml:space="preserve">  GP losartan</t>
        </is>
      </c>
      <c r="B108" s="401" t="n">
        <v>0.309599603670632</v>
      </c>
      <c r="C108" s="401" t="n">
        <v>0.331087832241976</v>
      </c>
      <c r="D108" s="401" t="n">
        <v>0.338174209978472</v>
      </c>
      <c r="E108" s="401" t="n">
        <v>0.369847745267239</v>
      </c>
      <c r="F108" s="401" t="n">
        <v>0.373372681305431</v>
      </c>
      <c r="G108" s="401" t="n">
        <v>0.374272442815541</v>
      </c>
      <c r="H108" s="401" t="n">
        <v>0.357867159961128</v>
      </c>
      <c r="I108" s="401" t="n">
        <v>0.33012483987098</v>
      </c>
      <c r="J108" s="401" t="n">
        <v>0.31502933741961</v>
      </c>
      <c r="K108" s="401" t="n">
        <v>0.307366826437766</v>
      </c>
      <c r="L108" s="401" t="n">
        <v>0.298822649855346</v>
      </c>
      <c r="M108" s="401" t="n">
        <v>0.297526079787317</v>
      </c>
      <c r="N108" s="401" t="n">
        <v>0.293638554216267</v>
      </c>
      <c r="O108" s="401" t="n">
        <v>0.289788012288089</v>
      </c>
      <c r="P108" s="401" t="n">
        <v>0.283558868181649</v>
      </c>
      <c r="Q108" s="401" t="n">
        <v>0.273651550180661</v>
      </c>
      <c r="R108" s="401" t="n">
        <v>0.264307692505655</v>
      </c>
      <c r="S108" s="401" t="n">
        <v>0.246424150251231</v>
      </c>
      <c r="T108" s="401" t="n">
        <v>0.238673039113217</v>
      </c>
      <c r="U108" s="401" t="n">
        <v>0.234593717785023</v>
      </c>
      <c r="V108" s="401" t="n">
        <v>0.233024382788931</v>
      </c>
      <c r="W108" s="401" t="n">
        <v>0.231596033394421</v>
      </c>
      <c r="X108" s="401" t="n">
        <v>0.229399255122807</v>
      </c>
      <c r="Y108" s="401" t="n">
        <v>0.225136881434748</v>
      </c>
      <c r="Z108" s="401" t="n">
        <v>0.218714498748628</v>
      </c>
      <c r="AA108" s="401" t="n">
        <v>0.215504276406981</v>
      </c>
      <c r="AB108" s="401" t="n">
        <v>0.212147934257866</v>
      </c>
      <c r="AC108" s="401" t="n">
        <v>0.209698743532091</v>
      </c>
      <c r="AD108" s="401" t="n">
        <v>0.204315348362451</v>
      </c>
      <c r="AE108" s="401" t="n">
        <v>0.205689136043833</v>
      </c>
      <c r="AF108" s="401" t="n">
        <v>0.218529679026714</v>
      </c>
      <c r="AG108" s="401" t="n">
        <v>0.219278676691654</v>
      </c>
      <c r="AH108" s="401" t="n">
        <v>0.219760480170799</v>
      </c>
    </row>
    <row r="109" ht="16.5" customHeight="1" s="9">
      <c r="A109" s="0" t="inlineStr">
        <is>
          <t xml:space="preserve">  GP valsartan</t>
        </is>
      </c>
      <c r="B109" s="401" t="n">
        <v>0</v>
      </c>
      <c r="C109" s="401" t="n">
        <v>0</v>
      </c>
      <c r="D109" s="401" t="n">
        <v>0</v>
      </c>
      <c r="E109" s="401" t="n">
        <v>0</v>
      </c>
      <c r="F109" s="401" t="n">
        <v>0</v>
      </c>
      <c r="G109" s="401" t="n">
        <v>0</v>
      </c>
      <c r="H109" s="401" t="n">
        <v>0</v>
      </c>
      <c r="I109" s="401" t="n">
        <v>0</v>
      </c>
      <c r="J109" s="401" t="n">
        <v>0</v>
      </c>
      <c r="K109" s="401" t="n">
        <v>0</v>
      </c>
      <c r="L109" s="401" t="n">
        <v>0</v>
      </c>
      <c r="M109" s="401" t="n">
        <v>0</v>
      </c>
      <c r="N109" s="401" t="n">
        <v>0</v>
      </c>
      <c r="O109" s="401" t="n">
        <v>0</v>
      </c>
      <c r="P109" s="401" t="n">
        <v>0</v>
      </c>
      <c r="Q109" s="401" t="n">
        <v>0</v>
      </c>
      <c r="R109" s="401" t="n">
        <v>0</v>
      </c>
      <c r="S109" s="401" t="n">
        <v>0</v>
      </c>
      <c r="T109" s="401" t="n">
        <v>0</v>
      </c>
      <c r="U109" s="401" t="n">
        <v>0</v>
      </c>
      <c r="V109" s="401" t="n">
        <v>0</v>
      </c>
      <c r="W109" s="401" t="n">
        <v>0</v>
      </c>
      <c r="X109" s="401" t="n">
        <v>0</v>
      </c>
      <c r="Y109" s="401" t="n">
        <v>0</v>
      </c>
      <c r="Z109" s="401" t="n">
        <v>0</v>
      </c>
      <c r="AA109" s="401" t="n">
        <v>0</v>
      </c>
      <c r="AB109" s="401" t="n">
        <v>0</v>
      </c>
      <c r="AC109" s="401" t="n">
        <v>0</v>
      </c>
      <c r="AD109" s="401" t="n">
        <v>0</v>
      </c>
      <c r="AE109" s="401" t="n">
        <v>0</v>
      </c>
      <c r="AF109" s="401" t="n">
        <v>0</v>
      </c>
      <c r="AG109" s="401" t="n">
        <v>0.00689040132178339</v>
      </c>
      <c r="AH109" s="401" t="n">
        <v>0.018260007916067</v>
      </c>
    </row>
    <row r="111" ht="16.5" customHeight="1" s="9">
      <c r="A111" s="90" t="inlineStr">
        <is>
          <t xml:space="preserve">  분기 index(회귀용, FY+0.00/0.25/0.50/0.75)</t>
        </is>
      </c>
      <c r="B111" s="0" t="n">
        <v>2018</v>
      </c>
      <c r="C111" s="0" t="n">
        <v>2018.25</v>
      </c>
      <c r="D111" s="0" t="n">
        <v>2018.5</v>
      </c>
      <c r="E111" s="0" t="n">
        <v>2018.75</v>
      </c>
      <c r="F111" s="0" t="n">
        <v>2019</v>
      </c>
      <c r="G111" s="0" t="n">
        <v>2019.25</v>
      </c>
      <c r="H111" s="0" t="n">
        <v>2019.5</v>
      </c>
      <c r="I111" s="0" t="n">
        <v>2019.75</v>
      </c>
      <c r="J111" s="0" t="n">
        <v>2020</v>
      </c>
      <c r="K111" s="0" t="n">
        <v>2020.25</v>
      </c>
      <c r="L111" s="0" t="n">
        <v>2020.5</v>
      </c>
      <c r="M111" s="0" t="n">
        <v>2020.75</v>
      </c>
      <c r="N111" s="0" t="n">
        <v>2021</v>
      </c>
      <c r="O111" s="0" t="n">
        <v>2021.25</v>
      </c>
      <c r="P111" s="0" t="n">
        <v>2021.5</v>
      </c>
      <c r="Q111" s="0" t="n">
        <v>2021.75</v>
      </c>
      <c r="R111" s="0" t="n">
        <v>2022</v>
      </c>
      <c r="S111" s="0" t="n">
        <v>2022.25</v>
      </c>
      <c r="T111" s="0" t="n">
        <v>2022.5</v>
      </c>
      <c r="U111" s="0" t="n">
        <v>2022.75</v>
      </c>
      <c r="V111" s="0" t="n">
        <v>2023</v>
      </c>
      <c r="W111" s="0" t="n">
        <v>2023.25</v>
      </c>
      <c r="X111" s="0" t="n">
        <v>2023.5</v>
      </c>
      <c r="Y111" s="0" t="n">
        <v>2023.75</v>
      </c>
      <c r="Z111" s="0" t="n">
        <v>2024</v>
      </c>
      <c r="AA111" s="0" t="n">
        <v>2024.25</v>
      </c>
      <c r="AB111" s="0" t="n">
        <v>2024.5</v>
      </c>
      <c r="AC111" s="0" t="n">
        <v>2024.75</v>
      </c>
      <c r="AD111" s="0" t="n">
        <v>2025</v>
      </c>
      <c r="AE111" s="0" t="n">
        <v>2025.25</v>
      </c>
      <c r="AF111" s="0" t="n">
        <v>2025.5</v>
      </c>
      <c r="AG111" s="0" t="n">
        <v>2025.75</v>
      </c>
      <c r="AH111" s="0" t="n">
        <v>2026</v>
      </c>
    </row>
    <row r="112" ht="16.5" customHeight="1" s="9">
      <c r="A112" s="0" t="inlineStr">
        <is>
          <t xml:space="preserve">  GP olmesartan logit(floor=$C$76 고정) 변환값 = LN((y-floor)/(1-y))</t>
        </is>
      </c>
      <c r="B112" s="0">
        <f>IFERROR(LN((B104-$C$84)/(1-B104)),"")</f>
        <v/>
      </c>
      <c r="C112" s="0">
        <f>IFERROR(LN((C104-$C$84)/(1-C104)),"")</f>
        <v/>
      </c>
      <c r="D112" s="0">
        <f>IFERROR(LN((D104-$C$84)/(1-D104)),"")</f>
        <v/>
      </c>
      <c r="E112" s="0">
        <f>IFERROR(LN((E104-$C$84)/(1-E104)),"")</f>
        <v/>
      </c>
      <c r="F112" s="0">
        <f>IFERROR(LN((F104-$C$84)/(1-F104)),"")</f>
        <v/>
      </c>
      <c r="G112" s="0">
        <f>IFERROR(LN((G104-$C$84)/(1-G104)),"")</f>
        <v/>
      </c>
      <c r="H112" s="0">
        <f>IFERROR(LN((H104-$C$84)/(1-H104)),"")</f>
        <v/>
      </c>
      <c r="I112" s="0">
        <f>IFERROR(LN((I104-$C$84)/(1-I104)),"")</f>
        <v/>
      </c>
      <c r="J112" s="0">
        <f>IFERROR(LN((J104-$C$84)/(1-J104)),"")</f>
        <v/>
      </c>
      <c r="K112" s="0">
        <f>IFERROR(LN((K104-$C$84)/(1-K104)),"")</f>
        <v/>
      </c>
      <c r="L112" s="0">
        <f>IFERROR(LN((L104-$C$84)/(1-L104)),"")</f>
        <v/>
      </c>
      <c r="M112" s="0">
        <f>IFERROR(LN((M104-$C$84)/(1-M104)),"")</f>
        <v/>
      </c>
      <c r="N112" s="0">
        <f>IFERROR(LN((N104-$C$84)/(1-N104)),"")</f>
        <v/>
      </c>
      <c r="O112" s="0">
        <f>IFERROR(LN((O104-$C$84)/(1-O104)),"")</f>
        <v/>
      </c>
      <c r="P112" s="0">
        <f>IFERROR(LN((P104-$C$84)/(1-P104)),"")</f>
        <v/>
      </c>
      <c r="Q112" s="0">
        <f>IFERROR(LN((Q104-$C$84)/(1-Q104)),"")</f>
        <v/>
      </c>
      <c r="R112" s="0">
        <f>IFERROR(LN((R104-$C$84)/(1-R104)),"")</f>
        <v/>
      </c>
      <c r="S112" s="0">
        <f>IFERROR(LN((S104-$C$84)/(1-S104)),"")</f>
        <v/>
      </c>
      <c r="T112" s="0">
        <f>IFERROR(LN((T104-$C$84)/(1-T104)),"")</f>
        <v/>
      </c>
      <c r="U112" s="0">
        <f>IFERROR(LN((U104-$C$84)/(1-U104)),"")</f>
        <v/>
      </c>
      <c r="V112" s="0">
        <f>IFERROR(LN((V104-$C$84)/(1-V104)),"")</f>
        <v/>
      </c>
      <c r="W112" s="0">
        <f>IFERROR(LN((W104-$C$84)/(1-W104)),"")</f>
        <v/>
      </c>
      <c r="X112" s="0">
        <f>IFERROR(LN((X104-$C$84)/(1-X104)),"")</f>
        <v/>
      </c>
      <c r="Y112" s="0">
        <f>IFERROR(LN((Y104-$C$84)/(1-Y104)),"")</f>
        <v/>
      </c>
      <c r="Z112" s="0">
        <f>IFERROR(LN((Z104-$C$84)/(1-Z104)),"")</f>
        <v/>
      </c>
      <c r="AA112" s="0">
        <f>IFERROR(LN((AA104-$C$84)/(1-AA104)),"")</f>
        <v/>
      </c>
      <c r="AB112" s="0">
        <f>IFERROR(LN((AB104-$C$84)/(1-AB104)),"")</f>
        <v/>
      </c>
      <c r="AC112" s="0">
        <f>IFERROR(LN((AC104-$C$84)/(1-AC104)),"")</f>
        <v/>
      </c>
      <c r="AD112" s="0">
        <f>IFERROR(LN((AD104-$C$84)/(1-AD104)),"")</f>
        <v/>
      </c>
      <c r="AE112" s="0">
        <f>IFERROR(LN((AE104-$C$84)/(1-AE104)),"")</f>
        <v/>
      </c>
      <c r="AF112" s="0">
        <f>IFERROR(LN((AF104-$C$84)/(1-AF104)),"")</f>
        <v/>
      </c>
      <c r="AG112" s="0">
        <f>IFERROR(LN((AG104-$C$84)/(1-AG104)),"")</f>
        <v/>
      </c>
      <c r="AH112" s="0">
        <f>IFERROR(LN((AH104-$C$84)/(1-AH104)),"")</f>
        <v/>
      </c>
    </row>
    <row r="113" ht="16.5" customHeight="1" s="9">
      <c r="A113" s="0" t="inlineStr">
        <is>
          <t xml:space="preserve">  ※ trend(x) = $C$76+(1-$C$76)/(1+EXP(-($D$76*x+$E$76))) — 아래 K34:O34에서 사용</t>
        </is>
      </c>
    </row>
    <row r="114" ht="16.5" customHeight="1" s="9">
      <c r="A114" s="0" t="inlineStr">
        <is>
          <t xml:space="preserve">  GP Olmesartan 내 Original logit 변환값 = LN(y/(1-y))</t>
        </is>
      </c>
      <c r="B114" s="0">
        <f>IFERROR(LN(B105/(1-B105)),"")</f>
        <v/>
      </c>
      <c r="C114" s="0">
        <f>IFERROR(LN(C105/(1-C105)),"")</f>
        <v/>
      </c>
      <c r="D114" s="0">
        <f>IFERROR(LN(D105/(1-D105)),"")</f>
        <v/>
      </c>
      <c r="E114" s="0">
        <f>IFERROR(LN(E105/(1-E105)),"")</f>
        <v/>
      </c>
      <c r="F114" s="0">
        <f>IFERROR(LN(F105/(1-F105)),"")</f>
        <v/>
      </c>
      <c r="G114" s="0">
        <f>IFERROR(LN(G105/(1-G105)),"")</f>
        <v/>
      </c>
      <c r="H114" s="0">
        <f>IFERROR(LN(H105/(1-H105)),"")</f>
        <v/>
      </c>
      <c r="I114" s="0">
        <f>IFERROR(LN(I105/(1-I105)),"")</f>
        <v/>
      </c>
      <c r="J114" s="0">
        <f>IFERROR(LN(J105/(1-J105)),"")</f>
        <v/>
      </c>
      <c r="K114" s="0">
        <f>IFERROR(LN(K105/(1-K105)),"")</f>
        <v/>
      </c>
      <c r="L114" s="0">
        <f>IFERROR(LN(L105/(1-L105)),"")</f>
        <v/>
      </c>
      <c r="M114" s="0">
        <f>IFERROR(LN(M105/(1-M105)),"")</f>
        <v/>
      </c>
      <c r="N114" s="0">
        <f>IFERROR(LN(N105/(1-N105)),"")</f>
        <v/>
      </c>
      <c r="O114" s="0">
        <f>IFERROR(LN(O105/(1-O105)),"")</f>
        <v/>
      </c>
      <c r="P114" s="0">
        <f>IFERROR(LN(P105/(1-P105)),"")</f>
        <v/>
      </c>
      <c r="Q114" s="0">
        <f>IFERROR(LN(Q105/(1-Q105)),"")</f>
        <v/>
      </c>
      <c r="R114" s="0">
        <f>IFERROR(LN(R105/(1-R105)),"")</f>
        <v/>
      </c>
      <c r="S114" s="0">
        <f>IFERROR(LN(S105/(1-S105)),"")</f>
        <v/>
      </c>
      <c r="T114" s="0">
        <f>IFERROR(LN(T105/(1-T105)),"")</f>
        <v/>
      </c>
      <c r="U114" s="0">
        <f>IFERROR(LN(U105/(1-U105)),"")</f>
        <v/>
      </c>
      <c r="V114" s="0">
        <f>IFERROR(LN(V105/(1-V105)),"")</f>
        <v/>
      </c>
      <c r="W114" s="0">
        <f>IFERROR(LN(W105/(1-W105)),"")</f>
        <v/>
      </c>
      <c r="X114" s="0">
        <f>IFERROR(LN(X105/(1-X105)),"")</f>
        <v/>
      </c>
      <c r="Y114" s="0">
        <f>IFERROR(LN(Y105/(1-Y105)),"")</f>
        <v/>
      </c>
      <c r="Z114" s="0">
        <f>IFERROR(LN(Z105/(1-Z105)),"")</f>
        <v/>
      </c>
      <c r="AA114" s="0">
        <f>IFERROR(LN(AA105/(1-AA105)),"")</f>
        <v/>
      </c>
      <c r="AB114" s="0">
        <f>IFERROR(LN(AB105/(1-AB105)),"")</f>
        <v/>
      </c>
      <c r="AC114" s="0">
        <f>IFERROR(LN(AC105/(1-AC105)),"")</f>
        <v/>
      </c>
      <c r="AD114" s="0">
        <f>IFERROR(LN(AD105/(1-AD105)),"")</f>
        <v/>
      </c>
      <c r="AE114" s="0">
        <f>IFERROR(LN(AE105/(1-AE105)),"")</f>
        <v/>
      </c>
      <c r="AF114" s="0">
        <f>IFERROR(LN(AF105/(1-AF105)),"")</f>
        <v/>
      </c>
      <c r="AG114" s="0">
        <f>IFERROR(LN(AG105/(1-AG105)),"")</f>
        <v/>
      </c>
      <c r="AH114" s="0">
        <f>IFERROR(LN(AH105/(1-AH105)),"")</f>
        <v/>
      </c>
    </row>
    <row r="116" ht="16.5" customHeight="1" s="9">
      <c r="A116" s="134" t="inlineStr">
        <is>
          <t xml:space="preserve">  FY분기 index(회귀용, D섹션 HP:GP 비율용)</t>
        </is>
      </c>
      <c r="C116" s="134" t="n">
        <v>2020.75</v>
      </c>
      <c r="D116" s="134" t="n">
        <v>2021</v>
      </c>
      <c r="E116" s="134" t="n">
        <v>2021.25</v>
      </c>
      <c r="F116" s="134" t="n">
        <v>2021.5</v>
      </c>
      <c r="G116" s="134" t="n">
        <v>2021.75</v>
      </c>
      <c r="H116" s="134" t="n">
        <v>2022</v>
      </c>
      <c r="I116" s="134" t="n">
        <v>2022.25</v>
      </c>
      <c r="J116" s="134" t="n">
        <v>2022.5</v>
      </c>
      <c r="K116" s="134" t="n">
        <v>2022.75</v>
      </c>
      <c r="L116" s="134" t="n">
        <v>2023</v>
      </c>
      <c r="M116" s="134" t="n">
        <v>2023.25</v>
      </c>
      <c r="N116" s="134" t="n">
        <v>2023.5</v>
      </c>
      <c r="O116" s="134" t="n">
        <v>2023.75</v>
      </c>
      <c r="P116" s="134" t="n">
        <v>2024</v>
      </c>
      <c r="Q116" s="134" t="n">
        <v>2024.25</v>
      </c>
      <c r="R116" s="134" t="n">
        <v>2024.5</v>
      </c>
      <c r="S116" s="134" t="n">
        <v>2024.75</v>
      </c>
      <c r="T116" s="134" t="n">
        <v>2025</v>
      </c>
      <c r="U116" s="134" t="n">
        <v>2025.25</v>
      </c>
      <c r="V116" s="134" t="n">
        <v>2025.5</v>
      </c>
      <c r="W116" s="134" t="n">
        <v>2025.75</v>
      </c>
      <c r="X116" s="134" t="n">
        <v>2026</v>
      </c>
    </row>
    <row r="117" ht="16.5" customHeight="1" s="9">
      <c r="A117" s="134" t="inlineStr">
        <is>
          <t xml:space="preserve">  (참고) FY분기 라벨</t>
        </is>
      </c>
      <c r="C117" s="134" t="inlineStr">
        <is>
          <t>FY2020Q4</t>
        </is>
      </c>
      <c r="D117" s="134" t="inlineStr">
        <is>
          <t>FY2021Q1</t>
        </is>
      </c>
      <c r="E117" s="134" t="inlineStr">
        <is>
          <t>FY2021Q2</t>
        </is>
      </c>
      <c r="F117" s="134" t="inlineStr">
        <is>
          <t>FY2021Q3</t>
        </is>
      </c>
      <c r="G117" s="134" t="inlineStr">
        <is>
          <t>FY2021Q4</t>
        </is>
      </c>
      <c r="H117" s="134" t="inlineStr">
        <is>
          <t>FY2022Q1</t>
        </is>
      </c>
      <c r="I117" s="134" t="inlineStr">
        <is>
          <t>FY2022Q2</t>
        </is>
      </c>
      <c r="J117" s="134" t="inlineStr">
        <is>
          <t>FY2022Q3</t>
        </is>
      </c>
      <c r="K117" s="134" t="inlineStr">
        <is>
          <t>FY2022Q4</t>
        </is>
      </c>
      <c r="L117" s="134" t="inlineStr">
        <is>
          <t>FY2023Q1</t>
        </is>
      </c>
      <c r="M117" s="134" t="inlineStr">
        <is>
          <t>FY2023Q2</t>
        </is>
      </c>
      <c r="N117" s="134" t="inlineStr">
        <is>
          <t>FY2023Q3</t>
        </is>
      </c>
      <c r="O117" s="134" t="inlineStr">
        <is>
          <t>FY2023Q4</t>
        </is>
      </c>
      <c r="P117" s="134" t="inlineStr">
        <is>
          <t>FY2024Q1</t>
        </is>
      </c>
      <c r="Q117" s="134" t="inlineStr">
        <is>
          <t>FY2024Q2</t>
        </is>
      </c>
      <c r="R117" s="134" t="inlineStr">
        <is>
          <t>FY2024Q3</t>
        </is>
      </c>
      <c r="S117" s="134" t="inlineStr">
        <is>
          <t>FY2024Q4</t>
        </is>
      </c>
      <c r="T117" s="134" t="inlineStr">
        <is>
          <t>FY2025Q1</t>
        </is>
      </c>
      <c r="U117" s="134" t="inlineStr">
        <is>
          <t>FY2025Q2</t>
        </is>
      </c>
      <c r="V117" s="134" t="inlineStr">
        <is>
          <t>FY2025Q3</t>
        </is>
      </c>
      <c r="W117" s="134" t="inlineStr">
        <is>
          <t>FY2025Q4</t>
        </is>
      </c>
      <c r="X117" s="134" t="inlineStr">
        <is>
          <t>FY2026Q1</t>
        </is>
      </c>
    </row>
    <row r="118" ht="16.5" customHeight="1" s="9">
      <c r="A118" s="134" t="inlineStr">
        <is>
          <t xml:space="preserve">  HP:GP 비율(HP) 분기실측</t>
        </is>
      </c>
      <c r="C118" s="134" t="n">
        <v>0.253304</v>
      </c>
      <c r="D118" s="134" t="n">
        <v>0.246081</v>
      </c>
      <c r="E118" s="134" t="n">
        <v>0.246791</v>
      </c>
      <c r="F118" s="134" t="n">
        <v>0.246833</v>
      </c>
      <c r="G118" s="134" t="n">
        <v>0.240717</v>
      </c>
      <c r="H118" s="134" t="n">
        <v>0.236667</v>
      </c>
      <c r="I118" s="134" t="n">
        <v>0.23406</v>
      </c>
      <c r="J118" s="134" t="n">
        <v>0.235439</v>
      </c>
      <c r="K118" s="134" t="n">
        <v>0.23569</v>
      </c>
      <c r="L118" s="134" t="n">
        <v>0.240672</v>
      </c>
      <c r="M118" s="134" t="n">
        <v>0.244033</v>
      </c>
      <c r="N118" s="134" t="n">
        <v>0.251649</v>
      </c>
      <c r="O118" s="134" t="n">
        <v>0.24779</v>
      </c>
      <c r="P118" s="134" t="n">
        <v>0.246049</v>
      </c>
      <c r="Q118" s="134" t="n">
        <v>0.247133</v>
      </c>
      <c r="R118" s="134" t="n">
        <v>0.25156</v>
      </c>
      <c r="S118" s="134" t="n">
        <v>0.244824</v>
      </c>
      <c r="T118" s="134" t="n">
        <v>0.243403</v>
      </c>
      <c r="U118" s="134" t="n">
        <v>0.23681</v>
      </c>
      <c r="V118" s="134" t="n">
        <v>0.235871</v>
      </c>
      <c r="W118" s="134" t="n">
        <v>0.228495</v>
      </c>
      <c r="X118" s="134" t="n">
        <v>0.229326</v>
      </c>
    </row>
    <row r="119" ht="16.5" customHeight="1" s="9">
      <c r="A119" s="134" t="inlineStr">
        <is>
          <t xml:space="preserve">  logit 변환값</t>
        </is>
      </c>
      <c r="C119" s="134">
        <f>LN(C118/(1-C118))</f>
        <v/>
      </c>
      <c r="D119" s="134">
        <f>LN(D118/(1-D118))</f>
        <v/>
      </c>
      <c r="E119" s="134">
        <f>LN(E118/(1-E118))</f>
        <v/>
      </c>
      <c r="F119" s="134">
        <f>LN(F118/(1-F118))</f>
        <v/>
      </c>
      <c r="G119" s="134">
        <f>LN(G118/(1-G118))</f>
        <v/>
      </c>
      <c r="H119" s="134">
        <f>LN(H118/(1-H118))</f>
        <v/>
      </c>
      <c r="I119" s="134">
        <f>LN(I118/(1-I118))</f>
        <v/>
      </c>
      <c r="J119" s="134">
        <f>LN(J118/(1-J118))</f>
        <v/>
      </c>
      <c r="K119" s="134">
        <f>LN(K118/(1-K118))</f>
        <v/>
      </c>
      <c r="L119" s="134">
        <f>LN(L118/(1-L118))</f>
        <v/>
      </c>
      <c r="M119" s="134">
        <f>LN(M118/(1-M118))</f>
        <v/>
      </c>
      <c r="N119" s="134">
        <f>LN(N118/(1-N118))</f>
        <v/>
      </c>
      <c r="O119" s="134">
        <f>LN(O118/(1-O118))</f>
        <v/>
      </c>
      <c r="P119" s="134">
        <f>LN(P118/(1-P118))</f>
        <v/>
      </c>
      <c r="Q119" s="134">
        <f>LN(Q118/(1-Q118))</f>
        <v/>
      </c>
      <c r="R119" s="134">
        <f>LN(R118/(1-R118))</f>
        <v/>
      </c>
      <c r="S119" s="134">
        <f>LN(S118/(1-S118))</f>
        <v/>
      </c>
      <c r="T119" s="134">
        <f>LN(T118/(1-T118))</f>
        <v/>
      </c>
      <c r="U119" s="134">
        <f>LN(U118/(1-U118))</f>
        <v/>
      </c>
      <c r="V119" s="134">
        <f>LN(V118/(1-V118))</f>
        <v/>
      </c>
      <c r="W119" s="134">
        <f>LN(W118/(1-W118))</f>
        <v/>
      </c>
      <c r="X119" s="134">
        <f>LN(X118/(1-X118))</f>
        <v/>
      </c>
    </row>
    <row r="120">
      <c r="A120" s="135" t="inlineStr">
        <is>
          <t xml:space="preserve">  logit(floor=$G$62 고정) 변환값 = LN((y-floor)/(1-y))</t>
        </is>
      </c>
      <c r="C120" s="135">
        <f>IFERROR(LN((C118-$G$70)/(1-C118)),"")</f>
        <v/>
      </c>
      <c r="D120" s="135">
        <f>IFERROR(LN((D118-$G$70)/(1-D118)),"")</f>
        <v/>
      </c>
      <c r="E120" s="135">
        <f>IFERROR(LN((E118-$G$70)/(1-E118)),"")</f>
        <v/>
      </c>
      <c r="F120" s="135">
        <f>IFERROR(LN((F118-$G$70)/(1-F118)),"")</f>
        <v/>
      </c>
      <c r="G120" s="135">
        <f>IFERROR(LN((G118-$G$70)/(1-G118)),"")</f>
        <v/>
      </c>
      <c r="H120" s="135">
        <f>IFERROR(LN((H118-$G$70)/(1-H118)),"")</f>
        <v/>
      </c>
      <c r="I120" s="135">
        <f>IFERROR(LN((I118-$G$70)/(1-I118)),"")</f>
        <v/>
      </c>
      <c r="J120" s="135">
        <f>IFERROR(LN((J118-$G$70)/(1-J118)),"")</f>
        <v/>
      </c>
      <c r="K120" s="135">
        <f>IFERROR(LN((K118-$G$70)/(1-K118)),"")</f>
        <v/>
      </c>
      <c r="L120" s="135">
        <f>IFERROR(LN((L118-$G$70)/(1-L118)),"")</f>
        <v/>
      </c>
      <c r="M120" s="135">
        <f>IFERROR(LN((M118-$G$70)/(1-M118)),"")</f>
        <v/>
      </c>
      <c r="N120" s="135">
        <f>IFERROR(LN((N118-$G$70)/(1-N118)),"")</f>
        <v/>
      </c>
      <c r="O120" s="135">
        <f>IFERROR(LN((O118-$G$70)/(1-O118)),"")</f>
        <v/>
      </c>
      <c r="P120" s="131">
        <f>IFERROR(LN((P118-$G$70)/(1-P118)),"")</f>
        <v/>
      </c>
      <c r="Q120" s="131">
        <f>IFERROR(LN((Q118-$G$70)/(1-Q118)),"")</f>
        <v/>
      </c>
      <c r="R120" s="131">
        <f>IFERROR(LN((R118-$G$70)/(1-R118)),"")</f>
        <v/>
      </c>
      <c r="S120" s="131">
        <f>IFERROR(LN((S118-$G$70)/(1-S118)),"")</f>
        <v/>
      </c>
      <c r="T120" s="131">
        <f>IFERROR(LN((T118-$G$70)/(1-T118)),"")</f>
        <v/>
      </c>
      <c r="U120" s="131">
        <f>IFERROR(LN((U118-$G$70)/(1-U118)),"")</f>
        <v/>
      </c>
      <c r="V120" s="131">
        <f>IFERROR(LN((V118-$G$70)/(1-V118)),"")</f>
        <v/>
      </c>
      <c r="W120" s="131">
        <f>IFERROR(LN((W118-$G$70)/(1-W118)),"")</f>
        <v/>
      </c>
      <c r="X120" s="131">
        <f>IFERROR(LN((X118-$G$70)/(1-X118)),"")</f>
        <v/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2:P58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9" min="1" max="1"/>
    <col width="12.8" customWidth="1" style="9" min="2" max="2"/>
    <col width="12.8" customWidth="1" style="9" min="3" max="3"/>
    <col width="12.8" customWidth="1" style="9" min="4" max="4"/>
    <col width="12.8" customWidth="1" style="9" min="5" max="5"/>
    <col width="12.8" customWidth="1" style="9" min="6" max="6"/>
    <col width="12.8" customWidth="1" style="9" min="7" max="7"/>
    <col width="12.8" customWidth="1" style="9" min="8" max="8"/>
    <col width="12.8" customWidth="1" style="9" min="9" max="9"/>
    <col width="11.5" customWidth="1" style="9" min="10" max="10"/>
    <col width="11.5" customWidth="1" style="9" min="11" max="11"/>
    <col width="11.5" customWidth="1" style="9" min="12" max="12"/>
    <col width="11.5" customWidth="1" style="9" min="13" max="13"/>
    <col width="11.5" customWidth="1" style="9" min="14" max="14"/>
    <col width="3" customWidth="1" style="9" min="15" max="15"/>
    <col width="11.9" customWidth="1" style="9" min="16" max="16"/>
  </cols>
  <sheetData>
    <row r="2">
      <c r="A2" s="495" t="inlineStr">
        <is>
          <t>DSKR SVK HCT (시장)매출 산출 : UBIST 데이터 기반 예측 (FY26 목표단가 적용)</t>
        </is>
      </c>
    </row>
    <row r="4">
      <c r="B4" s="496" t="inlineStr">
        <is>
          <t>◀ 실측 (DSKR, FY2018~2025)</t>
        </is>
      </c>
      <c r="J4" s="496" t="inlineStr">
        <is>
          <t>예측 ▶</t>
        </is>
      </c>
    </row>
    <row r="5">
      <c r="A5" s="451" t="inlineStr">
        <is>
          <t>구분 / 회계연도 ▶</t>
        </is>
      </c>
      <c r="B5" s="497" t="inlineStr">
        <is>
          <t>FY2018</t>
        </is>
      </c>
      <c r="C5" s="497" t="inlineStr">
        <is>
          <t>FY2019</t>
        </is>
      </c>
      <c r="D5" s="497" t="inlineStr">
        <is>
          <t>FY2020</t>
        </is>
      </c>
      <c r="E5" s="497" t="inlineStr">
        <is>
          <t>FY2021</t>
        </is>
      </c>
      <c r="F5" s="497" t="inlineStr">
        <is>
          <t>FY2022</t>
        </is>
      </c>
      <c r="G5" s="497" t="inlineStr">
        <is>
          <t>FY2023</t>
        </is>
      </c>
      <c r="H5" s="497" t="inlineStr">
        <is>
          <t>FY2024</t>
        </is>
      </c>
      <c r="I5" s="497" t="inlineStr">
        <is>
          <t>FY2025</t>
        </is>
      </c>
      <c r="J5" s="498" t="inlineStr">
        <is>
          <t>FY2026</t>
        </is>
      </c>
      <c r="K5" s="498" t="inlineStr">
        <is>
          <t>FY2027</t>
        </is>
      </c>
      <c r="L5" s="498" t="inlineStr">
        <is>
          <t>FY2028</t>
        </is>
      </c>
      <c r="M5" s="498" t="inlineStr">
        <is>
          <t>FY2029</t>
        </is>
      </c>
      <c r="N5" s="498" t="inlineStr">
        <is>
          <t>FY2030</t>
        </is>
      </c>
      <c r="P5" s="498" t="inlineStr">
        <is>
          <t>FY26 1분기</t>
        </is>
      </c>
    </row>
    <row r="6">
      <c r="A6" s="492" t="inlineStr">
        <is>
          <t>■ A. SVK HCT 처방량 (T)                      [근거_SVK HCT처방량 참조]</t>
        </is>
      </c>
    </row>
    <row r="7">
      <c r="A7" t="inlineStr">
        <is>
          <t xml:space="preserve">  SVK HCT 처방량</t>
        </is>
      </c>
      <c r="B7" s="493">
        <f>'근거_SVK HCT처방량'!B31</f>
        <v/>
      </c>
      <c r="C7" s="493">
        <f>'근거_SVK HCT처방량'!C31</f>
        <v/>
      </c>
      <c r="D7" s="493">
        <f>'근거_SVK HCT처방량'!D31</f>
        <v/>
      </c>
      <c r="E7" s="493">
        <f>'근거_SVK HCT처방량'!E31</f>
        <v/>
      </c>
      <c r="F7" s="493">
        <f>'근거_SVK HCT처방량'!F31</f>
        <v/>
      </c>
      <c r="G7" s="493">
        <f>'근거_SVK HCT처방량'!G31</f>
        <v/>
      </c>
      <c r="H7" s="493">
        <f>'근거_SVK HCT처방량'!H31</f>
        <v/>
      </c>
      <c r="I7" s="493">
        <f>'근거_SVK HCT처방량'!I31</f>
        <v/>
      </c>
      <c r="J7" s="493">
        <f>'근거_SVK HCT처방량'!J31</f>
        <v/>
      </c>
      <c r="K7" s="493">
        <f>'근거_SVK HCT처방량'!K31</f>
        <v/>
      </c>
      <c r="L7" s="493">
        <f>'근거_SVK HCT처방량'!L31</f>
        <v/>
      </c>
      <c r="M7" s="493">
        <f>'근거_SVK HCT처방량'!M31</f>
        <v/>
      </c>
      <c r="N7" s="493">
        <f>'근거_SVK HCT처방량'!N31</f>
        <v/>
      </c>
      <c r="P7" s="493">
        <f>'근거_SVK HCT처방량'!P31</f>
        <v/>
      </c>
    </row>
    <row r="9">
      <c r="A9" s="492" t="inlineStr">
        <is>
          <t xml:space="preserve">■ B. DSKR 매출수량 (T)                [FY2018~2025 : 시장매출 실측 (재고 불포함) | FY2026~FY2030 : SVK HCT 처방량(A) ÷ 전환비율(C)]     </t>
        </is>
      </c>
    </row>
    <row r="10">
      <c r="A10" s="486" t="inlineStr">
        <is>
          <t xml:space="preserve">  ▶ 1) Model Base </t>
        </is>
      </c>
      <c r="B10" s="499" t="n">
        <v>42469448</v>
      </c>
      <c r="C10" s="499" t="n">
        <v>45203200</v>
      </c>
      <c r="D10" s="499" t="n">
        <v>47299084</v>
      </c>
      <c r="E10" s="499" t="n">
        <v>52568628</v>
      </c>
      <c r="F10" s="499" t="n">
        <v>55088880</v>
      </c>
      <c r="G10" s="499" t="n">
        <v>54927768</v>
      </c>
      <c r="H10" s="499" t="n">
        <v>55423004</v>
      </c>
      <c r="I10" s="499" t="n">
        <v>55280120</v>
      </c>
      <c r="J10" s="487">
        <f>J7/J20</f>
        <v/>
      </c>
      <c r="K10" s="487">
        <f>K7/K20</f>
        <v/>
      </c>
      <c r="L10" s="487">
        <f>L7/L20</f>
        <v/>
      </c>
      <c r="M10" s="487">
        <f>M7/M20</f>
        <v/>
      </c>
      <c r="N10" s="487">
        <f>N7/N20</f>
        <v/>
      </c>
      <c r="P10" s="500" t="n">
        <v>13995296</v>
      </c>
    </row>
    <row r="11">
      <c r="A11" t="inlineStr">
        <is>
          <t xml:space="preserve">   : 모듈 산출치로 시나리오 기준선 역할</t>
        </is>
      </c>
    </row>
    <row r="12">
      <c r="A12" s="486" t="inlineStr">
        <is>
          <t xml:space="preserve">  ▶ 2) MKT Base                         [FY2026 : MKT 제공 예측치 | FY2027~FY2030 : 전년 × Model Base 증감률]</t>
        </is>
      </c>
      <c r="J12" s="501">
        <f>J10</f>
        <v/>
      </c>
      <c r="K12" s="487">
        <f>J12*K10/J10</f>
        <v/>
      </c>
      <c r="L12" s="487">
        <f>K12*L10/K10</f>
        <v/>
      </c>
      <c r="M12" s="487">
        <f>L12*M10/L10</f>
        <v/>
      </c>
      <c r="N12" s="487">
        <f>M12*N10/M10</f>
        <v/>
      </c>
    </row>
    <row r="13">
      <c r="A13" t="inlineStr">
        <is>
          <t xml:space="preserve">  : '26 MKT 제출 수치 확보 시 J12에 직접 입력 (현재 미확보 → Model Base 연동 수식) </t>
        </is>
      </c>
      <c r="J13" s="401">
        <f>J12/J10-1</f>
        <v/>
      </c>
      <c r="K13" s="401">
        <f>K12/K10-1</f>
        <v/>
      </c>
      <c r="L13" s="401">
        <f>L12/L10-1</f>
        <v/>
      </c>
      <c r="M13" s="401">
        <f>M12/M10-1</f>
        <v/>
      </c>
      <c r="N13" s="401">
        <f>N12/N10-1</f>
        <v/>
      </c>
    </row>
    <row r="14">
      <c r="A14" s="502" t="inlineStr">
        <is>
          <t xml:space="preserve">  ▶ 3) Best Scenario                    [FY2027~FY2030 : (Base 처방량 + 침투율 -10%p 효과 (Original 100% 상한 적용)) ÷ 전환비율]</t>
        </is>
      </c>
      <c r="J14" s="503">
        <f>('근거_SVK HCT처방량'!J31)/J20</f>
        <v/>
      </c>
      <c r="K14" s="503">
        <f>(MIN('근거_SVK HCT처방량'!K31+0.1*('근거_SVK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HCT처방량'!K20)))/K20</f>
        <v/>
      </c>
      <c r="L14" s="503">
        <f>(MIN('근거_SVK HCT처방량'!L31+0.1*('근거_SVK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HCT처방량'!L20)))/L20</f>
        <v/>
      </c>
      <c r="M14" s="503">
        <f>(MIN('근거_SVK HCT처방량'!M31+0.1*('근거_SVK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HCT처방량'!M20)))/M20</f>
        <v/>
      </c>
      <c r="N14" s="503">
        <f>(MIN('근거_SVK HCT처방량'!N31+0.1*('근거_SVK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HCT처방량'!N20)))/N20</f>
        <v/>
      </c>
    </row>
    <row r="15">
      <c r="A15" t="inlineStr">
        <is>
          <t xml:space="preserve">  : Model Base 기준, 성분 내 Original 비율 +10%p 방어 시나리오 (HP·GP 동시 적용)</t>
        </is>
      </c>
      <c r="J15" s="401">
        <f>J14/J10-1</f>
        <v/>
      </c>
      <c r="K15" s="401">
        <f>K14/K10-1</f>
        <v/>
      </c>
      <c r="L15" s="401">
        <f>L14/L10-1</f>
        <v/>
      </c>
      <c r="M15" s="401">
        <f>M14/M10-1</f>
        <v/>
      </c>
      <c r="N15" s="401">
        <f>N14/N10-1</f>
        <v/>
      </c>
    </row>
    <row r="16">
      <c r="A16" s="504" t="inlineStr">
        <is>
          <t xml:space="preserve">  ▶ 4) Worst Scenario                 [FY2027~FY2030 : (Base 처방량 + 침투율 +10%p 효과 (침투 확대에 따른 감소분 반영)) ÷ 전환비율]</t>
        </is>
      </c>
      <c r="J16" s="505">
        <f>('근거_SVK HCT처방량'!J31)/J20</f>
        <v/>
      </c>
      <c r="K16" s="505">
        <f>('근거_SVK HCT처방량'!K31-0.1*('근거_SVK HCT처방량'!K6*'근거_SVK HCT처방량'!K9*'근거_SVK HCT처방량'!K15+'근거_SVK HCT처방량'!K6*'근거_SVK HCT처방량'!K10*'근거_SVK HCT처방량'!K20))/K20</f>
        <v/>
      </c>
      <c r="L16" s="505">
        <f>('근거_SVK HCT처방량'!L31-0.1*('근거_SVK HCT처방량'!L6*'근거_SVK HCT처방량'!L9*'근거_SVK HCT처방량'!L15+'근거_SVK HCT처방량'!L6*'근거_SVK HCT처방량'!L10*'근거_SVK HCT처방량'!L20))/L20</f>
        <v/>
      </c>
      <c r="M16" s="505">
        <f>('근거_SVK HCT처방량'!M31-0.1*('근거_SVK HCT처방량'!M6*'근거_SVK HCT처방량'!M9*'근거_SVK HCT처방량'!M15+'근거_SVK HCT처방량'!M6*'근거_SVK HCT처방량'!M10*'근거_SVK HCT처방량'!M20))/M20</f>
        <v/>
      </c>
      <c r="N16" s="505">
        <f>('근거_SVK HCT처방량'!N31-0.1*('근거_SVK HCT처방량'!N6*'근거_SVK HCT처방량'!N9*'근거_SVK HCT처방량'!N15+'근거_SVK HCT처방량'!N6*'근거_SVK HCT처방량'!N10*'근거_SVK HCT처방량'!N20))/N20</f>
        <v/>
      </c>
    </row>
    <row r="17">
      <c r="A17" t="inlineStr">
        <is>
          <t xml:space="preserve">  : Model Base 기준, 성분 내 Original 비율 -10%p 잠식 시나리오 (HP·GP 동시 적용)</t>
        </is>
      </c>
      <c r="J17" s="401">
        <f>J16/J10-1</f>
        <v/>
      </c>
      <c r="K17" s="401">
        <f>K16/K10-1</f>
        <v/>
      </c>
      <c r="L17" s="401">
        <f>L16/L10-1</f>
        <v/>
      </c>
      <c r="M17" s="401">
        <f>M16/M10-1</f>
        <v/>
      </c>
      <c r="N17" s="401">
        <f>N16/N10-1</f>
        <v/>
      </c>
    </row>
    <row r="19">
      <c r="A19" s="492" t="inlineStr">
        <is>
          <t>■ C. 전환비율 (처방량 ÷ 매출수량)  [FY2018~2025 : 산출치 | FY2026~2030 : FY22~25 평균]</t>
        </is>
      </c>
    </row>
    <row r="20">
      <c r="A20" t="inlineStr">
        <is>
          <t xml:space="preserve">  전환비율</t>
        </is>
      </c>
      <c r="B20" s="401">
        <f>B7/B10</f>
        <v/>
      </c>
      <c r="C20" s="401">
        <f>C7/C10</f>
        <v/>
      </c>
      <c r="D20" s="401">
        <f>D7/D10</f>
        <v/>
      </c>
      <c r="E20" s="401">
        <f>E7/E10</f>
        <v/>
      </c>
      <c r="F20" s="401">
        <f>F7/F10</f>
        <v/>
      </c>
      <c r="G20" s="401">
        <f>G7/G10</f>
        <v/>
      </c>
      <c r="H20" s="401">
        <f>H7/H10</f>
        <v/>
      </c>
      <c r="I20" s="401">
        <f>I7/I10</f>
        <v/>
      </c>
      <c r="J20" s="506">
        <f>AVERAGE(F20:I20)</f>
        <v/>
      </c>
      <c r="K20" s="506">
        <f>J20</f>
        <v/>
      </c>
      <c r="L20" s="506">
        <f>K20</f>
        <v/>
      </c>
      <c r="M20" s="506">
        <f>L20</f>
        <v/>
      </c>
      <c r="N20" s="506">
        <f>M20</f>
        <v/>
      </c>
      <c r="P20" s="507">
        <f>P7/P10</f>
        <v/>
      </c>
    </row>
    <row r="22">
      <c r="A22" s="492" t="inlineStr">
        <is>
          <t>■ D. 단가 (원/T)                              [연도별 단가 : 기준단가(제형/채널 환산) × 연도별 약가 배율 (인하 고시 시 24행 수정) ]</t>
        </is>
      </c>
    </row>
    <row r="23">
      <c r="A23" t="inlineStr">
        <is>
          <t>환산 단가 (원/T)</t>
        </is>
      </c>
      <c r="B23" s="508" t="n">
        <v>615.6067897527849</v>
      </c>
      <c r="C23" t="inlineStr">
        <is>
          <t>(FY26 기준 채널·용량별 목표단가의 물량가중 평균 단일가 — 하단 [참고] 목표단가 표 참조)</t>
        </is>
      </c>
    </row>
    <row r="24">
      <c r="A24" t="inlineStr">
        <is>
          <t xml:space="preserve">   약가 배율 (%)</t>
        </is>
      </c>
      <c r="J24" s="509" t="n">
        <v>1</v>
      </c>
      <c r="K24" s="509" t="n">
        <v>1</v>
      </c>
      <c r="L24" s="509" t="n">
        <v>1</v>
      </c>
      <c r="M24" s="509" t="n">
        <v>1</v>
      </c>
      <c r="N24" s="509" t="n">
        <v>1</v>
      </c>
      <c r="O24" s="473" t="inlineStr">
        <is>
          <t>◀ 약가 인하 고시 없음 → 100% 유지 (인하 확정 시 해당 연도 배율만 수정)</t>
        </is>
      </c>
    </row>
    <row r="25">
      <c r="A25" s="459" t="inlineStr">
        <is>
          <t xml:space="preserve">  단가 (원/T) </t>
        </is>
      </c>
      <c r="J25" s="510">
        <f>$B$23*J24</f>
        <v/>
      </c>
      <c r="K25" s="510">
        <f>$B$23*K24</f>
        <v/>
      </c>
      <c r="L25" s="510">
        <f>$B$23*L24</f>
        <v/>
      </c>
      <c r="M25" s="510">
        <f>$B$23*M24</f>
        <v/>
      </c>
      <c r="N25" s="510">
        <f>$B$23*N24</f>
        <v/>
      </c>
    </row>
    <row r="27">
      <c r="A27" s="492" t="inlineStr">
        <is>
          <t>■ E. DSKR 시장매출액 (백만원)      [FY2018~2025 : 실측 수량 × FY2026 목표단가 | FY2026~FY2030 : DSKR 매출 수량(B) × 단가(D) ]</t>
        </is>
      </c>
    </row>
    <row r="28">
      <c r="A28" s="486" t="inlineStr">
        <is>
          <t xml:space="preserve">  ▶ 1) Model Base : (B-1) × (D)</t>
        </is>
      </c>
      <c r="B28" s="499" t="n">
        <v>25856.4054596325</v>
      </c>
      <c r="C28" s="499" t="n">
        <v>27546.3188892593</v>
      </c>
      <c r="D28" s="499" t="n">
        <v>28793.4016458705</v>
      </c>
      <c r="E28" s="499" t="n">
        <v>32003.4765792826</v>
      </c>
      <c r="F28" s="499" t="n">
        <v>33489.5079182784</v>
      </c>
      <c r="G28" s="499" t="n">
        <v>34082.4997620178</v>
      </c>
      <c r="H28" s="499" t="n">
        <v>34371.1622068589</v>
      </c>
      <c r="I28" s="499" t="n">
        <v>33910.33757665</v>
      </c>
      <c r="J28" s="487">
        <f>J10*J25/1000000</f>
        <v/>
      </c>
      <c r="K28" s="487">
        <f>K10*K25/1000000</f>
        <v/>
      </c>
      <c r="L28" s="487">
        <f>L10*L25/1000000</f>
        <v/>
      </c>
      <c r="M28" s="487">
        <f>M10*M25/1000000</f>
        <v/>
      </c>
      <c r="N28" s="487">
        <f>N10*N25/1000000</f>
        <v/>
      </c>
    </row>
    <row r="29">
      <c r="A29" t="inlineStr">
        <is>
          <t xml:space="preserve">  YoY 증감률 </t>
        </is>
      </c>
      <c r="C29" s="494">
        <f>IFERROR(C28/B28-1,"")</f>
        <v/>
      </c>
      <c r="D29" s="494">
        <f>IFERROR(D28/C28-1,"")</f>
        <v/>
      </c>
      <c r="E29" s="494">
        <f>IFERROR(E28/D28-1,"")</f>
        <v/>
      </c>
      <c r="F29" s="494">
        <f>IFERROR(F28/E28-1,"")</f>
        <v/>
      </c>
      <c r="G29" s="494">
        <f>IFERROR(G28/F28-1,"")</f>
        <v/>
      </c>
      <c r="H29" s="494">
        <f>IFERROR(H28/G28-1,"")</f>
        <v/>
      </c>
      <c r="I29" s="494">
        <f>IFERROR(I28/H28-1,"")</f>
        <v/>
      </c>
      <c r="J29" s="494">
        <f>IFERROR(J28/I28-1,"")</f>
        <v/>
      </c>
      <c r="K29" s="494">
        <f>IFERROR(K28/J28-1,"")</f>
        <v/>
      </c>
      <c r="L29" s="494">
        <f>IFERROR(L28/K28-1,"")</f>
        <v/>
      </c>
      <c r="M29" s="494">
        <f>IFERROR(M28/L28-1,"")</f>
        <v/>
      </c>
      <c r="N29" s="494">
        <f>IFERROR(N28/M28-1,"")</f>
        <v/>
      </c>
    </row>
    <row r="30">
      <c r="A30" s="486" t="inlineStr">
        <is>
          <t xml:space="preserve">  ▶ 2) MKT Base : MKT Base(B-2) × 단가(D)</t>
        </is>
      </c>
      <c r="J30" s="487">
        <f>J12*J25/1000000</f>
        <v/>
      </c>
      <c r="K30" s="487">
        <f>K12*K25/1000000</f>
        <v/>
      </c>
      <c r="L30" s="487">
        <f>L12*L25/1000000</f>
        <v/>
      </c>
      <c r="M30" s="487">
        <f>M12*M25/1000000</f>
        <v/>
      </c>
      <c r="N30" s="487">
        <f>N12*N25/1000000</f>
        <v/>
      </c>
    </row>
    <row r="31">
      <c r="A31" s="502" t="inlineStr">
        <is>
          <t xml:space="preserve">  ▶ 3) Best Scenario : Best 수량(B-3) × 단가(D)</t>
        </is>
      </c>
      <c r="J31" s="503">
        <f>J14*J25/1000000</f>
        <v/>
      </c>
      <c r="K31" s="503">
        <f>K14*K25/1000000</f>
        <v/>
      </c>
      <c r="L31" s="503">
        <f>L14*L25/1000000</f>
        <v/>
      </c>
      <c r="M31" s="503">
        <f>M14*M25/1000000</f>
        <v/>
      </c>
      <c r="N31" s="503">
        <f>N14*N25/1000000</f>
        <v/>
      </c>
    </row>
    <row r="32">
      <c r="A32" s="504" t="inlineStr">
        <is>
          <t xml:space="preserve">  ▶ 4) Worst Scenario : Worst 수량(B-4) × 단가(D)</t>
        </is>
      </c>
      <c r="J32" s="505">
        <f>J16*J25/1000000</f>
        <v/>
      </c>
      <c r="K32" s="505">
        <f>K16*K25/1000000</f>
        <v/>
      </c>
      <c r="L32" s="505">
        <f>L16*L25/1000000</f>
        <v/>
      </c>
      <c r="M32" s="505">
        <f>M16*M25/1000000</f>
        <v/>
      </c>
      <c r="N32" s="505">
        <f>N16*N25/1000000</f>
        <v/>
      </c>
    </row>
    <row r="35">
      <c r="B35" s="459" t="inlineStr">
        <is>
          <t xml:space="preserve">[참고] </t>
        </is>
      </c>
    </row>
    <row r="36">
      <c r="B36" s="459" t="inlineStr">
        <is>
          <t>*시나리오 밴드 설정 및 산출 기준</t>
        </is>
      </c>
    </row>
    <row r="37">
      <c r="B37" s="459" t="inlineStr">
        <is>
          <t>· 시나리오 기준 (민감도 1위 지표: 제네릭 침투율 = 1 − 성분 내 Original 비율 적용)</t>
        </is>
      </c>
    </row>
    <row r="38">
      <c r="B38" s="459" t="inlineStr">
        <is>
          <t>- Best (침투 방어): 성분 내 Original 비율 +10%p (영업·마케팅의 오리지널 처방 유지 활동 성공 가정) → 매출 상단</t>
        </is>
      </c>
    </row>
    <row r="39">
      <c r="B39" s="459" t="inlineStr">
        <is>
          <t>- Worst (시장 잠식): 성분 내 Original 비율 -10%p (GP 채널 제네릭 잠식 가속 가정, 자체 실측 추세 기반) → 매출 하단</t>
        </is>
      </c>
    </row>
    <row r="40">
      <c r="B40" s="459" t="inlineStr">
        <is>
          <t>· 핵심 산출 근거: 세비카HCT 자체 실측 제네릭 침투 경로 (FY2019Q1~FY2026Q1, 근거_제네릭벤치마크) 기준 ±10%p 가감</t>
        </is>
      </c>
    </row>
    <row r="41">
      <c r="B41" s="459" t="inlineStr">
        <is>
          <t xml:space="preserve">· 전략적 시사점 </t>
        </is>
      </c>
    </row>
    <row r="42">
      <c r="B42" s="476" t="inlineStr">
        <is>
          <t>- Best와 Worst 시나리오 간의 최종 매출 격차(Band 폭)는 단순한 예측 오차가 아니라, 당사 영업(Sales) 및 마케팅 부서의 선제적 방어 활동이 창출해 내야 할 '전략적 목표 가치(Value)'를 의미</t>
        </is>
      </c>
    </row>
    <row r="43">
      <c r="B43" s="459" t="inlineStr">
        <is>
          <t>· 모델링 전제 조건</t>
        </is>
      </c>
    </row>
    <row r="44">
      <c r="B44" s="476" t="inlineStr">
        <is>
          <t>- 핵심 변수 집중: 유병률 등 영향도가 낮은 후순위 변수와 '약가 경로'는 기본값(Base)으로 고정하여, 가장 민감도가 높은 '침투율 증감'의 단일 영향력을 명확히 함.</t>
        </is>
      </c>
    </row>
    <row r="45">
      <c r="B45" s="476" t="inlineStr">
        <is>
          <t xml:space="preserve">- 예외 적용: 1분기 실측이 반영된 FY2026은 시나리오 밴드 미적용 </t>
        </is>
      </c>
    </row>
    <row r="47">
      <c r="B47" s="496" t="inlineStr">
        <is>
          <t xml:space="preserve">※ 출처 : UBIST(2018~2025), 내부 시장매출 </t>
        </is>
      </c>
    </row>
    <row r="48">
      <c r="B48" s="476" t="inlineStr">
        <is>
          <t>※ 범례</t>
        </is>
      </c>
    </row>
    <row r="49">
      <c r="B49" s="476" t="inlineStr">
        <is>
          <t>· 외부 입력 데이터: 청색(Blue) 표기</t>
        </is>
      </c>
    </row>
    <row r="50">
      <c r="B50" s="476" t="inlineStr">
        <is>
          <t>· 예측 변수(또는 예측치): 녹색(Green) 표기</t>
        </is>
      </c>
    </row>
    <row r="51">
      <c r="B51" s="476" t="inlineStr">
        <is>
          <t>· 최종 산출 결과: 황색(Yellow) 음영 행</t>
        </is>
      </c>
    </row>
    <row r="53">
      <c r="B53" s="492" t="inlineStr">
        <is>
          <t>[참고] FY2026 목표단가 (제형/채널별, 원/정)  — 환산 단가(B23)의 산출 원천</t>
        </is>
      </c>
    </row>
    <row r="54">
      <c r="B54" s="459" t="inlineStr">
        <is>
          <t xml:space="preserve">  채널</t>
        </is>
      </c>
      <c r="C54" s="459" t="inlineStr">
        <is>
          <t>5/20mg</t>
        </is>
      </c>
      <c r="D54" s="459" t="inlineStr">
        <is>
          <t>5/40mg</t>
        </is>
      </c>
      <c r="E54" s="459" t="inlineStr">
        <is>
          <t>10/40mg</t>
        </is>
      </c>
    </row>
    <row r="55">
      <c r="B55" s="476" t="inlineStr">
        <is>
          <t xml:space="preserve">  H.P</t>
        </is>
      </c>
      <c r="C55" s="511" t="n">
        <v>601.108338463784</v>
      </c>
      <c r="D55" s="511" t="n">
        <v>652.035714285714</v>
      </c>
      <c r="E55" s="511" t="n">
        <v>698.678571428571</v>
      </c>
    </row>
    <row r="56">
      <c r="B56" s="476" t="inlineStr">
        <is>
          <t xml:space="preserve">  G.P</t>
        </is>
      </c>
      <c r="C56" s="511" t="n">
        <v>601.108338463784</v>
      </c>
      <c r="D56" s="511" t="n">
        <v>652.035714285714</v>
      </c>
      <c r="E56" s="511" t="n">
        <v>698.678571428571</v>
      </c>
    </row>
    <row r="57">
      <c r="B57" s="476" t="inlineStr">
        <is>
          <t xml:space="preserve">  Online</t>
        </is>
      </c>
      <c r="C57" s="511" t="n">
        <v>307.137390515819</v>
      </c>
      <c r="D57" s="511" t="n">
        <v>333.564512166464</v>
      </c>
      <c r="E57" s="511" t="n">
        <v>357.815006431598</v>
      </c>
    </row>
    <row r="58">
      <c r="B58" s="473" t="inlineStr">
        <is>
          <t>(채널·용량별 목표단가 물량가중 평균한 단일 가격; FY26BGT 수치참조)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2:F49"/>
  <sheetViews>
    <sheetView showGridLines="0" tabSelected="0" workbookViewId="0">
      <selection activeCell="A1" sqref="A1"/>
    </sheetView>
  </sheetViews>
  <sheetFormatPr baseColWidth="8" defaultRowHeight="15"/>
  <cols>
    <col width="20.2" customWidth="1" style="9" min="1" max="1"/>
    <col width="18.5" customWidth="1" style="9" min="2" max="2"/>
    <col width="18.5" customWidth="1" style="9" min="3" max="3"/>
    <col width="18.5" customWidth="1" style="9" min="4" max="4"/>
    <col width="14" customWidth="1" style="9" min="5" max="5"/>
    <col width="14" customWidth="1" style="9" min="6" max="6"/>
    <col width="8.5" customWidth="1" style="9" min="7" max="7"/>
  </cols>
  <sheetData>
    <row r="2">
      <c r="A2" s="495" t="inlineStr">
        <is>
          <t xml:space="preserve">제네릭 침투 벤치마크 _ 세비카HCT(올메사르탄/암로디핀/HCTZ) 자체 실측 경로   </t>
        </is>
      </c>
    </row>
    <row r="5">
      <c r="A5" s="459" t="inlineStr">
        <is>
          <t>① 제네릭 침투 속도 (성분 내 제네릭 비중 = 1 − Original 비율, 제네릭 진입 관측 후 경과분기 기준)  ▼ 잠식 벤치마크</t>
        </is>
      </c>
    </row>
    <row r="6">
      <c r="A6" s="475" t="inlineStr">
        <is>
          <t>경과</t>
        </is>
      </c>
      <c r="B6" s="475" t="inlineStr">
        <is>
          <t>세비카HCT HP (성분 내 제네릭 비중)</t>
        </is>
      </c>
      <c r="C6" s="475" t="inlineStr">
        <is>
          <t>세비카HCT GP (성분 내 제네릭 비중)</t>
        </is>
      </c>
      <c r="D6" s="475" t="inlineStr">
        <is>
          <t>FY분기</t>
        </is>
      </c>
    </row>
    <row r="7">
      <c r="A7" t="inlineStr">
        <is>
          <t>+1Q</t>
        </is>
      </c>
      <c r="B7" s="401">
        <f>1-'근거_SVK HCT처방량'!F51</f>
        <v/>
      </c>
      <c r="C7" s="401">
        <f>1-'근거_SVK HCT처방량'!F53</f>
        <v/>
      </c>
      <c r="D7" s="490">
        <f>'근거_SVK HCT처방량'!F49</f>
        <v/>
      </c>
    </row>
    <row r="8">
      <c r="A8" t="inlineStr">
        <is>
          <t>+2Q</t>
        </is>
      </c>
      <c r="B8" s="401">
        <f>1-'근거_SVK HCT처방량'!G51</f>
        <v/>
      </c>
      <c r="C8" s="401">
        <f>1-'근거_SVK HCT처방량'!G53</f>
        <v/>
      </c>
      <c r="D8" s="490">
        <f>'근거_SVK HCT처방량'!G49</f>
        <v/>
      </c>
    </row>
    <row r="9">
      <c r="A9" t="inlineStr">
        <is>
          <t>+3Q</t>
        </is>
      </c>
      <c r="B9" s="401">
        <f>1-'근거_SVK HCT처방량'!H51</f>
        <v/>
      </c>
      <c r="C9" s="401">
        <f>1-'근거_SVK HCT처방량'!H53</f>
        <v/>
      </c>
      <c r="D9" s="490">
        <f>'근거_SVK HCT처방량'!H49</f>
        <v/>
      </c>
    </row>
    <row r="10">
      <c r="A10" t="inlineStr">
        <is>
          <t>+4Q</t>
        </is>
      </c>
      <c r="B10" s="401">
        <f>1-'근거_SVK HCT처방량'!I51</f>
        <v/>
      </c>
      <c r="C10" s="401">
        <f>1-'근거_SVK HCT처방량'!I53</f>
        <v/>
      </c>
      <c r="D10" s="490">
        <f>'근거_SVK HCT처방량'!I49</f>
        <v/>
      </c>
    </row>
    <row r="11">
      <c r="A11" t="inlineStr">
        <is>
          <t>+5Q</t>
        </is>
      </c>
      <c r="B11" s="401">
        <f>1-'근거_SVK HCT처방량'!J51</f>
        <v/>
      </c>
      <c r="C11" s="401">
        <f>1-'근거_SVK HCT처방량'!J53</f>
        <v/>
      </c>
      <c r="D11" s="490">
        <f>'근거_SVK HCT처방량'!J49</f>
        <v/>
      </c>
    </row>
    <row r="12">
      <c r="A12" t="inlineStr">
        <is>
          <t>+6Q</t>
        </is>
      </c>
      <c r="B12" s="401">
        <f>1-'근거_SVK HCT처방량'!K51</f>
        <v/>
      </c>
      <c r="C12" s="401">
        <f>1-'근거_SVK HCT처방량'!K53</f>
        <v/>
      </c>
      <c r="D12" s="490">
        <f>'근거_SVK HCT처방량'!K49</f>
        <v/>
      </c>
    </row>
    <row r="13">
      <c r="A13" t="inlineStr">
        <is>
          <t>+7Q</t>
        </is>
      </c>
      <c r="B13" s="401">
        <f>1-'근거_SVK HCT처방량'!L51</f>
        <v/>
      </c>
      <c r="C13" s="401">
        <f>1-'근거_SVK HCT처방량'!L53</f>
        <v/>
      </c>
      <c r="D13" s="490">
        <f>'근거_SVK HCT처방량'!L49</f>
        <v/>
      </c>
    </row>
    <row r="14">
      <c r="A14" t="inlineStr">
        <is>
          <t>+8Q</t>
        </is>
      </c>
      <c r="B14" s="401">
        <f>1-'근거_SVK HCT처방량'!M51</f>
        <v/>
      </c>
      <c r="C14" s="401">
        <f>1-'근거_SVK HCT처방량'!M53</f>
        <v/>
      </c>
      <c r="D14" s="490">
        <f>'근거_SVK HCT처방량'!M49</f>
        <v/>
      </c>
    </row>
    <row r="15">
      <c r="A15" t="inlineStr">
        <is>
          <t>+9Q</t>
        </is>
      </c>
      <c r="B15" s="401">
        <f>1-'근거_SVK HCT처방량'!N51</f>
        <v/>
      </c>
      <c r="C15" s="401">
        <f>1-'근거_SVK HCT처방량'!N53</f>
        <v/>
      </c>
      <c r="D15" s="490">
        <f>'근거_SVK HCT처방량'!N49</f>
        <v/>
      </c>
    </row>
    <row r="16">
      <c r="A16" t="inlineStr">
        <is>
          <t>+10Q</t>
        </is>
      </c>
      <c r="B16" s="401">
        <f>1-'근거_SVK HCT처방량'!O51</f>
        <v/>
      </c>
      <c r="C16" s="401">
        <f>1-'근거_SVK HCT처방량'!O53</f>
        <v/>
      </c>
      <c r="D16" s="490">
        <f>'근거_SVK HCT처방량'!O49</f>
        <v/>
      </c>
    </row>
    <row r="17">
      <c r="A17" t="inlineStr">
        <is>
          <t>+11Q</t>
        </is>
      </c>
      <c r="B17" s="401">
        <f>1-'근거_SVK HCT처방량'!P51</f>
        <v/>
      </c>
      <c r="C17" s="401">
        <f>1-'근거_SVK HCT처방량'!P53</f>
        <v/>
      </c>
      <c r="D17" s="490">
        <f>'근거_SVK HCT처방량'!P49</f>
        <v/>
      </c>
    </row>
    <row r="18">
      <c r="A18" t="inlineStr">
        <is>
          <t>+12Q</t>
        </is>
      </c>
      <c r="B18" s="401">
        <f>1-'근거_SVK HCT처방량'!Q51</f>
        <v/>
      </c>
      <c r="C18" s="401">
        <f>1-'근거_SVK HCT처방량'!Q53</f>
        <v/>
      </c>
      <c r="D18" s="490">
        <f>'근거_SVK HCT처방량'!Q49</f>
        <v/>
      </c>
    </row>
    <row r="19">
      <c r="A19" t="inlineStr">
        <is>
          <t>+13Q</t>
        </is>
      </c>
      <c r="B19" s="401">
        <f>1-'근거_SVK HCT처방량'!R51</f>
        <v/>
      </c>
      <c r="C19" s="401">
        <f>1-'근거_SVK HCT처방량'!R53</f>
        <v/>
      </c>
      <c r="D19" s="490">
        <f>'근거_SVK HCT처방량'!R49</f>
        <v/>
      </c>
    </row>
    <row r="20">
      <c r="A20" t="inlineStr">
        <is>
          <t>+14Q</t>
        </is>
      </c>
      <c r="B20" s="401">
        <f>1-'근거_SVK HCT처방량'!S51</f>
        <v/>
      </c>
      <c r="C20" s="401">
        <f>1-'근거_SVK HCT처방량'!S53</f>
        <v/>
      </c>
      <c r="D20" s="490">
        <f>'근거_SVK HCT처방량'!S49</f>
        <v/>
      </c>
    </row>
    <row r="21">
      <c r="A21" t="inlineStr">
        <is>
          <t>+15Q</t>
        </is>
      </c>
      <c r="B21" s="401">
        <f>1-'근거_SVK HCT처방량'!T51</f>
        <v/>
      </c>
      <c r="C21" s="401">
        <f>1-'근거_SVK HCT처방량'!T53</f>
        <v/>
      </c>
      <c r="D21" s="490">
        <f>'근거_SVK HCT처방량'!T49</f>
        <v/>
      </c>
    </row>
    <row r="22">
      <c r="A22" t="inlineStr">
        <is>
          <t>+16Q</t>
        </is>
      </c>
      <c r="B22" s="401">
        <f>1-'근거_SVK HCT처방량'!U51</f>
        <v/>
      </c>
      <c r="C22" s="401">
        <f>1-'근거_SVK HCT처방량'!U53</f>
        <v/>
      </c>
      <c r="D22" s="490">
        <f>'근거_SVK HCT처방량'!U49</f>
        <v/>
      </c>
    </row>
    <row r="23">
      <c r="A23" t="inlineStr">
        <is>
          <t>+17Q</t>
        </is>
      </c>
      <c r="B23" s="401">
        <f>1-'근거_SVK HCT처방량'!V51</f>
        <v/>
      </c>
      <c r="C23" s="401">
        <f>1-'근거_SVK HCT처방량'!V53</f>
        <v/>
      </c>
      <c r="D23" s="490">
        <f>'근거_SVK HCT처방량'!V49</f>
        <v/>
      </c>
    </row>
    <row r="24">
      <c r="A24" t="inlineStr">
        <is>
          <t>+18Q</t>
        </is>
      </c>
      <c r="B24" s="401">
        <f>1-'근거_SVK HCT처방량'!W51</f>
        <v/>
      </c>
      <c r="C24" s="401">
        <f>1-'근거_SVK HCT처방량'!W53</f>
        <v/>
      </c>
      <c r="D24" s="490">
        <f>'근거_SVK HCT처방량'!W49</f>
        <v/>
      </c>
    </row>
    <row r="25">
      <c r="A25" t="inlineStr">
        <is>
          <t>+19Q</t>
        </is>
      </c>
      <c r="B25" s="401">
        <f>1-'근거_SVK HCT처방량'!X51</f>
        <v/>
      </c>
      <c r="C25" s="401">
        <f>1-'근거_SVK HCT처방량'!X53</f>
        <v/>
      </c>
      <c r="D25" s="490">
        <f>'근거_SVK HCT처방량'!X49</f>
        <v/>
      </c>
    </row>
    <row r="26">
      <c r="A26" t="inlineStr">
        <is>
          <t>+20Q</t>
        </is>
      </c>
      <c r="B26" s="401">
        <f>1-'근거_SVK HCT처방량'!Y51</f>
        <v/>
      </c>
      <c r="C26" s="401">
        <f>1-'근거_SVK HCT처방량'!Y53</f>
        <v/>
      </c>
      <c r="D26" s="490">
        <f>'근거_SVK HCT처방량'!Y49</f>
        <v/>
      </c>
    </row>
    <row r="27">
      <c r="A27" t="inlineStr">
        <is>
          <t>+21Q</t>
        </is>
      </c>
      <c r="B27" s="401">
        <f>1-'근거_SVK HCT처방량'!Z51</f>
        <v/>
      </c>
      <c r="C27" s="401">
        <f>1-'근거_SVK HCT처방량'!Z53</f>
        <v/>
      </c>
      <c r="D27" s="490">
        <f>'근거_SVK HCT처방량'!Z49</f>
        <v/>
      </c>
    </row>
    <row r="28">
      <c r="A28" t="inlineStr">
        <is>
          <t>+22Q</t>
        </is>
      </c>
      <c r="B28" s="401">
        <f>1-'근거_SVK HCT처방량'!AA51</f>
        <v/>
      </c>
      <c r="C28" s="401">
        <f>1-'근거_SVK HCT처방량'!AA53</f>
        <v/>
      </c>
      <c r="D28" s="490">
        <f>'근거_SVK HCT처방량'!AA49</f>
        <v/>
      </c>
    </row>
    <row r="29">
      <c r="A29" t="inlineStr">
        <is>
          <t>+23Q</t>
        </is>
      </c>
      <c r="B29" s="401">
        <f>1-'근거_SVK HCT처방량'!AB51</f>
        <v/>
      </c>
      <c r="C29" s="401">
        <f>1-'근거_SVK HCT처방량'!AB53</f>
        <v/>
      </c>
      <c r="D29" s="490">
        <f>'근거_SVK HCT처방량'!AB49</f>
        <v/>
      </c>
    </row>
    <row r="30">
      <c r="A30" t="inlineStr">
        <is>
          <t>+24Q</t>
        </is>
      </c>
      <c r="B30" s="401">
        <f>1-'근거_SVK HCT처방량'!AC51</f>
        <v/>
      </c>
      <c r="C30" s="401">
        <f>1-'근거_SVK HCT처방량'!AC53</f>
        <v/>
      </c>
      <c r="D30" s="490">
        <f>'근거_SVK HCT처방량'!AC49</f>
        <v/>
      </c>
    </row>
    <row r="31">
      <c r="A31" t="inlineStr">
        <is>
          <t>+25Q</t>
        </is>
      </c>
      <c r="B31" s="401">
        <f>1-'근거_SVK HCT처방량'!AD51</f>
        <v/>
      </c>
      <c r="C31" s="401">
        <f>1-'근거_SVK HCT처방량'!AD53</f>
        <v/>
      </c>
      <c r="D31" s="490">
        <f>'근거_SVK HCT처방량'!AD49</f>
        <v/>
      </c>
    </row>
    <row r="32">
      <c r="A32" t="inlineStr">
        <is>
          <t>+26Q</t>
        </is>
      </c>
      <c r="B32" s="401">
        <f>1-'근거_SVK HCT처방량'!AE51</f>
        <v/>
      </c>
      <c r="C32" s="401">
        <f>1-'근거_SVK HCT처방량'!AE53</f>
        <v/>
      </c>
      <c r="D32" s="490">
        <f>'근거_SVK HCT처방량'!AE49</f>
        <v/>
      </c>
    </row>
    <row r="33">
      <c r="A33" t="inlineStr">
        <is>
          <t>+27Q</t>
        </is>
      </c>
      <c r="B33" s="401">
        <f>1-'근거_SVK HCT처방량'!AF51</f>
        <v/>
      </c>
      <c r="C33" s="401">
        <f>1-'근거_SVK HCT처방량'!AF53</f>
        <v/>
      </c>
      <c r="D33" s="490">
        <f>'근거_SVK HCT처방량'!AF49</f>
        <v/>
      </c>
    </row>
    <row r="34">
      <c r="A34" t="inlineStr">
        <is>
          <t>+28Q</t>
        </is>
      </c>
      <c r="B34" s="401">
        <f>1-'근거_SVK HCT처방량'!AG51</f>
        <v/>
      </c>
      <c r="C34" s="401">
        <f>1-'근거_SVK HCT처방량'!AG53</f>
        <v/>
      </c>
      <c r="D34" s="490">
        <f>'근거_SVK HCT처방량'!AG49</f>
        <v/>
      </c>
    </row>
    <row r="35">
      <c r="A35" t="inlineStr">
        <is>
          <t>+29Q</t>
        </is>
      </c>
      <c r="B35" s="401">
        <f>1-'근거_SVK HCT처방량'!AH51</f>
        <v/>
      </c>
      <c r="C35" s="401">
        <f>1-'근거_SVK HCT처방량'!AH53</f>
        <v/>
      </c>
      <c r="D35" s="490">
        <f>'근거_SVK HCT처방량'!AH49</f>
        <v/>
      </c>
    </row>
    <row r="36">
      <c r="A36">
        <f>"→ 세비카HCT(제네릭 FY2019Q1 진입): GP는 +4Q에 "&amp;TEXT(C10,"0.0%")&amp;", +12Q에 "&amp;TEXT(C18,"0.0%")&amp;", +29Q(FY2026Q1) "&amp;TEXT(C35,"0.0%")&amp;"까지 완만한 잠식 지속(plateau 미확인). HP는 +29Q에도 "&amp;TEXT(B35,"0.0%")&amp;"로 침투 미미 — 채널 간 침투 속도 격차가 매우 큼."</f>
        <v/>
      </c>
    </row>
    <row r="37">
      <c r="A37" t="inlineStr">
        <is>
          <t xml:space="preserve">  ▶ 모델 적용: HP Original 비율은 직접 선형회귀, GP Original 비율은 최근 구간 로짓회귀(근거_SVK HCT처방량 ■C·D, 파라미터 37·39행) — 자체 실측 경로를 그대로 연장</t>
        </is>
      </c>
    </row>
    <row r="39">
      <c r="A39" s="459" t="inlineStr">
        <is>
          <t>② 성분 MS 변화 (제네릭 진입 전후, 시장확대효과 MEE 검증)  ▲ 확대 벤치마크</t>
        </is>
      </c>
    </row>
    <row r="40">
      <c r="A40" s="475" t="inlineStr">
        <is>
          <t>성분(브랜드)</t>
        </is>
      </c>
      <c r="B40" s="475" t="inlineStr">
        <is>
          <t>채널</t>
        </is>
      </c>
      <c r="C40" s="475" t="inlineStr">
        <is>
          <t>진입전 MS (FY2018Q4)</t>
        </is>
      </c>
      <c r="D40" s="475" t="inlineStr">
        <is>
          <t>최신 MS (FY2026Q1)</t>
        </is>
      </c>
      <c r="E40" s="475" t="inlineStr">
        <is>
          <t>genpen@최신</t>
        </is>
      </c>
      <c r="F40" s="475" t="inlineStr">
        <is>
          <t>MEE계수(gain/genpen)</t>
        </is>
      </c>
    </row>
    <row r="41">
      <c r="A41" t="inlineStr">
        <is>
          <t>Olmesartan+Aml+HCTZ (세비카HCT)</t>
        </is>
      </c>
      <c r="B41" t="inlineStr">
        <is>
          <t>HP</t>
        </is>
      </c>
      <c r="C41" s="401">
        <f>'근거_SVK HCT처방량'!E50</f>
        <v/>
      </c>
      <c r="D41" s="401">
        <f>'근거_SVK HCT처방량'!AH50</f>
        <v/>
      </c>
      <c r="E41" s="401">
        <f>1-'근거_SVK HCT처방량'!AH51</f>
        <v/>
      </c>
      <c r="F41" s="380">
        <f>IFERROR((D41-C41)/E41,"")</f>
        <v/>
      </c>
    </row>
    <row r="42">
      <c r="A42" t="inlineStr">
        <is>
          <t>Olmesartan+Aml+HCTZ (세비카HCT)</t>
        </is>
      </c>
      <c r="B42" t="inlineStr">
        <is>
          <t>GP</t>
        </is>
      </c>
      <c r="C42" s="401">
        <f>'근거_SVK HCT처방량'!E52</f>
        <v/>
      </c>
      <c r="D42" s="401">
        <f>'근거_SVK HCT처방량'!AH52</f>
        <v/>
      </c>
      <c r="E42" s="401">
        <f>1-'근거_SVK HCT처방량'!AH53</f>
        <v/>
      </c>
      <c r="F42" s="380">
        <f>IFERROR((D42-C42)/E42,"")</f>
        <v/>
      </c>
    </row>
    <row r="43">
      <c r="A43" t="inlineStr">
        <is>
          <t>→ 두 채널 모두 MEE계수가 음(−): 제네릭 진입 후 성분(Olmesartan 3제) MS 자체가 하락하여 시장확대효과가 관측되지 않음. 따라서 본 모델은 성분 MS(하한형 로지스틱)와 성분 내 Original 비율을 분리 추정하며 MEE 가산은 적용하지 않음.</t>
        </is>
      </c>
    </row>
    <row r="45">
      <c r="A45" s="459" t="inlineStr">
        <is>
          <t>결론 :</t>
        </is>
      </c>
    </row>
    <row r="46">
      <c r="A46" t="inlineStr">
        <is>
          <t>· 세비카HCT의 제네릭 침투는 GP 채널에 집중되며 7년(+29Q)이 지나도 plateau가 확인되지 않아, 시나리오 밴드(±10%p)는 GP 잠식 지속 vs 방어를 대칭으로 둔다.</t>
        </is>
      </c>
    </row>
    <row r="47">
      <c r="A47" t="inlineStr">
        <is>
          <t>· HP 채널은 침투가 극히 완만(+29Q 약 6%)하므로 HP 침투 가속(코드인 확대)이 하방 리스크의 핵심 감시 항목 — 모니터링_월별에서 채널별 Original 비율 이탈을 감시.</t>
        </is>
      </c>
    </row>
    <row r="49">
      <c r="A49" t="inlineStr">
        <is>
          <t>※ 출처 : UBIST (근거_SVK HCT처방량 [부록] 분기 원자료)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9AA0A8"/>
    <outlinePr summaryBelow="1" summaryRight="1"/>
    <pageSetUpPr/>
  </sheetPr>
  <dimension ref="A2:K46"/>
  <sheetViews>
    <sheetView showGridLines="0" tabSelected="0" workbookViewId="0">
      <selection activeCell="A1" sqref="A1"/>
    </sheetView>
  </sheetViews>
  <sheetFormatPr baseColWidth="8" defaultRowHeight="15"/>
  <cols>
    <col width="30.8" customWidth="1" style="9" min="1" max="1"/>
    <col width="34.8" customWidth="1" style="9" min="2" max="2"/>
    <col width="15.8" customWidth="1" style="9" min="3" max="3"/>
    <col width="14" customWidth="1" style="9" min="4" max="4"/>
    <col width="14" customWidth="1" style="9" min="5" max="5"/>
    <col width="42.8" customWidth="1" style="9" min="6" max="6"/>
    <col width="14" customWidth="1" style="9" min="7" max="7"/>
    <col width="8.800000000000001" customWidth="1" style="9" min="8" max="8"/>
  </cols>
  <sheetData>
    <row r="2">
      <c r="A2" s="495" t="inlineStr">
        <is>
          <t>SVK HCT FCST 민감도  :  변동요인별 ± 이동이 Model Base 매출에 주는 영향</t>
        </is>
      </c>
    </row>
    <row r="4">
      <c r="A4" s="459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459" t="inlineStr">
        <is>
          <t>■ B. 레버 정의</t>
        </is>
      </c>
    </row>
    <row r="9">
      <c r="B9" s="512" t="inlineStr">
        <is>
          <t>모델 내 위치</t>
        </is>
      </c>
      <c r="C9" s="512" t="inlineStr">
        <is>
          <t>기준값</t>
        </is>
      </c>
      <c r="D9" s="512" t="inlineStr">
        <is>
          <t>하방조건</t>
        </is>
      </c>
      <c r="E9" s="512" t="inlineStr">
        <is>
          <t>상방조건</t>
        </is>
      </c>
      <c r="F9" s="512" t="inlineStr">
        <is>
          <t>범위설정 근거</t>
        </is>
      </c>
    </row>
    <row r="10">
      <c r="A10" t="inlineStr">
        <is>
          <t>L1 유병률</t>
        </is>
      </c>
      <c r="B10" t="inlineStr">
        <is>
          <t>근거_유병환자수 29행 (전체 유병환자수)</t>
        </is>
      </c>
      <c r="C10" t="inlineStr">
        <is>
          <t>연령별 회귀/가중평균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의료이용비율</t>
        </is>
      </c>
      <c r="B11" t="inlineStr">
        <is>
          <t>근거_의료이용환자수 C16:E16</t>
        </is>
      </c>
      <c r="C11" s="401" t="n">
        <v>0.972</v>
      </c>
      <c r="D11" s="401" t="n">
        <v>0.8075</v>
      </c>
      <c r="E11" s="401" t="n">
        <v>1.0095</v>
      </c>
      <c r="F11" t="inlineStr">
        <is>
          <t>2014~24 실측 최소·최대</t>
        </is>
      </c>
    </row>
    <row r="12">
      <c r="A12" t="inlineStr">
        <is>
          <t>L3 치료비율</t>
        </is>
      </c>
      <c r="B12" t="inlineStr">
        <is>
          <t>근거_고혈압치료환자수 B16:C16 (선형회귀)</t>
        </is>
      </c>
      <c r="C12" t="inlineStr">
        <is>
          <t>선형회귀</t>
        </is>
      </c>
      <c r="D12" s="401" t="n">
        <v>0.8661</v>
      </c>
      <c r="E12" s="401" t="n">
        <v>0.8867</v>
      </c>
      <c r="F12" t="inlineStr">
        <is>
          <t>2014~23 실측 최소·최대 (수준 고정)</t>
        </is>
      </c>
    </row>
    <row r="13">
      <c r="A13" t="inlineStr">
        <is>
          <t>L4 ARB 처방률 상한 L</t>
        </is>
      </c>
      <c r="B13" t="inlineStr">
        <is>
          <t>근거_ARB처방환자수 B20 (S-curve L)</t>
        </is>
      </c>
      <c r="C13" s="401" t="n">
        <v>0.88</v>
      </c>
      <c r="D13" s="401" t="n">
        <v>0.83</v>
      </c>
      <c r="E13" s="401" t="n">
        <v>0.93</v>
      </c>
      <c r="F13" t="inlineStr">
        <is>
          <t>curve_fit 표준오차 ±5%p</t>
        </is>
      </c>
    </row>
    <row r="14">
      <c r="A14" t="inlineStr">
        <is>
          <t>L5 VPP 증가일수</t>
        </is>
      </c>
      <c r="B14" t="inlineStr">
        <is>
          <t>근거_ARB처방량 C16 (FY27~ 증가 일수)</t>
        </is>
      </c>
      <c r="C14" t="n">
        <v>3</v>
      </c>
      <c r="D14" t="n">
        <v>0</v>
      </c>
      <c r="E14" t="n">
        <v>6</v>
      </c>
      <c r="F14" t="inlineStr">
        <is>
          <t>증가 정지 ~ 최근 3개년 평균의 2배</t>
        </is>
      </c>
    </row>
    <row r="15">
      <c r="A15" t="inlineStr">
        <is>
          <t>L6 ARB+CCB+DU 비율 상한 L</t>
        </is>
      </c>
      <c r="B15" t="inlineStr">
        <is>
          <t>근거_ARB+CCB+DU복합제처방량 D23</t>
        </is>
      </c>
      <c r="C15" s="401" t="n">
        <v>0.115</v>
      </c>
      <c r="D15" s="401" t="n">
        <v>0.105</v>
      </c>
      <c r="E15" s="401" t="n">
        <v>0.125</v>
      </c>
      <c r="F15" t="inlineStr">
        <is>
          <t>curve_fit 상한 불확실성 ±1%p</t>
        </is>
      </c>
    </row>
    <row r="16">
      <c r="A16" t="inlineStr">
        <is>
          <t>L7 HP:GP 비율 하한</t>
        </is>
      </c>
      <c r="B16" t="inlineStr">
        <is>
          <t>근거_SVK HCT처방량 D35 (floor)</t>
        </is>
      </c>
      <c r="C16" s="401" t="n">
        <v>0.22</v>
      </c>
      <c r="D16" s="401" t="n">
        <v>0.2</v>
      </c>
      <c r="E16" s="401" t="n">
        <v>0.24</v>
      </c>
      <c r="F16" t="inlineStr">
        <is>
          <t>판단 고정값 ±2%p</t>
        </is>
      </c>
    </row>
    <row r="17">
      <c r="A17" t="inlineStr">
        <is>
          <t>L8 Olmesartan MS 하한</t>
        </is>
      </c>
      <c r="B17" t="inlineStr">
        <is>
          <t>근거_SVK HCT처방량 D36·D38 (floor)</t>
        </is>
      </c>
      <c r="C17" t="inlineStr">
        <is>
          <t>47.0% / 37.9%</t>
        </is>
      </c>
      <c r="D17" t="inlineStr">
        <is>
          <t>-4%p</t>
        </is>
      </c>
      <c r="E17" t="inlineStr">
        <is>
          <t>+4%p</t>
        </is>
      </c>
      <c r="F17" t="inlineStr">
        <is>
          <t>curve_fit SE(floor)=±4.00%p, HP·GP 동시</t>
        </is>
      </c>
    </row>
    <row r="18">
      <c r="A18" t="inlineStr">
        <is>
          <t>L9 제네릭 침투</t>
        </is>
      </c>
      <c r="B18" t="inlineStr">
        <is>
          <t>근거_SVK HCT처방량 16·21행 (Original 비율)</t>
        </is>
      </c>
      <c r="C18" t="inlineStr">
        <is>
          <t>자체 실측 회귀</t>
        </is>
      </c>
      <c r="D18" t="inlineStr">
        <is>
          <t>침투 +10%p</t>
        </is>
      </c>
      <c r="E18" t="inlineStr">
        <is>
          <t>침투 -10%p</t>
        </is>
      </c>
      <c r="F18" t="inlineStr">
        <is>
          <t>자체 경로 plateau 불확실성 — MTS 밴드와 동일 정의</t>
        </is>
      </c>
    </row>
    <row r="19">
      <c r="A19" t="inlineStr">
        <is>
          <t>L10 전환비율</t>
        </is>
      </c>
      <c r="B19" t="inlineStr">
        <is>
          <t>근거_매출 20행 (FY22~25 평균)</t>
        </is>
      </c>
      <c r="C19" s="401" t="n">
        <v>0.9873</v>
      </c>
      <c r="D19" s="401" t="n">
        <v>1.0074</v>
      </c>
      <c r="E19" s="401" t="n">
        <v>0.9557</v>
      </c>
      <c r="F19" t="inlineStr">
        <is>
          <t>FY2022~25 실측 최소·최대</t>
        </is>
      </c>
    </row>
    <row r="21">
      <c r="A21" s="459" t="inlineStr">
        <is>
          <t>■ C. 결과 — 기준 대비 매출 변화율</t>
        </is>
      </c>
    </row>
    <row r="22">
      <c r="B22" s="492" t="inlineStr">
        <is>
          <t>FY2027하방</t>
        </is>
      </c>
      <c r="C22" s="492" t="inlineStr">
        <is>
          <t>FY2027상방</t>
        </is>
      </c>
      <c r="D22" s="492" t="inlineStr">
        <is>
          <t>FY2030하방</t>
        </is>
      </c>
      <c r="E22" s="492" t="inlineStr">
        <is>
          <t>FY2030상방</t>
        </is>
      </c>
      <c r="F22" s="492" t="inlineStr">
        <is>
          <t>FY2030 최대영향(±)</t>
        </is>
      </c>
    </row>
    <row r="23">
      <c r="A23" s="459" t="inlineStr">
        <is>
          <t>L9 제네릭 침투</t>
        </is>
      </c>
      <c r="B23" s="513">
        <f>근거_매출!K32/근거_매출!K28-1</f>
        <v/>
      </c>
      <c r="C23" s="513">
        <f>근거_매출!K31/근거_매출!K28-1</f>
        <v/>
      </c>
      <c r="D23" s="513">
        <f>근거_매출!N32/근거_매출!N28-1</f>
        <v/>
      </c>
      <c r="E23" s="513">
        <f>근거_매출!N31/근거_매출!N28-1</f>
        <v/>
      </c>
      <c r="F23" s="513">
        <f>MAX(ABS(D23),ABS(E23))</f>
        <v/>
      </c>
    </row>
    <row r="24">
      <c r="A24" s="476" t="inlineStr">
        <is>
          <t>L8 Olmesartan MS 하한</t>
        </is>
      </c>
      <c r="B24" s="514">
        <f>-0.091158</f>
        <v/>
      </c>
      <c r="C24" s="514">
        <f>0.091158</f>
        <v/>
      </c>
      <c r="D24" s="514">
        <f>-0.091602</f>
        <v/>
      </c>
      <c r="E24" s="514">
        <f>0.091602</f>
        <v/>
      </c>
      <c r="F24" s="514">
        <f>MAX(ABS(D24),ABS(E24))</f>
        <v/>
      </c>
    </row>
    <row r="25">
      <c r="A25" s="476" t="inlineStr">
        <is>
          <t>L6 ARB+CCB+DU 비율 상한 L</t>
        </is>
      </c>
      <c r="B25" s="514">
        <f>-0.085145</f>
        <v/>
      </c>
      <c r="C25" s="514">
        <f>0.085145</f>
        <v/>
      </c>
      <c r="D25" s="514">
        <f>-0.085169</f>
        <v/>
      </c>
      <c r="E25" s="514">
        <f>0.085169</f>
        <v/>
      </c>
      <c r="F25" s="514">
        <f>MAX(ABS(D25),ABS(E25))</f>
        <v/>
      </c>
    </row>
    <row r="26">
      <c r="A26" s="476" t="inlineStr">
        <is>
          <t>L2 의료이용비율</t>
        </is>
      </c>
      <c r="B26" s="514">
        <f>0.037904</f>
        <v/>
      </c>
      <c r="C26" s="514">
        <f>-0.014253</f>
        <v/>
      </c>
      <c r="D26" s="514">
        <f>0.059295</f>
        <v/>
      </c>
      <c r="E26" s="514">
        <f>-0.020237</f>
        <v/>
      </c>
      <c r="F26" s="514">
        <f>MAX(ABS(D26),ABS(E26))</f>
        <v/>
      </c>
    </row>
    <row r="27">
      <c r="A27" s="476" t="inlineStr">
        <is>
          <t>L10 전환비율</t>
        </is>
      </c>
      <c r="B27" s="514">
        <f>-0.019952</f>
        <v/>
      </c>
      <c r="C27" s="514">
        <f>0.033065</f>
        <v/>
      </c>
      <c r="D27" s="514">
        <f>-0.019952</f>
        <v/>
      </c>
      <c r="E27" s="514">
        <f>0.033065</f>
        <v/>
      </c>
      <c r="F27" s="514">
        <f>MAX(ABS(D27),ABS(E27))</f>
        <v/>
      </c>
    </row>
    <row r="28">
      <c r="A28" s="476" t="inlineStr">
        <is>
          <t>L7 HP:GP 비율 하한</t>
        </is>
      </c>
      <c r="B28" s="514">
        <f>-0.022394</f>
        <v/>
      </c>
      <c r="C28" s="514">
        <f>0.022394</f>
        <v/>
      </c>
      <c r="D28" s="514">
        <f>-0.029274</f>
        <v/>
      </c>
      <c r="E28" s="514">
        <f>0.029274</f>
        <v/>
      </c>
      <c r="F28" s="514">
        <f>MAX(ABS(D28),ABS(E28))</f>
        <v/>
      </c>
    </row>
    <row r="29">
      <c r="A29" s="476" t="inlineStr">
        <is>
          <t>L5 VPP 증가일수</t>
        </is>
      </c>
      <c r="B29" s="514">
        <f>-0.005953</f>
        <v/>
      </c>
      <c r="C29" s="514">
        <f>0.008929</f>
        <v/>
      </c>
      <c r="D29" s="514">
        <f>-0.008903</f>
        <v/>
      </c>
      <c r="E29" s="514">
        <f>0.014838</f>
        <v/>
      </c>
      <c r="F29" s="514">
        <f>MAX(ABS(D29),ABS(E29))</f>
        <v/>
      </c>
    </row>
    <row r="30">
      <c r="A30" s="476" t="inlineStr">
        <is>
          <t>L4 ARB 처방률 상한 L</t>
        </is>
      </c>
      <c r="B30" s="514">
        <f>-0.002532</f>
        <v/>
      </c>
      <c r="C30" s="514">
        <f>0.001452</f>
        <v/>
      </c>
      <c r="D30" s="514">
        <f>-0.010371</f>
        <v/>
      </c>
      <c r="E30" s="514">
        <f>0.006355</f>
        <v/>
      </c>
      <c r="F30" s="514">
        <f>MAX(ABS(D30),ABS(E30))</f>
        <v/>
      </c>
    </row>
    <row r="31">
      <c r="A31" s="476" t="inlineStr">
        <is>
          <t>L1 유병률</t>
        </is>
      </c>
      <c r="B31" s="514">
        <f>0.005715</f>
        <v/>
      </c>
      <c r="C31" s="514">
        <f>-0.002917</f>
        <v/>
      </c>
      <c r="D31" s="514">
        <f>0.008547</f>
        <v/>
      </c>
      <c r="E31" s="514">
        <f>-0.002849</f>
        <v/>
      </c>
      <c r="F31" s="514">
        <f>MAX(ABS(D31),ABS(E31))</f>
        <v/>
      </c>
    </row>
    <row r="32">
      <c r="A32" s="476" t="inlineStr">
        <is>
          <t>L3 치료비율</t>
        </is>
      </c>
      <c r="B32" s="514">
        <f>0.003532</f>
        <v/>
      </c>
      <c r="C32" s="514">
        <f>-0.002111</f>
        <v/>
      </c>
      <c r="D32" s="514">
        <f>5.3e-05</f>
        <v/>
      </c>
      <c r="E32" s="514">
        <f>-0.008334</f>
        <v/>
      </c>
      <c r="F32" s="514">
        <f>MAX(ABS(D32),ABS(E32))</f>
        <v/>
      </c>
    </row>
    <row r="34">
      <c r="A34" s="472" t="inlineStr">
        <is>
          <t>· L9 침투는 MTS 밴드(근거_매출 31·32행)와 동일 정의라 수식 참조(라이브). 나머지는 사본 재계산의 정적 기록</t>
        </is>
      </c>
    </row>
    <row r="35">
      <c r="A35" s="472" t="inlineStr">
        <is>
          <t>· L1 유병률은 동등 산포의 레벨 쇼크(±2%)로 근사. 환자 체인(L1~L4)의 FY2026 영향은 구조적으로 0에 가까움 — V1.1은 FY2025 실측 처방량을 앵커로 VPP를 역산(처방량÷환자수)하므로, 환자수의 '레벨' 변화는 VPP가 반대로 움직여 상쇄되고 성장 경로 변화만 FY2027~ 에 전파된다</t>
        </is>
      </c>
    </row>
    <row r="36">
      <c r="A36" s="472" t="inlineStr">
        <is>
          <t>· L5·L6·L7·L8은 FY2026 예측이 실측 1분기+예측 3분기 평균이므로 FY2027 이후로 갈수록 영향이 커진다</t>
        </is>
      </c>
    </row>
    <row r="37">
      <c r="A37" s="472" t="inlineStr">
        <is>
          <t>· L1~L3 하방(환자수 감소)에서 매출이 오히려 증가하는 것은 오류가 아니라 구조적 결과 — VPP 역산값 상승이 최근 3개년 VPP 증가일수 파라미터(근거_ARB처방량 C16)로 전파되기 때문. 환자 체인은 검증·설명용 역할</t>
        </is>
      </c>
    </row>
    <row r="38">
      <c r="A38" s="472" t="inlineStr">
        <is>
          <t>· 결과 수치는 근거_민감도 산출 시점(2026-09-14)의 모델 상태 기준이며, 원본_RAW 갱신 시 L9 외 정적 값은 재산출 필요</t>
        </is>
      </c>
    </row>
    <row r="41">
      <c r="A41" s="472" t="inlineStr">
        <is>
          <t>■ D. 차트 소스 데이터</t>
        </is>
      </c>
    </row>
    <row r="42">
      <c r="A42" s="472" t="inlineStr">
        <is>
          <t>요인(±%)</t>
        </is>
      </c>
      <c r="B42" s="472" t="inlineStr">
        <is>
          <t>L3 치료비율</t>
        </is>
      </c>
      <c r="C42" s="472" t="inlineStr">
        <is>
          <t>L1 유병률</t>
        </is>
      </c>
      <c r="D42" s="472" t="inlineStr">
        <is>
          <t>L4 ARB 처방률 상한 L</t>
        </is>
      </c>
      <c r="E42" s="472" t="inlineStr">
        <is>
          <t>L5 VPP 증가일수</t>
        </is>
      </c>
      <c r="F42" s="472" t="inlineStr">
        <is>
          <t>L7 HP:GP 비율 하한</t>
        </is>
      </c>
      <c r="G42" s="472" t="inlineStr">
        <is>
          <t>L10 전환비율</t>
        </is>
      </c>
      <c r="H42" s="472" t="inlineStr">
        <is>
          <t>L2 의료이용비율</t>
        </is>
      </c>
      <c r="I42" s="472" t="inlineStr">
        <is>
          <t>L6 ARB+CCB+DU 비율 상한 L</t>
        </is>
      </c>
      <c r="J42" s="472" t="inlineStr">
        <is>
          <t>L8 Olmesartan MS 하한</t>
        </is>
      </c>
      <c r="K42" s="472" t="inlineStr">
        <is>
          <t>L9 제네릭 침투</t>
        </is>
      </c>
    </row>
    <row r="43">
      <c r="A43" s="472" t="inlineStr">
        <is>
          <t>영향(%)</t>
        </is>
      </c>
      <c r="B43" s="472">
        <f>ROUND(F32*100,1)</f>
        <v/>
      </c>
      <c r="C43" s="472">
        <f>ROUND(F31*100,1)</f>
        <v/>
      </c>
      <c r="D43" s="472">
        <f>ROUND(F30*100,1)</f>
        <v/>
      </c>
      <c r="E43" s="472">
        <f>ROUND(F29*100,1)</f>
        <v/>
      </c>
      <c r="F43" s="472">
        <f>ROUND(F28*100,1)</f>
        <v/>
      </c>
      <c r="G43" s="472">
        <f>ROUND(F27*100,1)</f>
        <v/>
      </c>
      <c r="H43" s="472">
        <f>ROUND(F26*100,1)</f>
        <v/>
      </c>
      <c r="I43" s="472">
        <f>ROUND(F25*100,1)</f>
        <v/>
      </c>
      <c r="J43" s="472">
        <f>ROUND(F24*100,1)</f>
        <v/>
      </c>
      <c r="K43" s="472">
        <f>ROUND(F23*100,1)</f>
        <v/>
      </c>
    </row>
    <row r="45">
      <c r="A45" s="472" t="inlineStr">
        <is>
          <t>FY2030(억)</t>
        </is>
      </c>
      <c r="B45" s="472" t="inlineStr">
        <is>
          <t>침투 가속(-10%p)</t>
        </is>
      </c>
      <c r="C45" s="472" t="inlineStr">
        <is>
          <t>Base</t>
        </is>
      </c>
      <c r="D45" s="472" t="inlineStr">
        <is>
          <t>침투 방어(+10%p)</t>
        </is>
      </c>
    </row>
    <row r="46">
      <c r="A46" s="472" t="inlineStr">
        <is>
          <t>매출</t>
        </is>
      </c>
      <c r="B46" s="472">
        <f>ROUND(근거_매출!N32/100,0)</f>
        <v/>
      </c>
      <c r="C46" s="472">
        <f>ROUND(근거_매출!N28/100,0)</f>
        <v/>
      </c>
      <c r="D46" s="472">
        <f>ROUND(근거_매출!N31/100,0)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topLeftCell="A4" zoomScaleNormal="100" workbookViewId="0">
      <pane xSplit="2" topLeftCell="O1" activePane="topRight" state="frozen"/>
      <selection pane="topRight" activeCell="AA13" sqref="AA13"/>
    </sheetView>
  </sheetViews>
  <sheetFormatPr baseColWidth="8" defaultColWidth="8.5" defaultRowHeight="16.5"/>
  <cols>
    <col width="10.375" customWidth="1" style="9" min="1" max="1"/>
    <col width="13.125" customWidth="1" style="9" min="2" max="2"/>
    <col width="15.5" customWidth="1" style="9" min="3" max="3"/>
    <col width="12.75" customWidth="1" style="9" min="4" max="4"/>
    <col width="17.375" customWidth="1" style="9" min="5" max="5"/>
    <col width="13.5" customWidth="1" style="9" min="6" max="6"/>
    <col width="18.125" customWidth="1" style="9" min="7" max="7"/>
    <col width="13.5" customWidth="1" style="9" min="8" max="8"/>
    <col width="17.375" customWidth="1" style="9" min="9" max="9"/>
    <col width="21.375" customWidth="1" style="9" min="10" max="10"/>
    <col width="18.25" customWidth="1" style="9" min="11" max="11"/>
    <col width="19.875" customWidth="1" style="9" min="12" max="12"/>
    <col width="19.625" customWidth="1" style="9" min="13" max="13"/>
    <col width="18.5" customWidth="1" style="9" min="14" max="14"/>
    <col width="17.125" customWidth="1" style="9" min="15" max="15"/>
    <col width="18.5" customWidth="1" style="9" min="16" max="16"/>
    <col width="17.125" customWidth="1" style="9" min="17" max="17"/>
    <col width="18.5" customWidth="1" style="9" min="18" max="18"/>
    <col width="17.125" customWidth="1" style="9" min="19" max="19"/>
    <col width="18.5" customWidth="1" style="9" min="20" max="20"/>
    <col width="15" customWidth="1" style="9" min="21" max="21"/>
    <col width="11.875" customWidth="1" style="9" min="22" max="22"/>
    <col width="13.375" customWidth="1" style="9" min="23" max="23"/>
    <col width="11.875" customWidth="1" style="9" min="24" max="24"/>
    <col width="11.875" customWidth="1" style="9" min="27" max="27"/>
  </cols>
  <sheetData>
    <row r="2" ht="17.25" customHeight="1" s="9">
      <c r="A2" s="104" t="n"/>
      <c r="B2" s="104" t="inlineStr">
        <is>
          <t>Part 1) 고혈압환자수&amp;시장 예측  [CY 기준 · 역년 1~12월] / UBIST 처방량 예측  [FY 기준 · 회계연도 4~3월]</t>
        </is>
      </c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</row>
    <row r="3" ht="16.5" customHeight="1" s="9">
      <c r="A3" s="105" t="n"/>
      <c r="B3" s="106" t="inlineStr">
        <is>
          <t>연도</t>
        </is>
      </c>
      <c r="C3" s="106" t="inlineStr">
        <is>
          <t>유병환자수</t>
        </is>
      </c>
      <c r="D3" s="105" t="n"/>
      <c r="E3" s="106" t="inlineStr">
        <is>
          <t>의료이용환자수</t>
        </is>
      </c>
      <c r="F3" s="105" t="n"/>
      <c r="G3" s="106" t="inlineStr">
        <is>
          <t>치료환자수</t>
        </is>
      </c>
      <c r="H3" s="105" t="n"/>
      <c r="I3" s="105" t="inlineStr">
        <is>
          <t>ARB 처방 환자수</t>
        </is>
      </c>
      <c r="J3" s="105" t="n"/>
      <c r="K3" s="105" t="n"/>
      <c r="L3" s="105" t="inlineStr">
        <is>
          <t>ARB 처방량 (UBIST)</t>
        </is>
      </c>
      <c r="M3" s="105" t="n"/>
      <c r="N3" s="105" t="n"/>
      <c r="O3" s="105" t="inlineStr">
        <is>
          <t>ARB+CCB+DU복합제 처방량 (UBIST)</t>
        </is>
      </c>
      <c r="P3" s="105" t="n"/>
      <c r="Q3" s="105" t="inlineStr">
        <is>
          <t>ARB+CCB+DU복합제 HP:GP 처방량 (UBIST)</t>
        </is>
      </c>
      <c r="R3" s="105" t="n"/>
      <c r="S3" s="105" t="n"/>
      <c r="T3" s="105" t="n"/>
      <c r="U3" s="105" t="inlineStr">
        <is>
          <t>SVK HCT처방량 (UBIST)</t>
        </is>
      </c>
      <c r="V3" s="105" t="n"/>
      <c r="W3" s="105" t="n"/>
      <c r="X3" s="105" t="n"/>
      <c r="Y3" s="105" t="n"/>
      <c r="Z3" s="105" t="n"/>
      <c r="AA3" s="105" t="n"/>
      <c r="AB3" s="105" t="n"/>
      <c r="AC3" s="105" t="n"/>
    </row>
    <row r="4" ht="16.5" customHeight="1" s="9">
      <c r="A4" s="106" t="inlineStr">
        <is>
          <t>전체인구수</t>
        </is>
      </c>
      <c r="B4" s="105" t="inlineStr">
        <is>
          <t>CY연도기준</t>
        </is>
      </c>
      <c r="C4" s="106" t="inlineStr">
        <is>
          <t>환자수</t>
        </is>
      </c>
      <c r="D4" s="106" t="inlineStr">
        <is>
          <t>유병률</t>
        </is>
      </c>
      <c r="E4" s="106" t="inlineStr">
        <is>
          <t>환자수</t>
        </is>
      </c>
      <c r="F4" s="106" t="inlineStr">
        <is>
          <t>의료이용비율</t>
        </is>
      </c>
      <c r="G4" s="106" t="inlineStr">
        <is>
          <t>환자수</t>
        </is>
      </c>
      <c r="H4" s="106" t="inlineStr">
        <is>
          <t>치료비율</t>
        </is>
      </c>
      <c r="I4" s="106" t="inlineStr">
        <is>
          <t>환자수</t>
        </is>
      </c>
      <c r="J4" s="106" t="inlineStr">
        <is>
          <t>처방비율</t>
        </is>
      </c>
      <c r="K4" s="106" t="inlineStr">
        <is>
          <t>환자수  Yoy</t>
        </is>
      </c>
      <c r="L4" s="122" t="inlineStr">
        <is>
          <t>환자당 연간 처방일수</t>
        </is>
      </c>
      <c r="M4" s="106" t="inlineStr">
        <is>
          <t>수량 (T)</t>
        </is>
      </c>
      <c r="N4" s="106" t="inlineStr">
        <is>
          <t>처방량 YoY</t>
        </is>
      </c>
      <c r="O4" s="106" t="inlineStr">
        <is>
          <t>수량 (T)</t>
        </is>
      </c>
      <c r="P4" s="106" t="inlineStr">
        <is>
          <t>비율</t>
        </is>
      </c>
      <c r="Q4" s="105" t="inlineStr">
        <is>
          <t>HP 수량 (T)</t>
        </is>
      </c>
      <c r="R4" s="106" t="inlineStr">
        <is>
          <t>비율</t>
        </is>
      </c>
      <c r="S4" s="105" t="inlineStr">
        <is>
          <t>GP 수량 (T)</t>
        </is>
      </c>
      <c r="T4" s="106" t="inlineStr">
        <is>
          <t>비율</t>
        </is>
      </c>
      <c r="U4" s="105" t="inlineStr">
        <is>
          <t>HP 수량 (T)</t>
        </is>
      </c>
      <c r="V4" s="105" t="inlineStr">
        <is>
          <t>HP MS%</t>
        </is>
      </c>
      <c r="W4" s="106" t="inlineStr">
        <is>
          <t>처방량 YoY</t>
        </is>
      </c>
      <c r="X4" s="105" t="inlineStr">
        <is>
          <t>GP 수량 (T)</t>
        </is>
      </c>
      <c r="Y4" s="105" t="inlineStr">
        <is>
          <t>GP MS%</t>
        </is>
      </c>
      <c r="Z4" s="106" t="inlineStr">
        <is>
          <t>처방량 YoY</t>
        </is>
      </c>
      <c r="AA4" s="105" t="inlineStr">
        <is>
          <t>Total 수량 (T)</t>
        </is>
      </c>
      <c r="AB4" s="105" t="inlineStr">
        <is>
          <t>Total MS%</t>
        </is>
      </c>
      <c r="AC4" s="106" t="inlineStr">
        <is>
          <t>처방량 YoY</t>
        </is>
      </c>
    </row>
    <row r="5" ht="16.5" customHeight="1" s="9">
      <c r="A5" s="43">
        <f>근거_유병환자수!B12</f>
        <v/>
      </c>
      <c r="B5" s="0" t="n">
        <v>2010</v>
      </c>
      <c r="C5" s="43">
        <f>근거_유병환자수!B29</f>
        <v/>
      </c>
      <c r="D5" s="438">
        <f>IFERROR(C5/A5,"")</f>
        <v/>
      </c>
      <c r="E5" s="439">
        <f>근거_의료이용환자수!B9</f>
        <v/>
      </c>
      <c r="F5" s="438">
        <f>IFERROR(E5/C5,"")</f>
        <v/>
      </c>
      <c r="G5" s="398">
        <f>근거_고혈압치료환자수!B$9</f>
        <v/>
      </c>
      <c r="H5" s="438">
        <f>IFERROR(G5/E5,"")</f>
        <v/>
      </c>
      <c r="I5" s="398">
        <f>근거_ARB처방환자수!B12</f>
        <v/>
      </c>
      <c r="J5" s="438">
        <f>IFERROR(I5/G5,"")</f>
        <v/>
      </c>
      <c r="K5" s="438" t="n"/>
      <c r="L5" s="439" t="n"/>
      <c r="M5" s="439" t="n"/>
      <c r="N5" s="438" t="n"/>
      <c r="O5" s="439" t="n"/>
      <c r="P5" s="439" t="n"/>
      <c r="Q5" s="439" t="n"/>
      <c r="R5" s="439" t="n"/>
      <c r="S5" s="439" t="n"/>
      <c r="T5" s="439" t="n"/>
      <c r="U5" s="438" t="n"/>
      <c r="W5" s="109" t="n"/>
      <c r="X5" s="438" t="n"/>
      <c r="Z5" s="109" t="n"/>
      <c r="AA5" s="438" t="n"/>
      <c r="AC5" s="109" t="n"/>
    </row>
    <row r="6" ht="16.5" customHeight="1" s="9">
      <c r="A6" s="43">
        <f>근거_유병환자수!C12</f>
        <v/>
      </c>
      <c r="B6" s="0" t="n">
        <v>2011</v>
      </c>
      <c r="C6" s="43">
        <f>근거_유병환자수!C29</f>
        <v/>
      </c>
      <c r="D6" s="438">
        <f>IFERROR(C6/A6,"")</f>
        <v/>
      </c>
      <c r="E6" s="439">
        <f>근거_의료이용환자수!C9</f>
        <v/>
      </c>
      <c r="F6" s="438">
        <f>IFERROR(E6/C6,"")</f>
        <v/>
      </c>
      <c r="G6" s="398">
        <f>근거_고혈압치료환자수!C$9</f>
        <v/>
      </c>
      <c r="H6" s="438">
        <f>IFERROR(G6/E6,"")</f>
        <v/>
      </c>
      <c r="I6" s="398">
        <f>근거_ARB처방환자수!C12</f>
        <v/>
      </c>
      <c r="J6" s="438">
        <f>IFERROR(I6/G6,"")</f>
        <v/>
      </c>
      <c r="K6" s="438">
        <f>IFERROR(I6/I5-1,"")</f>
        <v/>
      </c>
      <c r="L6" s="439" t="n"/>
      <c r="M6" s="439" t="n"/>
      <c r="N6" s="438">
        <f>IFERROR(M6/M5-1,"")</f>
        <v/>
      </c>
      <c r="O6" s="439" t="n"/>
      <c r="P6" s="439" t="n"/>
      <c r="Q6" s="439" t="n"/>
      <c r="R6" s="439" t="n"/>
      <c r="S6" s="439" t="n"/>
      <c r="T6" s="439" t="n"/>
      <c r="U6" s="438" t="n"/>
      <c r="W6" s="109" t="n"/>
      <c r="X6" s="438" t="n"/>
      <c r="Z6" s="109" t="n"/>
      <c r="AA6" s="438" t="n"/>
      <c r="AC6" s="109" t="n"/>
    </row>
    <row r="7" ht="16.5" customHeight="1" s="9">
      <c r="A7" s="43">
        <f>근거_유병환자수!D12</f>
        <v/>
      </c>
      <c r="B7" s="0" t="n">
        <v>2012</v>
      </c>
      <c r="C7" s="43">
        <f>근거_유병환자수!D29</f>
        <v/>
      </c>
      <c r="D7" s="438">
        <f>IFERROR(C7/A7,"")</f>
        <v/>
      </c>
      <c r="E7" s="439">
        <f>근거_의료이용환자수!D9</f>
        <v/>
      </c>
      <c r="F7" s="438">
        <f>IFERROR(E7/C7,"")</f>
        <v/>
      </c>
      <c r="G7" s="398">
        <f>근거_고혈압치료환자수!D$9</f>
        <v/>
      </c>
      <c r="H7" s="438">
        <f>IFERROR(G7/E7,"")</f>
        <v/>
      </c>
      <c r="I7" s="398">
        <f>근거_ARB처방환자수!D12</f>
        <v/>
      </c>
      <c r="J7" s="438">
        <f>IFERROR(I7/G7,"")</f>
        <v/>
      </c>
      <c r="K7" s="438">
        <f>IFERROR(I7/I6-1,"")</f>
        <v/>
      </c>
      <c r="L7" s="439" t="n"/>
      <c r="M7" s="439" t="n"/>
      <c r="N7" s="438">
        <f>IFERROR(M7/M6-1,"")</f>
        <v/>
      </c>
      <c r="O7" s="439" t="n"/>
      <c r="P7" s="439" t="n"/>
      <c r="Q7" s="439" t="n"/>
      <c r="R7" s="439" t="n"/>
      <c r="S7" s="439" t="n"/>
      <c r="T7" s="439" t="n"/>
      <c r="U7" s="438" t="n"/>
      <c r="W7" s="109" t="n"/>
      <c r="X7" s="438" t="n"/>
      <c r="Z7" s="109" t="n"/>
      <c r="AA7" s="438" t="n"/>
      <c r="AC7" s="109" t="n"/>
    </row>
    <row r="8" ht="16.5" customHeight="1" s="9">
      <c r="A8" s="43">
        <f>근거_유병환자수!E12</f>
        <v/>
      </c>
      <c r="B8" s="0" t="n">
        <v>2013</v>
      </c>
      <c r="C8" s="43">
        <f>근거_유병환자수!E29</f>
        <v/>
      </c>
      <c r="D8" s="438">
        <f>IFERROR(C8/A8,"")</f>
        <v/>
      </c>
      <c r="E8" s="439">
        <f>근거_의료이용환자수!E9</f>
        <v/>
      </c>
      <c r="F8" s="438">
        <f>IFERROR(E8/C8,"")</f>
        <v/>
      </c>
      <c r="G8" s="398">
        <f>근거_고혈압치료환자수!E$9</f>
        <v/>
      </c>
      <c r="H8" s="438">
        <f>IFERROR(G8/E8,"")</f>
        <v/>
      </c>
      <c r="I8" s="398">
        <f>근거_ARB처방환자수!E12</f>
        <v/>
      </c>
      <c r="J8" s="438">
        <f>IFERROR(I8/G8,"")</f>
        <v/>
      </c>
      <c r="K8" s="438">
        <f>IFERROR(I8/I7-1,"")</f>
        <v/>
      </c>
      <c r="L8" s="439" t="n"/>
      <c r="M8" s="439" t="n"/>
      <c r="N8" s="438">
        <f>IFERROR(M8/M7-1,"")</f>
        <v/>
      </c>
      <c r="O8" s="439" t="n"/>
      <c r="P8" s="439" t="n"/>
      <c r="Q8" s="439" t="n"/>
      <c r="R8" s="439" t="n"/>
      <c r="S8" s="439" t="n"/>
      <c r="T8" s="439" t="n"/>
      <c r="U8" s="438" t="n"/>
      <c r="W8" s="109" t="n"/>
      <c r="X8" s="438" t="n"/>
      <c r="Z8" s="109" t="n"/>
      <c r="AA8" s="438" t="n"/>
      <c r="AC8" s="109" t="n"/>
    </row>
    <row r="9" ht="16.5" customHeight="1" s="9">
      <c r="A9" s="43">
        <f>근거_유병환자수!F12</f>
        <v/>
      </c>
      <c r="B9" s="0" t="n">
        <v>2014</v>
      </c>
      <c r="C9" s="43">
        <f>근거_유병환자수!F29</f>
        <v/>
      </c>
      <c r="D9" s="438">
        <f>IFERROR(C9/A9,"")</f>
        <v/>
      </c>
      <c r="E9" s="398">
        <f>근거_의료이용환자수!F9</f>
        <v/>
      </c>
      <c r="F9" s="438">
        <f>IFERROR(E9/C9,"")</f>
        <v/>
      </c>
      <c r="G9" s="398">
        <f>근거_고혈압치료환자수!F$9</f>
        <v/>
      </c>
      <c r="H9" s="438">
        <f>IFERROR(G9/E9,"")</f>
        <v/>
      </c>
      <c r="I9" s="398">
        <f>근거_ARB처방환자수!F12</f>
        <v/>
      </c>
      <c r="J9" s="438">
        <f>IFERROR(I9/G9,"")</f>
        <v/>
      </c>
      <c r="K9" s="438">
        <f>IFERROR(I9/I8-1,"")</f>
        <v/>
      </c>
      <c r="L9" s="439" t="n"/>
      <c r="M9" s="439" t="n"/>
      <c r="N9" s="438">
        <f>IFERROR(M9/M8-1,"")</f>
        <v/>
      </c>
      <c r="O9" s="439" t="n"/>
      <c r="P9" s="439" t="n"/>
      <c r="Q9" s="439" t="n"/>
      <c r="R9" s="439" t="n"/>
      <c r="S9" s="439" t="n"/>
      <c r="T9" s="439" t="n"/>
      <c r="U9" s="438" t="n"/>
      <c r="W9" s="109" t="n"/>
      <c r="X9" s="438" t="n"/>
      <c r="Z9" s="109" t="n"/>
      <c r="AA9" s="438" t="n"/>
      <c r="AC9" s="109" t="n"/>
    </row>
    <row r="10" ht="16.5" customHeight="1" s="9">
      <c r="A10" s="43">
        <f>근거_유병환자수!G12</f>
        <v/>
      </c>
      <c r="B10" s="0" t="n">
        <v>2015</v>
      </c>
      <c r="C10" s="43">
        <f>근거_유병환자수!G29</f>
        <v/>
      </c>
      <c r="D10" s="438">
        <f>IFERROR(C10/A10,"")</f>
        <v/>
      </c>
      <c r="E10" s="398">
        <f>근거_의료이용환자수!G9</f>
        <v/>
      </c>
      <c r="F10" s="438">
        <f>IFERROR(E10/C10,"")</f>
        <v/>
      </c>
      <c r="G10" s="398">
        <f>근거_고혈압치료환자수!G$9</f>
        <v/>
      </c>
      <c r="H10" s="438">
        <f>IFERROR(G10/E10,"")</f>
        <v/>
      </c>
      <c r="I10" s="398">
        <f>근거_ARB처방환자수!G12</f>
        <v/>
      </c>
      <c r="J10" s="438">
        <f>IFERROR(I10/G10,"")</f>
        <v/>
      </c>
      <c r="K10" s="438">
        <f>IFERROR(I10/I9-1,"")</f>
        <v/>
      </c>
      <c r="L10" s="439">
        <f>근거_ARB처방량!G12</f>
        <v/>
      </c>
      <c r="M10" s="398">
        <f>근거_ARB처방량!G9</f>
        <v/>
      </c>
      <c r="N10" s="438">
        <f>IFERROR(M10/M9-1,"")</f>
        <v/>
      </c>
      <c r="O10" s="439" t="n"/>
      <c r="P10" s="439" t="n"/>
      <c r="Q10" s="439" t="n"/>
      <c r="R10" s="439" t="n"/>
      <c r="S10" s="439" t="n"/>
      <c r="T10" s="439" t="n"/>
      <c r="U10" s="438" t="n"/>
      <c r="W10" s="109" t="n"/>
      <c r="X10" s="438" t="n"/>
      <c r="Z10" s="109" t="n"/>
      <c r="AA10" s="438" t="n"/>
      <c r="AC10" s="109" t="n"/>
    </row>
    <row r="11" ht="16.5" customHeight="1" s="9">
      <c r="A11" s="43">
        <f>근거_유병환자수!H12</f>
        <v/>
      </c>
      <c r="B11" s="0" t="n">
        <v>2016</v>
      </c>
      <c r="C11" s="43">
        <f>근거_유병환자수!H29</f>
        <v/>
      </c>
      <c r="D11" s="438">
        <f>IFERROR(C11/A11,"")</f>
        <v/>
      </c>
      <c r="E11" s="398">
        <f>근거_의료이용환자수!H9</f>
        <v/>
      </c>
      <c r="F11" s="438">
        <f>IFERROR(E11/C11,"")</f>
        <v/>
      </c>
      <c r="G11" s="398">
        <f>근거_고혈압치료환자수!H$9</f>
        <v/>
      </c>
      <c r="H11" s="438">
        <f>IFERROR(G11/E11,"")</f>
        <v/>
      </c>
      <c r="I11" s="398">
        <f>근거_ARB처방환자수!H12</f>
        <v/>
      </c>
      <c r="J11" s="438">
        <f>IFERROR(I11/G11,"")</f>
        <v/>
      </c>
      <c r="K11" s="438">
        <f>IFERROR(I11/I10-1,"")</f>
        <v/>
      </c>
      <c r="L11" s="439">
        <f>근거_ARB처방량!H12</f>
        <v/>
      </c>
      <c r="M11" s="398">
        <f>근거_ARB처방량!H9</f>
        <v/>
      </c>
      <c r="N11" s="438">
        <f>IFERROR(M11/M10-1,"")</f>
        <v/>
      </c>
      <c r="O11" s="439" t="n"/>
      <c r="P11" s="439" t="n"/>
      <c r="Q11" s="439" t="n"/>
      <c r="R11" s="439" t="n"/>
      <c r="S11" s="439" t="n"/>
      <c r="T11" s="439" t="n"/>
      <c r="U11" s="438" t="n"/>
      <c r="W11" s="109" t="n"/>
      <c r="X11" s="438" t="n"/>
      <c r="Z11" s="109" t="n"/>
      <c r="AA11" s="438" t="n"/>
      <c r="AC11" s="109" t="n"/>
    </row>
    <row r="12" ht="16.5" customHeight="1" s="9">
      <c r="A12" s="43">
        <f>근거_유병환자수!I12</f>
        <v/>
      </c>
      <c r="B12" s="0" t="n">
        <v>2017</v>
      </c>
      <c r="C12" s="43">
        <f>근거_유병환자수!I29</f>
        <v/>
      </c>
      <c r="D12" s="438">
        <f>IFERROR(C12/A12,"")</f>
        <v/>
      </c>
      <c r="E12" s="398">
        <f>근거_의료이용환자수!I9</f>
        <v/>
      </c>
      <c r="F12" s="438">
        <f>IFERROR(E12/C12,"")</f>
        <v/>
      </c>
      <c r="G12" s="398">
        <f>근거_고혈압치료환자수!I$9</f>
        <v/>
      </c>
      <c r="H12" s="438">
        <f>IFERROR(G12/E12,"")</f>
        <v/>
      </c>
      <c r="I12" s="398">
        <f>근거_ARB처방환자수!I12</f>
        <v/>
      </c>
      <c r="J12" s="438">
        <f>IFERROR(I12/G12,"")</f>
        <v/>
      </c>
      <c r="K12" s="438">
        <f>IFERROR(I12/I11-1,"")</f>
        <v/>
      </c>
      <c r="L12" s="439">
        <f>근거_ARB처방량!I12</f>
        <v/>
      </c>
      <c r="M12" s="398">
        <f>근거_ARB처방량!I9</f>
        <v/>
      </c>
      <c r="N12" s="438">
        <f>IFERROR(M12/M11-1,"")</f>
        <v/>
      </c>
      <c r="O12" s="439" t="n"/>
      <c r="P12" s="439" t="n"/>
      <c r="Q12" s="439" t="n"/>
      <c r="R12" s="439" t="n"/>
      <c r="S12" s="439" t="n"/>
      <c r="T12" s="439" t="n"/>
      <c r="U12" s="438" t="n"/>
      <c r="W12" s="109" t="n"/>
      <c r="X12" s="438" t="n"/>
      <c r="Z12" s="109" t="n"/>
      <c r="AA12" s="438" t="n"/>
      <c r="AC12" s="109" t="n"/>
    </row>
    <row r="13" ht="16.5" customHeight="1" s="9">
      <c r="A13" s="43">
        <f>근거_유병환자수!J12</f>
        <v/>
      </c>
      <c r="B13" s="0" t="n">
        <v>2018</v>
      </c>
      <c r="C13" s="43">
        <f>근거_유병환자수!J29</f>
        <v/>
      </c>
      <c r="D13" s="438">
        <f>IFERROR(C13/A13,"")</f>
        <v/>
      </c>
      <c r="E13" s="398">
        <f>근거_의료이용환자수!J9</f>
        <v/>
      </c>
      <c r="F13" s="438">
        <f>IFERROR(E13/C13,"")</f>
        <v/>
      </c>
      <c r="G13" s="398">
        <f>근거_고혈압치료환자수!J$9</f>
        <v/>
      </c>
      <c r="H13" s="438">
        <f>IFERROR(G13/E13,"")</f>
        <v/>
      </c>
      <c r="I13" s="398">
        <f>근거_ARB처방환자수!J12</f>
        <v/>
      </c>
      <c r="J13" s="438">
        <f>IFERROR(I13/G13,"")</f>
        <v/>
      </c>
      <c r="K13" s="438">
        <f>IFERROR(I13/I12-1,"")</f>
        <v/>
      </c>
      <c r="L13" s="439">
        <f>근거_ARB처방량!J12</f>
        <v/>
      </c>
      <c r="M13" s="398">
        <f>근거_ARB처방량!J9</f>
        <v/>
      </c>
      <c r="N13" s="438">
        <f>IFERROR(M13/M12-1,"")</f>
        <v/>
      </c>
      <c r="O13" s="398">
        <f>'근거_ARB+CCB+DU복합제처방량'!B15</f>
        <v/>
      </c>
      <c r="P13" s="438">
        <f>IFERROR(O13/M13,"")</f>
        <v/>
      </c>
      <c r="Q13" s="398">
        <f>$O13*R13</f>
        <v/>
      </c>
      <c r="R13" s="438">
        <f>'근거_SVK HCT처방량'!B9</f>
        <v/>
      </c>
      <c r="S13" s="398">
        <f>$O13*T13</f>
        <v/>
      </c>
      <c r="T13" s="438">
        <f>'근거_SVK HCT처방량'!B10</f>
        <v/>
      </c>
      <c r="U13" s="440">
        <f>'근거_SVK HCT처방량'!B$29</f>
        <v/>
      </c>
      <c r="V13" s="438">
        <f>IFERROR(U13/Q13,"")</f>
        <v/>
      </c>
      <c r="W13" s="109" t="n"/>
      <c r="X13" s="440">
        <f>'근거_SVK HCT처방량'!B$30</f>
        <v/>
      </c>
      <c r="Y13" s="438">
        <f>IFERROR(X13/S13,"")</f>
        <v/>
      </c>
      <c r="Z13" s="109" t="n"/>
      <c r="AA13" s="440">
        <f>U13+X13</f>
        <v/>
      </c>
      <c r="AB13" s="438">
        <f>IFERROR(AA13/O13,"")</f>
        <v/>
      </c>
      <c r="AC13" s="109" t="n"/>
    </row>
    <row r="14" ht="16.5" customHeight="1" s="9">
      <c r="A14" s="43">
        <f>근거_유병환자수!K12</f>
        <v/>
      </c>
      <c r="B14" s="0" t="n">
        <v>2019</v>
      </c>
      <c r="C14" s="43">
        <f>근거_유병환자수!K29</f>
        <v/>
      </c>
      <c r="D14" s="438">
        <f>IFERROR(C14/A14,"")</f>
        <v/>
      </c>
      <c r="E14" s="398">
        <f>근거_의료이용환자수!K9</f>
        <v/>
      </c>
      <c r="F14" s="438">
        <f>IFERROR(E14/C14,"")</f>
        <v/>
      </c>
      <c r="G14" s="398">
        <f>근거_고혈압치료환자수!K$9</f>
        <v/>
      </c>
      <c r="H14" s="438">
        <f>IFERROR(G14/E14,"")</f>
        <v/>
      </c>
      <c r="I14" s="398">
        <f>근거_ARB처방환자수!K12</f>
        <v/>
      </c>
      <c r="J14" s="438">
        <f>IFERROR(I14/G14,"")</f>
        <v/>
      </c>
      <c r="K14" s="438">
        <f>IFERROR(I14/I13-1,"")</f>
        <v/>
      </c>
      <c r="L14" s="439">
        <f>근거_ARB처방량!K12</f>
        <v/>
      </c>
      <c r="M14" s="398">
        <f>근거_ARB처방량!K9</f>
        <v/>
      </c>
      <c r="N14" s="438">
        <f>IFERROR(M14/M13-1,"")</f>
        <v/>
      </c>
      <c r="O14" s="398">
        <f>'근거_ARB+CCB+DU복합제처방량'!C15</f>
        <v/>
      </c>
      <c r="P14" s="438">
        <f>IFERROR(O14/M14,"")</f>
        <v/>
      </c>
      <c r="Q14" s="398">
        <f>$O14*R14</f>
        <v/>
      </c>
      <c r="R14" s="438">
        <f>'근거_SVK HCT처방량'!C9</f>
        <v/>
      </c>
      <c r="S14" s="398">
        <f>$O14*T14</f>
        <v/>
      </c>
      <c r="T14" s="438">
        <f>'근거_SVK HCT처방량'!C10</f>
        <v/>
      </c>
      <c r="U14" s="440">
        <f>'근거_SVK HCT처방량'!C$29</f>
        <v/>
      </c>
      <c r="V14" s="438">
        <f>IFERROR(U14/Q14,"")</f>
        <v/>
      </c>
      <c r="W14" s="441">
        <f>IFERROR(U14/U13-1,"")</f>
        <v/>
      </c>
      <c r="X14" s="440">
        <f>'근거_SVK HCT처방량'!C$30</f>
        <v/>
      </c>
      <c r="Y14" s="438">
        <f>IFERROR(X14/S14,"")</f>
        <v/>
      </c>
      <c r="Z14" s="441">
        <f>IFERROR(X14/X13-1,"")</f>
        <v/>
      </c>
      <c r="AA14" s="440">
        <f>U14+X14</f>
        <v/>
      </c>
      <c r="AB14" s="438">
        <f>IFERROR(AA14/O14,"")</f>
        <v/>
      </c>
      <c r="AC14" s="441">
        <f>IFERROR(AA14/AA13-1,"")</f>
        <v/>
      </c>
    </row>
    <row r="15" ht="16.5" customHeight="1" s="9">
      <c r="A15" s="43">
        <f>근거_유병환자수!L12</f>
        <v/>
      </c>
      <c r="B15" s="0" t="n">
        <v>2020</v>
      </c>
      <c r="C15" s="43">
        <f>근거_유병환자수!L29</f>
        <v/>
      </c>
      <c r="D15" s="438">
        <f>IFERROR(C15/A15,"")</f>
        <v/>
      </c>
      <c r="E15" s="398">
        <f>근거_의료이용환자수!L9</f>
        <v/>
      </c>
      <c r="F15" s="438">
        <f>IFERROR(E15/C15,"")</f>
        <v/>
      </c>
      <c r="G15" s="398">
        <f>근거_고혈압치료환자수!L$9</f>
        <v/>
      </c>
      <c r="H15" s="438">
        <f>IFERROR(G15/E15,"")</f>
        <v/>
      </c>
      <c r="I15" s="398">
        <f>근거_ARB처방환자수!L12</f>
        <v/>
      </c>
      <c r="J15" s="438">
        <f>IFERROR(I15/G15,"")</f>
        <v/>
      </c>
      <c r="K15" s="438">
        <f>IFERROR(I15/I14-1,"")</f>
        <v/>
      </c>
      <c r="L15" s="439">
        <f>근거_ARB처방량!L12</f>
        <v/>
      </c>
      <c r="M15" s="398">
        <f>근거_ARB처방량!L9</f>
        <v/>
      </c>
      <c r="N15" s="438">
        <f>IFERROR(M15/M14-1,"")</f>
        <v/>
      </c>
      <c r="O15" s="398">
        <f>'근거_ARB+CCB+DU복합제처방량'!D15</f>
        <v/>
      </c>
      <c r="P15" s="438">
        <f>IFERROR(O15/M15,"")</f>
        <v/>
      </c>
      <c r="Q15" s="398">
        <f>$O15*R15</f>
        <v/>
      </c>
      <c r="R15" s="438">
        <f>'근거_SVK HCT처방량'!D9</f>
        <v/>
      </c>
      <c r="S15" s="398">
        <f>$O15*T15</f>
        <v/>
      </c>
      <c r="T15" s="438">
        <f>'근거_SVK HCT처방량'!D10</f>
        <v/>
      </c>
      <c r="U15" s="440">
        <f>'근거_SVK HCT처방량'!D$29</f>
        <v/>
      </c>
      <c r="V15" s="438">
        <f>IFERROR(U15/Q15,"")</f>
        <v/>
      </c>
      <c r="W15" s="441">
        <f>IFERROR(U15/U14-1,"")</f>
        <v/>
      </c>
      <c r="X15" s="440">
        <f>'근거_SVK HCT처방량'!D$30</f>
        <v/>
      </c>
      <c r="Y15" s="438">
        <f>IFERROR(X15/S15,"")</f>
        <v/>
      </c>
      <c r="Z15" s="441">
        <f>IFERROR(X15/X14-1,"")</f>
        <v/>
      </c>
      <c r="AA15" s="440">
        <f>U15+X15</f>
        <v/>
      </c>
      <c r="AB15" s="438">
        <f>IFERROR(AA15/O15,"")</f>
        <v/>
      </c>
      <c r="AC15" s="441">
        <f>IFERROR(AA15/AA14-1,"")</f>
        <v/>
      </c>
    </row>
    <row r="16" ht="16.5" customHeight="1" s="9">
      <c r="A16" s="43">
        <f>근거_유병환자수!M12</f>
        <v/>
      </c>
      <c r="B16" s="0" t="n">
        <v>2021</v>
      </c>
      <c r="C16" s="43">
        <f>근거_유병환자수!M29</f>
        <v/>
      </c>
      <c r="D16" s="438">
        <f>IFERROR(C16/A16,"")</f>
        <v/>
      </c>
      <c r="E16" s="398">
        <f>근거_의료이용환자수!M9</f>
        <v/>
      </c>
      <c r="F16" s="438">
        <f>IFERROR(E16/C16,"")</f>
        <v/>
      </c>
      <c r="G16" s="398">
        <f>근거_고혈압치료환자수!M$9</f>
        <v/>
      </c>
      <c r="H16" s="438">
        <f>IFERROR(G16/E16,"")</f>
        <v/>
      </c>
      <c r="I16" s="398">
        <f>근거_ARB처방환자수!M12</f>
        <v/>
      </c>
      <c r="J16" s="438">
        <f>IFERROR(I16/G16,"")</f>
        <v/>
      </c>
      <c r="K16" s="438">
        <f>IFERROR(I16/I15-1,"")</f>
        <v/>
      </c>
      <c r="L16" s="439">
        <f>근거_ARB처방량!M12</f>
        <v/>
      </c>
      <c r="M16" s="398">
        <f>근거_ARB처방량!M9</f>
        <v/>
      </c>
      <c r="N16" s="438">
        <f>IFERROR(M16/M15-1,"")</f>
        <v/>
      </c>
      <c r="O16" s="398">
        <f>'근거_ARB+CCB+DU복합제처방량'!E15</f>
        <v/>
      </c>
      <c r="P16" s="438">
        <f>IFERROR(O16/M16,"")</f>
        <v/>
      </c>
      <c r="Q16" s="398">
        <f>$O16*R16</f>
        <v/>
      </c>
      <c r="R16" s="438">
        <f>'근거_SVK HCT처방량'!E9</f>
        <v/>
      </c>
      <c r="S16" s="398">
        <f>$O16*T16</f>
        <v/>
      </c>
      <c r="T16" s="438">
        <f>'근거_SVK HCT처방량'!E10</f>
        <v/>
      </c>
      <c r="U16" s="440">
        <f>'근거_SVK HCT처방량'!E$29</f>
        <v/>
      </c>
      <c r="V16" s="438">
        <f>IFERROR(U16/Q16,"")</f>
        <v/>
      </c>
      <c r="W16" s="441">
        <f>IFERROR(U16/U15-1,"")</f>
        <v/>
      </c>
      <c r="X16" s="440">
        <f>'근거_SVK HCT처방량'!E$30</f>
        <v/>
      </c>
      <c r="Y16" s="438">
        <f>IFERROR(X16/S16,"")</f>
        <v/>
      </c>
      <c r="Z16" s="441">
        <f>IFERROR(X16/X15-1,"")</f>
        <v/>
      </c>
      <c r="AA16" s="440">
        <f>U16+X16</f>
        <v/>
      </c>
      <c r="AB16" s="438">
        <f>IFERROR(AA16/O16,"")</f>
        <v/>
      </c>
      <c r="AC16" s="441">
        <f>IFERROR(AA16/AA15-1,"")</f>
        <v/>
      </c>
    </row>
    <row r="17" ht="16.5" customHeight="1" s="9">
      <c r="A17" s="43">
        <f>근거_유병환자수!N12</f>
        <v/>
      </c>
      <c r="B17" s="0" t="n">
        <v>2022</v>
      </c>
      <c r="C17" s="43">
        <f>근거_유병환자수!N29</f>
        <v/>
      </c>
      <c r="D17" s="438">
        <f>IFERROR(C17/A17,"")</f>
        <v/>
      </c>
      <c r="E17" s="398">
        <f>근거_의료이용환자수!N9</f>
        <v/>
      </c>
      <c r="F17" s="438">
        <f>IFERROR(E17/C17,"")</f>
        <v/>
      </c>
      <c r="G17" s="398">
        <f>근거_고혈압치료환자수!N$9</f>
        <v/>
      </c>
      <c r="H17" s="438">
        <f>IFERROR(G17/E17,"")</f>
        <v/>
      </c>
      <c r="I17" s="398">
        <f>근거_ARB처방환자수!N12</f>
        <v/>
      </c>
      <c r="J17" s="438">
        <f>IFERROR(I17/G17,"")</f>
        <v/>
      </c>
      <c r="K17" s="438">
        <f>IFERROR(I17/I16-1,"")</f>
        <v/>
      </c>
      <c r="L17" s="439">
        <f>근거_ARB처방량!N12</f>
        <v/>
      </c>
      <c r="M17" s="398">
        <f>근거_ARB처방량!N9</f>
        <v/>
      </c>
      <c r="N17" s="438">
        <f>IFERROR(M17/M16-1,"")</f>
        <v/>
      </c>
      <c r="O17" s="398">
        <f>'근거_ARB+CCB+DU복합제처방량'!F15</f>
        <v/>
      </c>
      <c r="P17" s="438">
        <f>IFERROR(O17/M17,"")</f>
        <v/>
      </c>
      <c r="Q17" s="398">
        <f>$O17*R17</f>
        <v/>
      </c>
      <c r="R17" s="438">
        <f>'근거_SVK HCT처방량'!F9</f>
        <v/>
      </c>
      <c r="S17" s="398">
        <f>$O17*T17</f>
        <v/>
      </c>
      <c r="T17" s="438">
        <f>'근거_SVK HCT처방량'!F10</f>
        <v/>
      </c>
      <c r="U17" s="440">
        <f>'근거_SVK HCT처방량'!F$29</f>
        <v/>
      </c>
      <c r="V17" s="438">
        <f>IFERROR(U17/Q17,"")</f>
        <v/>
      </c>
      <c r="W17" s="441">
        <f>IFERROR(U17/U16-1,"")</f>
        <v/>
      </c>
      <c r="X17" s="440">
        <f>'근거_SVK HCT처방량'!F$30</f>
        <v/>
      </c>
      <c r="Y17" s="438">
        <f>IFERROR(X17/S17,"")</f>
        <v/>
      </c>
      <c r="Z17" s="441">
        <f>IFERROR(X17/X16-1,"")</f>
        <v/>
      </c>
      <c r="AA17" s="440">
        <f>U17+X17</f>
        <v/>
      </c>
      <c r="AB17" s="438">
        <f>IFERROR(AA17/O17,"")</f>
        <v/>
      </c>
      <c r="AC17" s="441">
        <f>IFERROR(AA17/AA16-1,"")</f>
        <v/>
      </c>
    </row>
    <row r="18" ht="16.5" customHeight="1" s="9">
      <c r="A18" s="43">
        <f>근거_유병환자수!O12</f>
        <v/>
      </c>
      <c r="B18" s="0" t="n">
        <v>2023</v>
      </c>
      <c r="C18" s="43">
        <f>근거_유병환자수!O29</f>
        <v/>
      </c>
      <c r="D18" s="438">
        <f>IFERROR(C18/A18,"")</f>
        <v/>
      </c>
      <c r="E18" s="398">
        <f>근거_의료이용환자수!O9</f>
        <v/>
      </c>
      <c r="F18" s="438">
        <f>IFERROR(E18/C18,"")</f>
        <v/>
      </c>
      <c r="G18" s="398">
        <f>근거_고혈압치료환자수!O$9</f>
        <v/>
      </c>
      <c r="H18" s="438">
        <f>IFERROR(G18/E18,"")</f>
        <v/>
      </c>
      <c r="I18" s="398">
        <f>근거_ARB처방환자수!O12</f>
        <v/>
      </c>
      <c r="J18" s="438">
        <f>IFERROR(I18/G18,"")</f>
        <v/>
      </c>
      <c r="K18" s="438">
        <f>IFERROR(I18/I17-1,"")</f>
        <v/>
      </c>
      <c r="L18" s="439">
        <f>근거_ARB처방량!O12</f>
        <v/>
      </c>
      <c r="M18" s="398">
        <f>근거_ARB처방량!O9</f>
        <v/>
      </c>
      <c r="N18" s="438">
        <f>IFERROR(M18/M17-1,"")</f>
        <v/>
      </c>
      <c r="O18" s="398">
        <f>'근거_ARB+CCB+DU복합제처방량'!G15</f>
        <v/>
      </c>
      <c r="P18" s="438">
        <f>IFERROR(O18/M18,"")</f>
        <v/>
      </c>
      <c r="Q18" s="398">
        <f>$O18*R18</f>
        <v/>
      </c>
      <c r="R18" s="438">
        <f>'근거_SVK HCT처방량'!G9</f>
        <v/>
      </c>
      <c r="S18" s="398">
        <f>$O18*T18</f>
        <v/>
      </c>
      <c r="T18" s="438">
        <f>'근거_SVK HCT처방량'!G10</f>
        <v/>
      </c>
      <c r="U18" s="440">
        <f>'근거_SVK HCT처방량'!G$29</f>
        <v/>
      </c>
      <c r="V18" s="438">
        <f>IFERROR(U18/Q18,"")</f>
        <v/>
      </c>
      <c r="W18" s="441">
        <f>IFERROR(U18/U17-1,"")</f>
        <v/>
      </c>
      <c r="X18" s="440">
        <f>'근거_SVK HCT처방량'!G$30</f>
        <v/>
      </c>
      <c r="Y18" s="438">
        <f>IFERROR(X18/S18,"")</f>
        <v/>
      </c>
      <c r="Z18" s="441">
        <f>IFERROR(X18/X17-1,"")</f>
        <v/>
      </c>
      <c r="AA18" s="440">
        <f>U18+X18</f>
        <v/>
      </c>
      <c r="AB18" s="438">
        <f>IFERROR(AA18/O18,"")</f>
        <v/>
      </c>
      <c r="AC18" s="441">
        <f>IFERROR(AA18/AA17-1,"")</f>
        <v/>
      </c>
    </row>
    <row r="19" ht="16.5" customHeight="1" s="9">
      <c r="A19" s="43">
        <f>근거_유병환자수!P12</f>
        <v/>
      </c>
      <c r="B19" s="0" t="n">
        <v>2024</v>
      </c>
      <c r="C19" s="43">
        <f>근거_유병환자수!P29</f>
        <v/>
      </c>
      <c r="D19" s="438">
        <f>IFERROR(C19/A19,"")</f>
        <v/>
      </c>
      <c r="E19" s="398">
        <f>근거_의료이용환자수!P9</f>
        <v/>
      </c>
      <c r="F19" s="438">
        <f>IFERROR(E19/C19,"")</f>
        <v/>
      </c>
      <c r="G19" s="398">
        <f>근거_고혈압치료환자수!P$9</f>
        <v/>
      </c>
      <c r="H19" s="438">
        <f>IFERROR(G19/E19,"")</f>
        <v/>
      </c>
      <c r="I19" s="398">
        <f>근거_ARB처방환자수!P12</f>
        <v/>
      </c>
      <c r="J19" s="438">
        <f>IFERROR(I19/G19,"")</f>
        <v/>
      </c>
      <c r="K19" s="438">
        <f>IFERROR(I19/I18-1,"")</f>
        <v/>
      </c>
      <c r="L19" s="439">
        <f>근거_ARB처방량!P12</f>
        <v/>
      </c>
      <c r="M19" s="398">
        <f>근거_ARB처방량!P9</f>
        <v/>
      </c>
      <c r="N19" s="438">
        <f>IFERROR(M19/M18-1,"")</f>
        <v/>
      </c>
      <c r="O19" s="442">
        <f>'근거_ARB+CCB+DU복합제처방량'!H15</f>
        <v/>
      </c>
      <c r="P19" s="438">
        <f>IFERROR(O19/M19,"")</f>
        <v/>
      </c>
      <c r="Q19" s="398">
        <f>$O19*R19</f>
        <v/>
      </c>
      <c r="R19" s="438">
        <f>'근거_SVK HCT처방량'!H9</f>
        <v/>
      </c>
      <c r="S19" s="398">
        <f>$O19*T19</f>
        <v/>
      </c>
      <c r="T19" s="438">
        <f>'근거_SVK HCT처방량'!H10</f>
        <v/>
      </c>
      <c r="U19" s="440">
        <f>'근거_SVK HCT처방량'!H$29</f>
        <v/>
      </c>
      <c r="V19" s="438">
        <f>IFERROR(U19/Q19,"")</f>
        <v/>
      </c>
      <c r="W19" s="441">
        <f>IFERROR(U19/U18-1,"")</f>
        <v/>
      </c>
      <c r="X19" s="440">
        <f>'근거_SVK HCT처방량'!H$30</f>
        <v/>
      </c>
      <c r="Y19" s="438">
        <f>IFERROR(X19/S19,"")</f>
        <v/>
      </c>
      <c r="Z19" s="441">
        <f>IFERROR(X19/X18-1,"")</f>
        <v/>
      </c>
      <c r="AA19" s="440">
        <f>U19+X19</f>
        <v/>
      </c>
      <c r="AB19" s="438">
        <f>IFERROR(AA19/O19,"")</f>
        <v/>
      </c>
      <c r="AC19" s="441">
        <f>IFERROR(AA19/AA18-1,"")</f>
        <v/>
      </c>
    </row>
    <row r="20" ht="16.5" customHeight="1" s="9">
      <c r="A20" s="43">
        <f>근거_유병환자수!Q12</f>
        <v/>
      </c>
      <c r="B20" s="0" t="n">
        <v>2025</v>
      </c>
      <c r="C20" s="43">
        <f>근거_유병환자수!Q29</f>
        <v/>
      </c>
      <c r="D20" s="438">
        <f>IFERROR(C20/A20,"")</f>
        <v/>
      </c>
      <c r="E20" s="398">
        <f>근거_의료이용환자수!Q9</f>
        <v/>
      </c>
      <c r="F20" s="438">
        <f>IFERROR(E20/C20,"")</f>
        <v/>
      </c>
      <c r="G20" s="398">
        <f>근거_고혈압치료환자수!Q$9</f>
        <v/>
      </c>
      <c r="H20" s="438">
        <f>IFERROR(G20/E20,"")</f>
        <v/>
      </c>
      <c r="I20" s="398">
        <f>근거_ARB처방환자수!Q12</f>
        <v/>
      </c>
      <c r="J20" s="438">
        <f>IFERROR(I20/G20,"")</f>
        <v/>
      </c>
      <c r="K20" s="438">
        <f>IFERROR(I20/I19-1,"")</f>
        <v/>
      </c>
      <c r="L20" s="439">
        <f>근거_ARB처방량!Q12</f>
        <v/>
      </c>
      <c r="M20" s="398">
        <f>근거_ARB처방량!Q9</f>
        <v/>
      </c>
      <c r="N20" s="438">
        <f>IFERROR(M20/M19-1,"")</f>
        <v/>
      </c>
      <c r="O20" s="442">
        <f>'근거_ARB+CCB+DU복합제처방량'!I15</f>
        <v/>
      </c>
      <c r="P20" s="438">
        <f>IFERROR(O20/M20,"")</f>
        <v/>
      </c>
      <c r="Q20" s="398">
        <f>$O20*R20</f>
        <v/>
      </c>
      <c r="R20" s="438">
        <f>'근거_SVK HCT처방량'!I9</f>
        <v/>
      </c>
      <c r="S20" s="398">
        <f>$O20*T20</f>
        <v/>
      </c>
      <c r="T20" s="438">
        <f>'근거_SVK HCT처방량'!I10</f>
        <v/>
      </c>
      <c r="U20" s="440">
        <f>'근거_SVK HCT처방량'!I$29</f>
        <v/>
      </c>
      <c r="V20" s="438">
        <f>IFERROR(U20/Q20,"")</f>
        <v/>
      </c>
      <c r="W20" s="441">
        <f>IFERROR(U20/U19-1,"")</f>
        <v/>
      </c>
      <c r="X20" s="440">
        <f>'근거_SVK HCT처방량'!I$30</f>
        <v/>
      </c>
      <c r="Y20" s="438">
        <f>IFERROR(X20/S20,"")</f>
        <v/>
      </c>
      <c r="Z20" s="441">
        <f>IFERROR(X20/X19-1,"")</f>
        <v/>
      </c>
      <c r="AA20" s="440">
        <f>U20+X20</f>
        <v/>
      </c>
      <c r="AB20" s="438">
        <f>IFERROR(AA20/O20,"")</f>
        <v/>
      </c>
      <c r="AC20" s="441">
        <f>IFERROR(AA20/AA19-1,"")</f>
        <v/>
      </c>
    </row>
    <row r="21" ht="16.5" customHeight="1" s="9">
      <c r="A21" s="43">
        <f>근거_유병환자수!R12</f>
        <v/>
      </c>
      <c r="B21" s="0" t="n">
        <v>2026</v>
      </c>
      <c r="C21" s="43">
        <f>근거_유병환자수!R29</f>
        <v/>
      </c>
      <c r="D21" s="438">
        <f>IFERROR(C21/A21,"")</f>
        <v/>
      </c>
      <c r="E21" s="398">
        <f>근거_의료이용환자수!R9</f>
        <v/>
      </c>
      <c r="F21" s="438">
        <f>IFERROR(E21/C21,"")</f>
        <v/>
      </c>
      <c r="G21" s="398">
        <f>근거_고혈압치료환자수!R$9</f>
        <v/>
      </c>
      <c r="H21" s="438">
        <f>IFERROR(G21/E21,"")</f>
        <v/>
      </c>
      <c r="I21" s="398">
        <f>근거_ARB처방환자수!R12</f>
        <v/>
      </c>
      <c r="J21" s="438">
        <f>IFERROR(I21/G21,"")</f>
        <v/>
      </c>
      <c r="K21" s="438">
        <f>IFERROR(I21/I20-1,"")</f>
        <v/>
      </c>
      <c r="L21" s="439">
        <f>근거_ARB처방량!R12</f>
        <v/>
      </c>
      <c r="M21" s="398">
        <f>근거_ARB처방량!R9</f>
        <v/>
      </c>
      <c r="N21" s="438">
        <f>IFERROR(M21/M20-1,"")</f>
        <v/>
      </c>
      <c r="O21" s="442">
        <f>'근거_ARB+CCB+DU복합제처방량'!J15</f>
        <v/>
      </c>
      <c r="P21" s="438">
        <f>IFERROR(O21/M21,"")</f>
        <v/>
      </c>
      <c r="Q21" s="398">
        <f>$O21*R21</f>
        <v/>
      </c>
      <c r="R21" s="438">
        <f>'근거_SVK HCT처방량'!J9</f>
        <v/>
      </c>
      <c r="S21" s="398">
        <f>$O21*T21</f>
        <v/>
      </c>
      <c r="T21" s="438">
        <f>'근거_SVK HCT처방량'!J10</f>
        <v/>
      </c>
      <c r="U21" s="440">
        <f>'근거_SVK HCT처방량'!J$29</f>
        <v/>
      </c>
      <c r="V21" s="438">
        <f>IFERROR(U21/Q21,"")</f>
        <v/>
      </c>
      <c r="W21" s="441">
        <f>IFERROR(U21/U20-1,"")</f>
        <v/>
      </c>
      <c r="X21" s="440">
        <f>'근거_SVK HCT처방량'!J$30</f>
        <v/>
      </c>
      <c r="Y21" s="438">
        <f>IFERROR(X21/S21,"")</f>
        <v/>
      </c>
      <c r="Z21" s="441">
        <f>IFERROR(X21/X20-1,"")</f>
        <v/>
      </c>
      <c r="AA21" s="440">
        <f>U21+X21</f>
        <v/>
      </c>
      <c r="AB21" s="438">
        <f>IFERROR(AA21/O21,"")</f>
        <v/>
      </c>
      <c r="AC21" s="441">
        <f>IFERROR(AA21/AA20-1,"")</f>
        <v/>
      </c>
    </row>
    <row r="22" ht="16.5" customHeight="1" s="9">
      <c r="A22" s="43">
        <f>근거_유병환자수!S12</f>
        <v/>
      </c>
      <c r="B22" s="0" t="n">
        <v>2027</v>
      </c>
      <c r="C22" s="43">
        <f>근거_유병환자수!S29</f>
        <v/>
      </c>
      <c r="D22" s="438">
        <f>IFERROR(C22/A22,"")</f>
        <v/>
      </c>
      <c r="E22" s="398">
        <f>근거_의료이용환자수!S9</f>
        <v/>
      </c>
      <c r="F22" s="438">
        <f>IFERROR(E22/C22,"")</f>
        <v/>
      </c>
      <c r="G22" s="398">
        <f>근거_고혈압치료환자수!S$9</f>
        <v/>
      </c>
      <c r="H22" s="438">
        <f>IFERROR(G22/E22,"")</f>
        <v/>
      </c>
      <c r="I22" s="398">
        <f>근거_ARB처방환자수!S12</f>
        <v/>
      </c>
      <c r="J22" s="438">
        <f>IFERROR(I22/G22,"")</f>
        <v/>
      </c>
      <c r="K22" s="438">
        <f>IFERROR(I22/I21-1,"")</f>
        <v/>
      </c>
      <c r="L22" s="439">
        <f>근거_ARB처방량!S12</f>
        <v/>
      </c>
      <c r="M22" s="398">
        <f>근거_ARB처방량!S9</f>
        <v/>
      </c>
      <c r="N22" s="438">
        <f>IFERROR(M22/M21-1,"")</f>
        <v/>
      </c>
      <c r="O22" s="442">
        <f>'근거_ARB+CCB+DU복합제처방량'!K15</f>
        <v/>
      </c>
      <c r="P22" s="438">
        <f>IFERROR(O22/M22,"")</f>
        <v/>
      </c>
      <c r="Q22" s="398">
        <f>$O22*R22</f>
        <v/>
      </c>
      <c r="R22" s="438">
        <f>'근거_SVK HCT처방량'!K9</f>
        <v/>
      </c>
      <c r="S22" s="398">
        <f>$O22*T22</f>
        <v/>
      </c>
      <c r="T22" s="438">
        <f>'근거_SVK HCT처방량'!K10</f>
        <v/>
      </c>
      <c r="U22" s="440">
        <f>'근거_SVK HCT처방량'!K$29</f>
        <v/>
      </c>
      <c r="V22" s="438">
        <f>IFERROR(U22/Q22,"")</f>
        <v/>
      </c>
      <c r="W22" s="441">
        <f>IFERROR(U22/U21-1,"")</f>
        <v/>
      </c>
      <c r="X22" s="440">
        <f>'근거_SVK HCT처방량'!K$30</f>
        <v/>
      </c>
      <c r="Y22" s="438">
        <f>IFERROR(X22/S22,"")</f>
        <v/>
      </c>
      <c r="Z22" s="441">
        <f>IFERROR(X22/X21-1,"")</f>
        <v/>
      </c>
      <c r="AA22" s="440">
        <f>U22+X22</f>
        <v/>
      </c>
      <c r="AB22" s="438">
        <f>IFERROR(AA22/O22,"")</f>
        <v/>
      </c>
      <c r="AC22" s="441">
        <f>IFERROR(AA22/AA21-1,"")</f>
        <v/>
      </c>
    </row>
    <row r="23" ht="16.5" customHeight="1" s="9">
      <c r="A23" s="43">
        <f>근거_유병환자수!T12</f>
        <v/>
      </c>
      <c r="B23" s="0" t="n">
        <v>2028</v>
      </c>
      <c r="C23" s="43">
        <f>근거_유병환자수!T29</f>
        <v/>
      </c>
      <c r="D23" s="438">
        <f>IFERROR(C23/A23,"")</f>
        <v/>
      </c>
      <c r="E23" s="398">
        <f>근거_의료이용환자수!T9</f>
        <v/>
      </c>
      <c r="F23" s="438">
        <f>IFERROR(E23/C23,"")</f>
        <v/>
      </c>
      <c r="G23" s="398">
        <f>근거_고혈압치료환자수!T$9</f>
        <v/>
      </c>
      <c r="H23" s="438">
        <f>IFERROR(G23/E23,"")</f>
        <v/>
      </c>
      <c r="I23" s="398">
        <f>근거_ARB처방환자수!T12</f>
        <v/>
      </c>
      <c r="J23" s="438">
        <f>IFERROR(I23/G23,"")</f>
        <v/>
      </c>
      <c r="K23" s="438">
        <f>IFERROR(I23/I22-1,"")</f>
        <v/>
      </c>
      <c r="L23" s="439">
        <f>근거_ARB처방량!T12</f>
        <v/>
      </c>
      <c r="M23" s="398">
        <f>근거_ARB처방량!T9</f>
        <v/>
      </c>
      <c r="N23" s="438">
        <f>IFERROR(M23/M22-1,"")</f>
        <v/>
      </c>
      <c r="O23" s="442">
        <f>'근거_ARB+CCB+DU복합제처방량'!L15</f>
        <v/>
      </c>
      <c r="P23" s="438">
        <f>IFERROR(O23/M23,"")</f>
        <v/>
      </c>
      <c r="Q23" s="398">
        <f>$O23*R23</f>
        <v/>
      </c>
      <c r="R23" s="438">
        <f>'근거_SVK HCT처방량'!L9</f>
        <v/>
      </c>
      <c r="S23" s="398">
        <f>$O23*T23</f>
        <v/>
      </c>
      <c r="T23" s="438">
        <f>'근거_SVK HCT처방량'!L10</f>
        <v/>
      </c>
      <c r="U23" s="440">
        <f>'근거_SVK HCT처방량'!L$29</f>
        <v/>
      </c>
      <c r="V23" s="438">
        <f>IFERROR(U23/Q23,"")</f>
        <v/>
      </c>
      <c r="W23" s="441">
        <f>IFERROR(U23/U22-1,"")</f>
        <v/>
      </c>
      <c r="X23" s="440">
        <f>'근거_SVK HCT처방량'!L$30</f>
        <v/>
      </c>
      <c r="Y23" s="438">
        <f>IFERROR(X23/S23,"")</f>
        <v/>
      </c>
      <c r="Z23" s="441">
        <f>IFERROR(X23/X22-1,"")</f>
        <v/>
      </c>
      <c r="AA23" s="440">
        <f>U23+X23</f>
        <v/>
      </c>
      <c r="AB23" s="438">
        <f>IFERROR(AA23/O23,"")</f>
        <v/>
      </c>
      <c r="AC23" s="441">
        <f>IFERROR(AA23/AA22-1,"")</f>
        <v/>
      </c>
    </row>
    <row r="24" ht="16.5" customHeight="1" s="9">
      <c r="A24" s="43">
        <f>근거_유병환자수!U12</f>
        <v/>
      </c>
      <c r="B24" s="0" t="n">
        <v>2029</v>
      </c>
      <c r="C24" s="43">
        <f>근거_유병환자수!U29</f>
        <v/>
      </c>
      <c r="D24" s="438">
        <f>IFERROR(C24/A24,"")</f>
        <v/>
      </c>
      <c r="E24" s="398">
        <f>근거_의료이용환자수!U9</f>
        <v/>
      </c>
      <c r="F24" s="438">
        <f>IFERROR(E24/C24,"")</f>
        <v/>
      </c>
      <c r="G24" s="398">
        <f>근거_고혈압치료환자수!U$9</f>
        <v/>
      </c>
      <c r="H24" s="438">
        <f>IFERROR(G24/E24,"")</f>
        <v/>
      </c>
      <c r="I24" s="398">
        <f>근거_ARB처방환자수!U12</f>
        <v/>
      </c>
      <c r="J24" s="438">
        <f>IFERROR(I24/G24,"")</f>
        <v/>
      </c>
      <c r="K24" s="438">
        <f>IFERROR(I24/I23-1,"")</f>
        <v/>
      </c>
      <c r="L24" s="439">
        <f>근거_ARB처방량!U12</f>
        <v/>
      </c>
      <c r="M24" s="398">
        <f>근거_ARB처방량!U9</f>
        <v/>
      </c>
      <c r="N24" s="438">
        <f>IFERROR(M24/M23-1,"")</f>
        <v/>
      </c>
      <c r="O24" s="442">
        <f>'근거_ARB+CCB+DU복합제처방량'!M15</f>
        <v/>
      </c>
      <c r="P24" s="438">
        <f>IFERROR(O24/M24,"")</f>
        <v/>
      </c>
      <c r="Q24" s="398">
        <f>$O24*R24</f>
        <v/>
      </c>
      <c r="R24" s="438">
        <f>'근거_SVK HCT처방량'!M9</f>
        <v/>
      </c>
      <c r="S24" s="398">
        <f>$O24*T24</f>
        <v/>
      </c>
      <c r="T24" s="438">
        <f>'근거_SVK HCT처방량'!M10</f>
        <v/>
      </c>
      <c r="U24" s="440">
        <f>'근거_SVK HCT처방량'!M$29</f>
        <v/>
      </c>
      <c r="V24" s="438">
        <f>IFERROR(U24/Q24,"")</f>
        <v/>
      </c>
      <c r="W24" s="441">
        <f>IFERROR(U24/U23-1,"")</f>
        <v/>
      </c>
      <c r="X24" s="440">
        <f>'근거_SVK HCT처방량'!M$30</f>
        <v/>
      </c>
      <c r="Y24" s="438">
        <f>IFERROR(X24/S24,"")</f>
        <v/>
      </c>
      <c r="Z24" s="441">
        <f>IFERROR(X24/X23-1,"")</f>
        <v/>
      </c>
      <c r="AA24" s="440">
        <f>U24+X24</f>
        <v/>
      </c>
      <c r="AB24" s="438">
        <f>IFERROR(AA24/O24,"")</f>
        <v/>
      </c>
      <c r="AC24" s="441">
        <f>IFERROR(AA24/AA23-1,"")</f>
        <v/>
      </c>
    </row>
    <row r="25" ht="16.5" customHeight="1" s="9">
      <c r="A25" s="43">
        <f>근거_유병환자수!V12</f>
        <v/>
      </c>
      <c r="B25" s="0" t="n">
        <v>2030</v>
      </c>
      <c r="C25" s="43">
        <f>근거_유병환자수!V29</f>
        <v/>
      </c>
      <c r="D25" s="438">
        <f>IFERROR(C25/A25,"")</f>
        <v/>
      </c>
      <c r="E25" s="398">
        <f>근거_의료이용환자수!V9</f>
        <v/>
      </c>
      <c r="F25" s="438">
        <f>IFERROR(E25/C25,"")</f>
        <v/>
      </c>
      <c r="G25" s="398">
        <f>근거_고혈압치료환자수!V$9</f>
        <v/>
      </c>
      <c r="H25" s="438">
        <f>IFERROR(G25/E25,"")</f>
        <v/>
      </c>
      <c r="I25" s="398">
        <f>근거_ARB처방환자수!V12</f>
        <v/>
      </c>
      <c r="J25" s="438">
        <f>IFERROR(I25/G25,"")</f>
        <v/>
      </c>
      <c r="K25" s="438">
        <f>IFERROR(I25/I24-1,"")</f>
        <v/>
      </c>
      <c r="L25" s="439">
        <f>근거_ARB처방량!V12</f>
        <v/>
      </c>
      <c r="M25" s="398">
        <f>근거_ARB처방량!V9</f>
        <v/>
      </c>
      <c r="N25" s="438">
        <f>IFERROR(M25/M24-1,"")</f>
        <v/>
      </c>
      <c r="O25" s="442">
        <f>'근거_ARB+CCB+DU복합제처방량'!N15</f>
        <v/>
      </c>
      <c r="P25" s="438">
        <f>IFERROR(O25/M25,"")</f>
        <v/>
      </c>
      <c r="Q25" s="398">
        <f>$O25*R25</f>
        <v/>
      </c>
      <c r="R25" s="438">
        <f>'근거_SVK HCT처방량'!N9</f>
        <v/>
      </c>
      <c r="S25" s="398">
        <f>$O25*T25</f>
        <v/>
      </c>
      <c r="T25" s="438">
        <f>'근거_SVK HCT처방량'!N10</f>
        <v/>
      </c>
      <c r="U25" s="440">
        <f>'근거_SVK HCT처방량'!N$29</f>
        <v/>
      </c>
      <c r="V25" s="438">
        <f>IFERROR(U25/Q25,"")</f>
        <v/>
      </c>
      <c r="W25" s="441">
        <f>IFERROR(U25/U24-1,"")</f>
        <v/>
      </c>
      <c r="X25" s="440">
        <f>'근거_SVK HCT처방량'!N$30</f>
        <v/>
      </c>
      <c r="Y25" s="438">
        <f>IFERROR(X25/S25,"")</f>
        <v/>
      </c>
      <c r="Z25" s="441">
        <f>IFERROR(X25/X24-1,"")</f>
        <v/>
      </c>
      <c r="AA25" s="440">
        <f>U25+X25</f>
        <v/>
      </c>
      <c r="AB25" s="438">
        <f>IFERROR(AA25/O25,"")</f>
        <v/>
      </c>
      <c r="AC25" s="441">
        <f>IFERROR(AA25/AA24-1,"")</f>
        <v/>
      </c>
    </row>
    <row r="27" ht="17.25" customHeight="1" s="9">
      <c r="A27" s="113" t="n"/>
      <c r="B27" s="113" t="inlineStr">
        <is>
          <t>Part 2) DSKR SVK HCT시장매출 예측  [FY 기준 · 회계연도 4~3월]</t>
        </is>
      </c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4" t="inlineStr">
        <is>
          <t>확정FY(ACT) ▶</t>
        </is>
      </c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  <c r="AB27" s="113" t="n"/>
      <c r="AC27" s="113" t="n"/>
    </row>
    <row r="28" ht="16.5" customHeight="1" s="9">
      <c r="A28" s="105" t="n"/>
      <c r="B28" s="106" t="inlineStr">
        <is>
          <t>연도</t>
        </is>
      </c>
      <c r="C28" s="105" t="inlineStr">
        <is>
          <t>SVK HCT처방량</t>
        </is>
      </c>
      <c r="D28" s="105" t="n"/>
      <c r="E28" s="105" t="inlineStr">
        <is>
          <t>DSKR SVK HCT시장매출</t>
        </is>
      </c>
      <c r="F28" s="105" t="n"/>
      <c r="G28" s="105" t="inlineStr">
        <is>
          <t>UBIST vs.시장매출</t>
        </is>
      </c>
      <c r="H28" s="105" t="inlineStr">
        <is>
          <t>DSKR SVK HCT시장매출금액 (FY2026 목표단가 반영)</t>
        </is>
      </c>
      <c r="I28" s="105" t="n"/>
      <c r="J28" s="105" t="n"/>
      <c r="K28" s="115" t="n">
        <v>2025</v>
      </c>
      <c r="L28" s="105" t="n"/>
      <c r="M28" s="105" t="n"/>
      <c r="N28" s="515" t="inlineStr">
        <is>
          <t>탑다운 검증 (참고, 억원)</t>
        </is>
      </c>
      <c r="O28" s="105" t="n"/>
      <c r="P28" s="105" t="n"/>
      <c r="Q28" s="105" t="n"/>
      <c r="R28" s="105" t="n"/>
      <c r="S28" s="105" t="n"/>
      <c r="T28" s="105" t="n"/>
      <c r="U28" s="115" t="n"/>
      <c r="V28" s="105" t="n"/>
      <c r="W28" s="105" t="n"/>
      <c r="X28" s="105" t="n"/>
      <c r="Y28" s="105" t="n"/>
      <c r="Z28" s="105" t="n"/>
      <c r="AA28" s="105" t="n"/>
      <c r="AB28" s="105" t="n"/>
      <c r="AC28" s="105" t="n"/>
    </row>
    <row r="29" ht="16.5" customHeight="1" s="9">
      <c r="A29" s="105" t="n"/>
      <c r="B29" s="106" t="inlineStr">
        <is>
          <t>회계연도기준</t>
        </is>
      </c>
      <c r="C29" s="106" t="inlineStr">
        <is>
          <t>수량(T)</t>
        </is>
      </c>
      <c r="D29" s="105" t="inlineStr">
        <is>
          <t>YoY</t>
        </is>
      </c>
      <c r="E29" s="106" t="inlineStr">
        <is>
          <t>수량(T)</t>
        </is>
      </c>
      <c r="F29" s="105" t="inlineStr">
        <is>
          <t>YoY</t>
        </is>
      </c>
      <c r="G29" s="106" t="inlineStr">
        <is>
          <t>처방량÷시장매출</t>
        </is>
      </c>
      <c r="H29" s="106" t="inlineStr">
        <is>
          <t>백만원</t>
        </is>
      </c>
      <c r="I29" s="105" t="n"/>
      <c r="J29" s="105" t="n"/>
      <c r="K29" s="106" t="inlineStr">
        <is>
          <t>◀ 매년 실적확정 시 이 값을 +1 (예: FY2026 확정되면 2026). 표지 태그·EST/ACT 플래그가 자동 갱신.</t>
        </is>
      </c>
      <c r="L29" s="106" t="inlineStr">
        <is>
          <t>상태</t>
        </is>
      </c>
      <c r="M29" s="105" t="n"/>
      <c r="N29" s="515" t="inlineStr">
        <is>
          <t>억원(탑다운)</t>
        </is>
      </c>
      <c r="O29" s="516" t="inlineStr">
        <is>
          <t>◀ 원본_SVK_연간예측(고정비율 k) 탑다운 트랙 — FY2026만 독립 대조</t>
        </is>
      </c>
      <c r="P29" s="105" t="n"/>
      <c r="Q29" s="105" t="n"/>
      <c r="R29" s="105" t="n"/>
      <c r="S29" s="105" t="n"/>
      <c r="T29" s="105" t="n"/>
      <c r="U29" s="105" t="n"/>
      <c r="V29" s="105" t="n"/>
      <c r="W29" s="105" t="n"/>
      <c r="X29" s="105" t="n"/>
      <c r="Y29" s="105" t="n"/>
      <c r="Z29" s="105" t="n"/>
      <c r="AA29" s="105" t="n"/>
      <c r="AB29" s="105" t="n"/>
      <c r="AC29" s="105" t="n"/>
    </row>
    <row r="30" ht="16.5" customHeight="1" s="9">
      <c r="B30" s="0" t="inlineStr">
        <is>
          <t>FY2018</t>
        </is>
      </c>
      <c r="C30" s="398">
        <f>'근거_SVK HCT처방량'!B31</f>
        <v/>
      </c>
      <c r="D30" s="109" t="n"/>
      <c r="E30" s="398">
        <f>근거_매출!B10</f>
        <v/>
      </c>
      <c r="F30" s="109" t="n"/>
      <c r="G30" s="443">
        <f>C30/E30</f>
        <v/>
      </c>
      <c r="H30" s="398">
        <f>근거_매출!B28</f>
        <v/>
      </c>
      <c r="I30" s="444">
        <f>H30/E30</f>
        <v/>
      </c>
      <c r="L30" s="118">
        <f>IF(VALUE(MID(B30,3,4))&lt;=$K$28,"ACT","EST")</f>
        <v/>
      </c>
      <c r="V30" s="118" t="n"/>
    </row>
    <row r="31" ht="16.5" customHeight="1" s="9">
      <c r="B31" s="0" t="inlineStr">
        <is>
          <t>FY2019</t>
        </is>
      </c>
      <c r="C31" s="398">
        <f>'근거_SVK HCT처방량'!C31</f>
        <v/>
      </c>
      <c r="D31" s="441">
        <f>C31/C30-1</f>
        <v/>
      </c>
      <c r="E31" s="398">
        <f>근거_매출!C10</f>
        <v/>
      </c>
      <c r="F31" s="441">
        <f>E31/E30-1</f>
        <v/>
      </c>
      <c r="G31" s="443">
        <f>C31/E31</f>
        <v/>
      </c>
      <c r="H31" s="398">
        <f>근거_매출!C28</f>
        <v/>
      </c>
      <c r="I31" s="444">
        <f>H31/E31</f>
        <v/>
      </c>
      <c r="L31" s="118">
        <f>IF(VALUE(MID(B31,3,4))&lt;=$K$28,"ACT","EST")</f>
        <v/>
      </c>
      <c r="V31" s="118" t="n"/>
    </row>
    <row r="32" ht="16.5" customHeight="1" s="9">
      <c r="B32" s="0" t="inlineStr">
        <is>
          <t>FY2020</t>
        </is>
      </c>
      <c r="C32" s="398">
        <f>'근거_SVK HCT처방량'!D31</f>
        <v/>
      </c>
      <c r="D32" s="441">
        <f>C32/C31-1</f>
        <v/>
      </c>
      <c r="E32" s="398">
        <f>근거_매출!D10</f>
        <v/>
      </c>
      <c r="F32" s="441">
        <f>E32/E31-1</f>
        <v/>
      </c>
      <c r="G32" s="443">
        <f>C32/E32</f>
        <v/>
      </c>
      <c r="H32" s="398">
        <f>근거_매출!D28</f>
        <v/>
      </c>
      <c r="I32" s="444">
        <f>H32/E32</f>
        <v/>
      </c>
      <c r="L32" s="118">
        <f>IF(VALUE(MID(B32,3,4))&lt;=$K$28,"ACT","EST")</f>
        <v/>
      </c>
      <c r="V32" s="118" t="n"/>
    </row>
    <row r="33" ht="16.5" customHeight="1" s="9">
      <c r="B33" s="0" t="inlineStr">
        <is>
          <t>FY2021</t>
        </is>
      </c>
      <c r="C33" s="398">
        <f>'근거_SVK HCT처방량'!E31</f>
        <v/>
      </c>
      <c r="D33" s="441">
        <f>C33/C32-1</f>
        <v/>
      </c>
      <c r="E33" s="398">
        <f>근거_매출!E10</f>
        <v/>
      </c>
      <c r="F33" s="441">
        <f>E33/E32-1</f>
        <v/>
      </c>
      <c r="G33" s="443">
        <f>C33/E33</f>
        <v/>
      </c>
      <c r="H33" s="398">
        <f>근거_매출!E28</f>
        <v/>
      </c>
      <c r="I33" s="444">
        <f>H33/E33</f>
        <v/>
      </c>
      <c r="L33" s="118">
        <f>IF(VALUE(MID(B33,3,4))&lt;=$K$28,"ACT","EST")</f>
        <v/>
      </c>
      <c r="V33" s="118" t="n"/>
    </row>
    <row r="34" ht="16.5" customHeight="1" s="9">
      <c r="B34" s="0" t="inlineStr">
        <is>
          <t>FY2022</t>
        </is>
      </c>
      <c r="C34" s="398">
        <f>'근거_SVK HCT처방량'!F31</f>
        <v/>
      </c>
      <c r="D34" s="441">
        <f>C34/C33-1</f>
        <v/>
      </c>
      <c r="E34" s="398">
        <f>근거_매출!F10</f>
        <v/>
      </c>
      <c r="F34" s="441">
        <f>E34/E33-1</f>
        <v/>
      </c>
      <c r="G34" s="443">
        <f>C34/E34</f>
        <v/>
      </c>
      <c r="H34" s="398">
        <f>근거_매출!F28</f>
        <v/>
      </c>
      <c r="I34" s="444">
        <f>H34/E34</f>
        <v/>
      </c>
      <c r="L34" s="118">
        <f>IF(VALUE(MID(B34,3,4))&lt;=$K$28,"ACT","EST")</f>
        <v/>
      </c>
      <c r="V34" s="118" t="n"/>
    </row>
    <row r="35" ht="16.5" customHeight="1" s="9">
      <c r="B35" s="0" t="inlineStr">
        <is>
          <t>FY2023</t>
        </is>
      </c>
      <c r="C35" s="398">
        <f>'근거_SVK HCT처방량'!G31</f>
        <v/>
      </c>
      <c r="D35" s="441">
        <f>C35/C34-1</f>
        <v/>
      </c>
      <c r="E35" s="398">
        <f>근거_매출!G10</f>
        <v/>
      </c>
      <c r="F35" s="441">
        <f>E35/E34-1</f>
        <v/>
      </c>
      <c r="G35" s="443">
        <f>C35/E35</f>
        <v/>
      </c>
      <c r="H35" s="398">
        <f>근거_매출!G28</f>
        <v/>
      </c>
      <c r="I35" s="444">
        <f>H35/E35</f>
        <v/>
      </c>
      <c r="L35" s="118">
        <f>IF(VALUE(MID(B35,3,4))&lt;=$K$28,"ACT","EST")</f>
        <v/>
      </c>
      <c r="V35" s="118" t="n"/>
    </row>
    <row r="36" ht="16.5" customHeight="1" s="9">
      <c r="B36" s="0" t="inlineStr">
        <is>
          <t>FY2024</t>
        </is>
      </c>
      <c r="C36" s="398">
        <f>'근거_SVK HCT처방량'!H31</f>
        <v/>
      </c>
      <c r="D36" s="441">
        <f>C36/C35-1</f>
        <v/>
      </c>
      <c r="E36" s="398">
        <f>근거_매출!H10</f>
        <v/>
      </c>
      <c r="F36" s="441">
        <f>E36/E35-1</f>
        <v/>
      </c>
      <c r="G36" s="443">
        <f>C36/E36</f>
        <v/>
      </c>
      <c r="H36" s="398">
        <f>근거_매출!H28</f>
        <v/>
      </c>
      <c r="I36" s="444">
        <f>H36/E36</f>
        <v/>
      </c>
      <c r="L36" s="118">
        <f>IF(VALUE(MID(B36,3,4))&lt;=$K$28,"ACT","EST")</f>
        <v/>
      </c>
      <c r="V36" s="118" t="n"/>
    </row>
    <row r="37" ht="16.5" customHeight="1" s="9">
      <c r="B37" s="0" t="inlineStr">
        <is>
          <t>FY2025</t>
        </is>
      </c>
      <c r="C37" s="398">
        <f>'근거_SVK HCT처방량'!I31</f>
        <v/>
      </c>
      <c r="D37" s="441">
        <f>C37/C36-1</f>
        <v/>
      </c>
      <c r="E37" s="398">
        <f>근거_매출!I10</f>
        <v/>
      </c>
      <c r="F37" s="441">
        <f>E37/E36-1</f>
        <v/>
      </c>
      <c r="G37" s="443">
        <f>C37/E37</f>
        <v/>
      </c>
      <c r="H37" s="398">
        <f>근거_매출!I28</f>
        <v/>
      </c>
      <c r="I37" s="444">
        <f>H37/E37</f>
        <v/>
      </c>
      <c r="L37" s="118">
        <f>IF(VALUE(MID(B37,3,4))&lt;=$K$28,"ACT","EST")</f>
        <v/>
      </c>
      <c r="V37" s="118" t="n"/>
    </row>
    <row r="38" ht="16.5" customHeight="1" s="9">
      <c r="B38" s="0" t="inlineStr">
        <is>
          <t>FY2026</t>
        </is>
      </c>
      <c r="C38" s="442">
        <f>'근거_SVK HCT처방량'!J31</f>
        <v/>
      </c>
      <c r="D38" s="441">
        <f>C38/C37-1</f>
        <v/>
      </c>
      <c r="E38" s="442">
        <f>C38/$G$38</f>
        <v/>
      </c>
      <c r="F38" s="441">
        <f>E38/E37-1</f>
        <v/>
      </c>
      <c r="G38" s="445">
        <f>AVERAGE(G34:G37)</f>
        <v/>
      </c>
      <c r="H38" s="442">
        <f>E38*I38</f>
        <v/>
      </c>
      <c r="I38" s="517">
        <f>근거_매출!J25/1000000</f>
        <v/>
      </c>
      <c r="J38" s="0" t="inlineStr">
        <is>
          <t>◀ 단가(I열)는 근거_매출 연도별 단가행(25행) 참조 — 약가 배율 변경 시 자동 반영</t>
        </is>
      </c>
      <c r="L38" s="118">
        <f>IF(VALUE(MID(B38,3,4))&lt;=$K$28,"ACT","EST")</f>
        <v/>
      </c>
      <c r="N38" s="518">
        <f>원본_SVK_연간예측!B25*근거_매출!J25/1000000/100</f>
        <v/>
      </c>
      <c r="O38" s="519">
        <f>IFERROR(N38/(H38/100)-1,"")</f>
        <v/>
      </c>
      <c r="P38" s="490" t="inlineStr">
        <is>
          <t>◀ 바텀업 대비 차이</t>
        </is>
      </c>
      <c r="Q38" s="446" t="n"/>
      <c r="S38" s="446" t="n"/>
      <c r="V38" s="118" t="n"/>
    </row>
    <row r="39" ht="16.5" customHeight="1" s="9">
      <c r="B39" s="0" t="inlineStr">
        <is>
          <t>FY2027</t>
        </is>
      </c>
      <c r="C39" s="442">
        <f>'근거_SVK HCT처방량'!K31</f>
        <v/>
      </c>
      <c r="D39" s="441">
        <f>C39/C38-1</f>
        <v/>
      </c>
      <c r="E39" s="442">
        <f>C39/$G$38</f>
        <v/>
      </c>
      <c r="F39" s="441">
        <f>E39/E38-1</f>
        <v/>
      </c>
      <c r="G39" s="447">
        <f>$G$38</f>
        <v/>
      </c>
      <c r="H39" s="442">
        <f>E39*I39</f>
        <v/>
      </c>
      <c r="I39" s="520">
        <f>근거_매출!K25/1000000</f>
        <v/>
      </c>
      <c r="L39" s="118">
        <f>IF(VALUE(MID(B39,3,4))&lt;=$K$28,"ACT","EST")</f>
        <v/>
      </c>
      <c r="V39" s="118" t="n"/>
    </row>
    <row r="40" ht="16.5" customHeight="1" s="9">
      <c r="B40" s="0" t="inlineStr">
        <is>
          <t>FY2028</t>
        </is>
      </c>
      <c r="C40" s="442">
        <f>'근거_SVK HCT처방량'!L31</f>
        <v/>
      </c>
      <c r="D40" s="441">
        <f>C40/C39-1</f>
        <v/>
      </c>
      <c r="E40" s="442">
        <f>C40/$G$38</f>
        <v/>
      </c>
      <c r="F40" s="441">
        <f>E40/E39-1</f>
        <v/>
      </c>
      <c r="G40" s="447">
        <f>$G$38</f>
        <v/>
      </c>
      <c r="H40" s="442">
        <f>E40*I40</f>
        <v/>
      </c>
      <c r="I40" s="520">
        <f>근거_매출!L25/1000000</f>
        <v/>
      </c>
      <c r="L40" s="118">
        <f>IF(VALUE(MID(B40,3,4))&lt;=$K$28,"ACT","EST")</f>
        <v/>
      </c>
      <c r="V40" s="118" t="n"/>
    </row>
    <row r="41" ht="16.5" customHeight="1" s="9">
      <c r="B41" s="0" t="inlineStr">
        <is>
          <t>FY2029</t>
        </is>
      </c>
      <c r="C41" s="442">
        <f>'근거_SVK HCT처방량'!M31</f>
        <v/>
      </c>
      <c r="D41" s="441">
        <f>C41/C40-1</f>
        <v/>
      </c>
      <c r="E41" s="442">
        <f>C41/$G$38</f>
        <v/>
      </c>
      <c r="F41" s="441">
        <f>E41/E40-1</f>
        <v/>
      </c>
      <c r="G41" s="447">
        <f>$G$38</f>
        <v/>
      </c>
      <c r="H41" s="442">
        <f>E41*I41</f>
        <v/>
      </c>
      <c r="I41" s="520">
        <f>근거_매출!M25/1000000</f>
        <v/>
      </c>
      <c r="L41" s="118">
        <f>IF(VALUE(MID(B41,3,4))&lt;=$K$28,"ACT","EST")</f>
        <v/>
      </c>
      <c r="V41" s="118" t="n"/>
    </row>
    <row r="42" ht="16.5" customHeight="1" s="9">
      <c r="B42" s="0" t="inlineStr">
        <is>
          <t>FY2030</t>
        </is>
      </c>
      <c r="C42" s="442">
        <f>'근거_SVK HCT처방량'!N31</f>
        <v/>
      </c>
      <c r="D42" s="441">
        <f>C42/C41-1</f>
        <v/>
      </c>
      <c r="E42" s="442">
        <f>C42/$G$38</f>
        <v/>
      </c>
      <c r="F42" s="441">
        <f>E42/E41-1</f>
        <v/>
      </c>
      <c r="G42" s="447">
        <f>$G$38</f>
        <v/>
      </c>
      <c r="H42" s="442">
        <f>E42*I42</f>
        <v/>
      </c>
      <c r="I42" s="520">
        <f>근거_매출!N25/1000000</f>
        <v/>
      </c>
      <c r="L42" s="118">
        <f>IF(VALUE(MID(B42,3,4))&lt;=$K$28,"ACT","EST")</f>
        <v/>
      </c>
      <c r="V42" s="118" t="n"/>
    </row>
    <row r="43" ht="16.5" customHeight="1" s="9">
      <c r="L43" s="118" t="n"/>
    </row>
    <row r="44" ht="16.5" customHeight="1" s="9">
      <c r="B44" s="47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009AA0A8"/>
    <outlinePr summaryBelow="1" summaryRight="1"/>
    <pageSetUpPr/>
  </sheetPr>
  <dimension ref="A2:R60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8" customWidth="1" style="9" min="2" max="2"/>
    <col width="18" customWidth="1" style="9" min="3" max="3"/>
    <col width="18" customWidth="1" style="9" min="4" max="4"/>
    <col width="14" customWidth="1" style="9" min="5" max="5"/>
    <col width="20" customWidth="1" style="9" min="6" max="6"/>
    <col width="12" customWidth="1" style="9" min="7" max="7"/>
    <col width="30" customWidth="1" style="9" min="8" max="8"/>
  </cols>
  <sheetData>
    <row r="2">
      <c r="A2" s="495" t="inlineStr">
        <is>
          <t>SVK HCT 시장매출 연간 예측 모델  —  고정비율 기반  (시장매출 = UBIST ÷ k)</t>
        </is>
      </c>
    </row>
    <row r="4">
      <c r="A4" s="459" t="inlineStr">
        <is>
          <t>① 고정비율 파라미터  (FY2018~FY2025, 8개년 평균)</t>
        </is>
      </c>
    </row>
    <row r="5">
      <c r="A5" s="492" t="inlineStr">
        <is>
          <t>항목</t>
        </is>
      </c>
      <c r="B5" s="492" t="inlineStr">
        <is>
          <t>값</t>
        </is>
      </c>
      <c r="C5" s="492" t="inlineStr">
        <is>
          <t>설명</t>
        </is>
      </c>
    </row>
    <row r="6">
      <c r="A6" t="inlineStr">
        <is>
          <t>고정비율 k  (UBIST/시장매출)</t>
        </is>
      </c>
      <c r="B6" s="521">
        <f>AVERAGE(D12:D19)</f>
        <v/>
      </c>
      <c r="C6" t="inlineStr">
        <is>
          <t xml:space="preserve"> FY2018~FY2025 평균 UBIST/시장매출 비율  ← 산출 자동 (② 표에서 계산)</t>
        </is>
      </c>
    </row>
    <row r="7">
      <c r="A7" t="inlineStr">
        <is>
          <t>예측 공식</t>
        </is>
      </c>
      <c r="B7" t="inlineStr">
        <is>
          <t>시장매출 예측 수량  =  FY2026 UBIST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  <c r="D8" t="inlineStr">
        <is>
          <t>연 340억 기준 ±수억 수준</t>
        </is>
      </c>
    </row>
    <row r="10">
      <c r="A10" s="459" t="inlineStr">
        <is>
          <t>② 과거 실적 데이터  (FY2018~FY2025)</t>
        </is>
      </c>
    </row>
    <row r="11">
      <c r="A11" s="512" t="inlineStr">
        <is>
          <t>회계연도</t>
        </is>
      </c>
      <c r="B11" s="512" t="inlineStr">
        <is>
          <t>UBIST 처방량 (T)</t>
        </is>
      </c>
      <c r="C11" s="512" t="inlineStr">
        <is>
          <t>시장매출 수량 (T)</t>
        </is>
      </c>
      <c r="D11" s="512" t="inlineStr">
        <is>
          <t>UBIST/시장매출 비율</t>
        </is>
      </c>
      <c r="E11" s="512" t="inlineStr">
        <is>
          <t>평균 대비</t>
        </is>
      </c>
      <c r="F11" s="512" t="inlineStr">
        <is>
          <t>고정비율 예측 시장매출</t>
        </is>
      </c>
      <c r="G11" s="512" t="inlineStr">
        <is>
          <t>예측 오차</t>
        </is>
      </c>
      <c r="H11" s="512" t="inlineStr">
        <is>
          <t>비고</t>
        </is>
      </c>
    </row>
    <row r="12">
      <c r="A12" t="inlineStr">
        <is>
          <t>FY2018</t>
        </is>
      </c>
      <c r="B12" s="493">
        <f>근거_매출!B7</f>
        <v/>
      </c>
      <c r="C12" s="493">
        <f>근거_매출!B10</f>
        <v/>
      </c>
      <c r="D12" s="379">
        <f>B12/C12</f>
        <v/>
      </c>
      <c r="E12" s="522">
        <f>D12-$B$6</f>
        <v/>
      </c>
      <c r="F12" s="493">
        <f>B12/$B$6</f>
        <v/>
      </c>
      <c r="G12" s="494">
        <f>F12/C12-1</f>
        <v/>
      </c>
      <c r="H12" s="473" t="inlineStr">
        <is>
          <t>도매재고 영향 등으로 비율 변동 (FY18~21 0.90~0.92 → FY22~ 0.96~1.01)</t>
        </is>
      </c>
    </row>
    <row r="13">
      <c r="A13" t="inlineStr">
        <is>
          <t>FY2019</t>
        </is>
      </c>
      <c r="B13" s="493">
        <f>근거_매출!C7</f>
        <v/>
      </c>
      <c r="C13" s="493">
        <f>근거_매출!C10</f>
        <v/>
      </c>
      <c r="D13" s="379">
        <f>B13/C13</f>
        <v/>
      </c>
      <c r="E13" s="522">
        <f>D13-$B$6</f>
        <v/>
      </c>
      <c r="F13" s="493">
        <f>B13/$B$6</f>
        <v/>
      </c>
      <c r="G13" s="494">
        <f>F13/C13-1</f>
        <v/>
      </c>
    </row>
    <row r="14">
      <c r="A14" t="inlineStr">
        <is>
          <t>FY2020</t>
        </is>
      </c>
      <c r="B14" s="493">
        <f>근거_매출!D7</f>
        <v/>
      </c>
      <c r="C14" s="493">
        <f>근거_매출!D10</f>
        <v/>
      </c>
      <c r="D14" s="379">
        <f>B14/C14</f>
        <v/>
      </c>
      <c r="E14" s="522">
        <f>D14-$B$6</f>
        <v/>
      </c>
      <c r="F14" s="493">
        <f>B14/$B$6</f>
        <v/>
      </c>
      <c r="G14" s="494">
        <f>F14/C14-1</f>
        <v/>
      </c>
    </row>
    <row r="15">
      <c r="A15" t="inlineStr">
        <is>
          <t>FY2021</t>
        </is>
      </c>
      <c r="B15" s="493">
        <f>근거_매출!E7</f>
        <v/>
      </c>
      <c r="C15" s="493">
        <f>근거_매출!E10</f>
        <v/>
      </c>
      <c r="D15" s="379">
        <f>B15/C15</f>
        <v/>
      </c>
      <c r="E15" s="522">
        <f>D15-$B$6</f>
        <v/>
      </c>
      <c r="F15" s="493">
        <f>B15/$B$6</f>
        <v/>
      </c>
      <c r="G15" s="494">
        <f>F15/C15-1</f>
        <v/>
      </c>
    </row>
    <row r="16">
      <c r="A16" t="inlineStr">
        <is>
          <t>FY2022</t>
        </is>
      </c>
      <c r="B16" s="493">
        <f>근거_매출!F7</f>
        <v/>
      </c>
      <c r="C16" s="493">
        <f>근거_매출!F10</f>
        <v/>
      </c>
      <c r="D16" s="379">
        <f>B16/C16</f>
        <v/>
      </c>
      <c r="E16" s="522">
        <f>D16-$B$6</f>
        <v/>
      </c>
      <c r="F16" s="493">
        <f>B16/$B$6</f>
        <v/>
      </c>
      <c r="G16" s="494">
        <f>F16/C16-1</f>
        <v/>
      </c>
    </row>
    <row r="17">
      <c r="A17" t="inlineStr">
        <is>
          <t>FY2023</t>
        </is>
      </c>
      <c r="B17" s="493">
        <f>근거_매출!G7</f>
        <v/>
      </c>
      <c r="C17" s="493">
        <f>근거_매출!G10</f>
        <v/>
      </c>
      <c r="D17" s="379">
        <f>B17/C17</f>
        <v/>
      </c>
      <c r="E17" s="522">
        <f>D17-$B$6</f>
        <v/>
      </c>
      <c r="F17" s="493">
        <f>B17/$B$6</f>
        <v/>
      </c>
      <c r="G17" s="494">
        <f>F17/C17-1</f>
        <v/>
      </c>
    </row>
    <row r="18">
      <c r="A18" t="inlineStr">
        <is>
          <t>FY2024</t>
        </is>
      </c>
      <c r="B18" s="493">
        <f>근거_매출!H7</f>
        <v/>
      </c>
      <c r="C18" s="493">
        <f>근거_매출!H10</f>
        <v/>
      </c>
      <c r="D18" s="379">
        <f>B18/C18</f>
        <v/>
      </c>
      <c r="E18" s="522">
        <f>D18-$B$6</f>
        <v/>
      </c>
      <c r="F18" s="493">
        <f>B18/$B$6</f>
        <v/>
      </c>
      <c r="G18" s="494">
        <f>F18/C18-1</f>
        <v/>
      </c>
    </row>
    <row r="19">
      <c r="A19" t="inlineStr">
        <is>
          <t>FY2025</t>
        </is>
      </c>
      <c r="B19" s="493">
        <f>근거_매출!I7</f>
        <v/>
      </c>
      <c r="C19" s="493">
        <f>근거_매출!I10</f>
        <v/>
      </c>
      <c r="D19" s="379">
        <f>B19/C19</f>
        <v/>
      </c>
      <c r="E19" s="522">
        <f>D19-$B$6</f>
        <v/>
      </c>
      <c r="F19" s="493">
        <f>B19/$B$6</f>
        <v/>
      </c>
      <c r="G19" s="494">
        <f>F19/C19-1</f>
        <v/>
      </c>
    </row>
    <row r="20">
      <c r="A20" s="459" t="inlineStr">
        <is>
          <t>평균</t>
        </is>
      </c>
      <c r="B20" s="493">
        <f>AVERAGE(B12:B19)</f>
        <v/>
      </c>
      <c r="C20" s="493">
        <f>AVERAGE(C12:C19)</f>
        <v/>
      </c>
      <c r="D20" s="379">
        <f>AVERAGE(D12:D19)</f>
        <v/>
      </c>
      <c r="G20" s="523">
        <f>AVERAGE(G12:G19)</f>
        <v/>
      </c>
    </row>
    <row r="22">
      <c r="A22" s="459" t="inlineStr">
        <is>
          <t>③ FY2026 연간 예측  —  유일한 수동 입력: UBIST 예측 수량</t>
        </is>
      </c>
    </row>
    <row r="23">
      <c r="A23" t="inlineStr">
        <is>
          <t>FY2026 UBIST 예측수량 (T)</t>
        </is>
      </c>
      <c r="B23" s="524">
        <f>'근거_SVK HCT처방량'!J31</f>
        <v/>
      </c>
      <c r="C23" t="inlineStr">
        <is>
          <t>← 유일한 수동 입력 (현재 바텀업 모델 FY2026 처방량 연동; 독립 대조 시 값으로 덮어쓰기)</t>
        </is>
      </c>
    </row>
    <row r="24">
      <c r="A24" t="inlineStr">
        <is>
          <t>고정비율 k</t>
        </is>
      </c>
      <c r="B24" s="379">
        <f>B6</f>
        <v/>
      </c>
      <c r="C24" t="inlineStr">
        <is>
          <t xml:space="preserve"> 파라미터 셀 B6 참조</t>
        </is>
      </c>
    </row>
    <row r="25">
      <c r="A25" s="459" t="inlineStr">
        <is>
          <t>★ FY2026 연간 예측 (T)</t>
        </is>
      </c>
      <c r="B25" s="525">
        <f>B23/B24</f>
        <v/>
      </c>
      <c r="C25" t="inlineStr">
        <is>
          <t xml:space="preserve"> FY2026 UBIST 예측수량 ÷ k</t>
        </is>
      </c>
    </row>
    <row r="26">
      <c r="A26" t="inlineStr">
        <is>
          <t>예측 성장률 (YoY)</t>
        </is>
      </c>
      <c r="B26" s="494">
        <f>B25/C19-1</f>
        <v/>
      </c>
      <c r="C26" t="inlineStr">
        <is>
          <t xml:space="preserve"> FY2026 예측 ÷ FY2025 실적 − 1</t>
        </is>
      </c>
    </row>
    <row r="28">
      <c r="A28" s="459" t="inlineStr">
        <is>
          <t>④ 민감도 분석  —  UBIST 예측수량 시나리오별</t>
        </is>
      </c>
    </row>
    <row r="29">
      <c r="A29" s="512" t="inlineStr">
        <is>
          <t>UBIST 예측 (T)</t>
        </is>
      </c>
      <c r="B29" s="512" t="inlineStr">
        <is>
          <t>UBIST YoY</t>
        </is>
      </c>
      <c r="C29" s="512" t="inlineStr">
        <is>
          <t>예측 시장매출 (T)</t>
        </is>
      </c>
      <c r="D29" s="512" t="inlineStr">
        <is>
          <t>시장매출 YoY</t>
        </is>
      </c>
      <c r="E29" s="512" t="inlineStr">
        <is>
          <t>FY2025 대비 증감</t>
        </is>
      </c>
      <c r="F29" s="512" t="inlineStr">
        <is>
          <t>비고</t>
        </is>
      </c>
    </row>
    <row r="30">
      <c r="A30" s="500" t="n">
        <v>50000000</v>
      </c>
      <c r="B30" s="494">
        <f>A30/B19-1</f>
        <v/>
      </c>
      <c r="C30" s="493">
        <f>A30/$B$6</f>
        <v/>
      </c>
      <c r="D30" s="494">
        <f>C30/C19-1</f>
        <v/>
      </c>
      <c r="E30" s="493">
        <f>C30-C19</f>
        <v/>
      </c>
      <c r="F30">
        <f>"보수: UBIST "&amp;TEXT(B30,"+0.0%;-0.0%")</f>
        <v/>
      </c>
    </row>
    <row r="31">
      <c r="A31" s="500" t="n">
        <v>52000000</v>
      </c>
      <c r="B31" s="494">
        <f>A31/B19-1</f>
        <v/>
      </c>
      <c r="C31" s="493">
        <f>A31/$B$6</f>
        <v/>
      </c>
      <c r="D31" s="494">
        <f>C31/C19-1</f>
        <v/>
      </c>
      <c r="E31" s="493">
        <f>C31-C19</f>
        <v/>
      </c>
      <c r="F31">
        <f>"보수: UBIST "&amp;TEXT(B31,"+0.0%;-0.0%")</f>
        <v/>
      </c>
    </row>
    <row r="32">
      <c r="A32" s="500" t="n">
        <v>53500000</v>
      </c>
      <c r="B32" s="494">
        <f>A32/B19-1</f>
        <v/>
      </c>
      <c r="C32" s="493">
        <f>A32/$B$6</f>
        <v/>
      </c>
      <c r="D32" s="494">
        <f>C32/C19-1</f>
        <v/>
      </c>
      <c r="E32" s="493">
        <f>C32-C19</f>
        <v/>
      </c>
      <c r="F32" t="inlineStr">
        <is>
          <t>기준−</t>
        </is>
      </c>
    </row>
    <row r="33">
      <c r="A33" s="468">
        <f>B23</f>
        <v/>
      </c>
      <c r="B33" s="494">
        <f>A33/B19-1</f>
        <v/>
      </c>
      <c r="C33" s="493">
        <f>A33/$B$6</f>
        <v/>
      </c>
      <c r="D33" s="494">
        <f>C33/C19-1</f>
        <v/>
      </c>
      <c r="E33" s="493">
        <f>C33-C19</f>
        <v/>
      </c>
      <c r="F33" t="inlineStr">
        <is>
          <t>← 연초 입력값</t>
        </is>
      </c>
    </row>
    <row r="34">
      <c r="A34" s="500" t="n">
        <v>56000000</v>
      </c>
      <c r="B34" s="494">
        <f>A34/B19-1</f>
        <v/>
      </c>
      <c r="C34" s="493">
        <f>A34/$B$6</f>
        <v/>
      </c>
      <c r="D34" s="494">
        <f>C34/C19-1</f>
        <v/>
      </c>
      <c r="E34" s="493">
        <f>C34-C19</f>
        <v/>
      </c>
      <c r="F34" t="inlineStr">
        <is>
          <t>기준+</t>
        </is>
      </c>
    </row>
    <row r="35">
      <c r="A35" s="500" t="n">
        <v>58000000</v>
      </c>
      <c r="B35" s="494">
        <f>A35/B19-1</f>
        <v/>
      </c>
      <c r="C35" s="493">
        <f>A35/$B$6</f>
        <v/>
      </c>
      <c r="D35" s="494">
        <f>C35/C19-1</f>
        <v/>
      </c>
      <c r="E35" s="493">
        <f>C35-C19</f>
        <v/>
      </c>
      <c r="F35">
        <f>"낙관: UBIST "&amp;TEXT(B35,"+0.0%;-0.0%")</f>
        <v/>
      </c>
    </row>
    <row r="36">
      <c r="A36" s="500" t="n">
        <v>60000000</v>
      </c>
      <c r="B36" s="494">
        <f>A36/B19-1</f>
        <v/>
      </c>
      <c r="C36" s="493">
        <f>A36/$B$6</f>
        <v/>
      </c>
      <c r="D36" s="494">
        <f>C36/C19-1</f>
        <v/>
      </c>
      <c r="E36" s="493">
        <f>C36-C19</f>
        <v/>
      </c>
      <c r="F36">
        <f>"낙관: UBIST "&amp;TEXT(B36,"+0.0%;-0.0%")</f>
        <v/>
      </c>
    </row>
    <row r="38">
      <c r="A38" s="459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 (D19 참조)</t>
        </is>
      </c>
    </row>
    <row r="40">
      <c r="A40" t="inlineStr">
        <is>
          <t>비율 이상치 기준</t>
        </is>
      </c>
      <c r="B40" t="inlineStr">
        <is>
          <t>UBIST/시장매출 비율이 k ± 0.03 초과 시 → 원인 파악 필요</t>
        </is>
      </c>
    </row>
    <row r="41">
      <c r="A41" t="inlineStr">
        <is>
          <t>도매재고 연동</t>
        </is>
      </c>
      <c r="B41" t="inlineStr">
        <is>
          <t>DOI 18일 초과 시 시장매출 예측 하향 검토, 10일 미만 시 상향 검토</t>
        </is>
      </c>
    </row>
    <row r="42">
      <c r="A42" t="inlineStr">
        <is>
          <t>검증 MAPE</t>
        </is>
      </c>
      <c r="B42" t="inlineStr">
        <is>
          <t>FY2023~FY2025 기준 평균 절대오차 (B8 참조)</t>
        </is>
      </c>
    </row>
    <row r="43">
      <c r="A43" t="inlineStr">
        <is>
          <t>Rolling 갱신</t>
        </is>
      </c>
      <c r="B43" t="inlineStr">
        <is>
          <t>별도 검토 예정 — 분기 실적 확정 시 연간 비율 업데이트</t>
        </is>
      </c>
    </row>
    <row r="45">
      <c r="A45" s="490" t="inlineStr">
        <is>
          <t>[ 범례 ]  파란 글씨/노랑: 수동 입력  │  검정: 자동 계산  │  초록: 예측 결과  │  노랑 강조: 현재 시나리오</t>
        </is>
      </c>
    </row>
    <row r="48">
      <c r="A48" s="459" t="inlineStr">
        <is>
          <t>분기/월별 배분</t>
        </is>
      </c>
    </row>
    <row r="49">
      <c r="A49" s="490" t="inlineStr">
        <is>
          <t>과거 시장매출 (HP+GP+Online 수량 T 기준)  — ※ 월별 시장매출 실측 데이터 입력 필요 (SAP/내부 시장매출, 미입력 시 공란)</t>
        </is>
      </c>
    </row>
    <row r="50">
      <c r="A50" s="512" t="inlineStr">
        <is>
          <t>FY</t>
        </is>
      </c>
      <c r="B50" s="512" t="inlineStr">
        <is>
          <t>4월</t>
        </is>
      </c>
      <c r="C50" s="512" t="inlineStr">
        <is>
          <t>5월</t>
        </is>
      </c>
      <c r="D50" s="512" t="inlineStr">
        <is>
          <t>6월</t>
        </is>
      </c>
      <c r="E50" s="512" t="inlineStr">
        <is>
          <t>Q1</t>
        </is>
      </c>
      <c r="F50" s="512" t="inlineStr">
        <is>
          <t>7월</t>
        </is>
      </c>
      <c r="G50" s="512" t="inlineStr">
        <is>
          <t>8월</t>
        </is>
      </c>
      <c r="H50" s="512" t="inlineStr">
        <is>
          <t>9월</t>
        </is>
      </c>
      <c r="I50" s="512" t="inlineStr">
        <is>
          <t>Q2</t>
        </is>
      </c>
      <c r="J50" s="512" t="inlineStr">
        <is>
          <t>10월</t>
        </is>
      </c>
      <c r="K50" s="512" t="inlineStr">
        <is>
          <t>11월</t>
        </is>
      </c>
      <c r="L50" s="512" t="inlineStr">
        <is>
          <t>12월</t>
        </is>
      </c>
      <c r="M50" s="512" t="inlineStr">
        <is>
          <t>Q3</t>
        </is>
      </c>
      <c r="N50" s="512" t="inlineStr">
        <is>
          <t>1월</t>
        </is>
      </c>
      <c r="O50" s="512" t="inlineStr">
        <is>
          <t>2월</t>
        </is>
      </c>
      <c r="P50" s="512" t="inlineStr">
        <is>
          <t>3월</t>
        </is>
      </c>
      <c r="Q50" s="512" t="inlineStr">
        <is>
          <t>Q4</t>
        </is>
      </c>
      <c r="R50" s="512" t="inlineStr">
        <is>
          <t>Total</t>
        </is>
      </c>
    </row>
    <row r="51">
      <c r="A51" t="n">
        <v>2018</v>
      </c>
      <c r="E51" s="493">
        <f>IF(COUNT(B51:D51)=0,"",SUM(B51:D51))</f>
        <v/>
      </c>
      <c r="I51" s="493">
        <f>IF(COUNT(F51:H51)=0,"",SUM(F51:H51))</f>
        <v/>
      </c>
      <c r="M51" s="493">
        <f>IF(COUNT(J51:L51)=0,"",SUM(J51:L51))</f>
        <v/>
      </c>
      <c r="Q51" s="493">
        <f>IF(COUNT(N51:P51)=0,"",SUM(N51:P51))</f>
        <v/>
      </c>
      <c r="R51" s="493">
        <f>IF(COUNT(B51:P51)=0,"",SUM(B51:D51,F51:H51,J51:L51,N51:P51))</f>
        <v/>
      </c>
    </row>
    <row r="52">
      <c r="A52" t="n">
        <v>2019</v>
      </c>
      <c r="E52" s="493">
        <f>IF(COUNT(B52:D52)=0,"",SUM(B52:D52))</f>
        <v/>
      </c>
      <c r="I52" s="493">
        <f>IF(COUNT(F52:H52)=0,"",SUM(F52:H52))</f>
        <v/>
      </c>
      <c r="M52" s="493">
        <f>IF(COUNT(J52:L52)=0,"",SUM(J52:L52))</f>
        <v/>
      </c>
      <c r="Q52" s="493">
        <f>IF(COUNT(N52:P52)=0,"",SUM(N52:P52))</f>
        <v/>
      </c>
      <c r="R52" s="493">
        <f>IF(COUNT(B52:P52)=0,"",SUM(B52:D52,F52:H52,J52:L52,N52:P52))</f>
        <v/>
      </c>
    </row>
    <row r="53">
      <c r="A53" t="n">
        <v>2020</v>
      </c>
      <c r="E53" s="493">
        <f>IF(COUNT(B53:D53)=0,"",SUM(B53:D53))</f>
        <v/>
      </c>
      <c r="I53" s="493">
        <f>IF(COUNT(F53:H53)=0,"",SUM(F53:H53))</f>
        <v/>
      </c>
      <c r="M53" s="493">
        <f>IF(COUNT(J53:L53)=0,"",SUM(J53:L53))</f>
        <v/>
      </c>
      <c r="Q53" s="493">
        <f>IF(COUNT(N53:P53)=0,"",SUM(N53:P53))</f>
        <v/>
      </c>
      <c r="R53" s="493">
        <f>IF(COUNT(B53:P53)=0,"",SUM(B53:D53,F53:H53,J53:L53,N53:P53))</f>
        <v/>
      </c>
    </row>
    <row r="54">
      <c r="A54" t="n">
        <v>2021</v>
      </c>
      <c r="E54" s="493">
        <f>IF(COUNT(B54:D54)=0,"",SUM(B54:D54))</f>
        <v/>
      </c>
      <c r="I54" s="493">
        <f>IF(COUNT(F54:H54)=0,"",SUM(F54:H54))</f>
        <v/>
      </c>
      <c r="M54" s="493">
        <f>IF(COUNT(J54:L54)=0,"",SUM(J54:L54))</f>
        <v/>
      </c>
      <c r="Q54" s="493">
        <f>IF(COUNT(N54:P54)=0,"",SUM(N54:P54))</f>
        <v/>
      </c>
      <c r="R54" s="493">
        <f>IF(COUNT(B54:P54)=0,"",SUM(B54:D54,F54:H54,J54:L54,N54:P54))</f>
        <v/>
      </c>
    </row>
    <row r="55">
      <c r="A55" t="n">
        <v>2022</v>
      </c>
      <c r="E55" s="493">
        <f>IF(COUNT(B55:D55)=0,"",SUM(B55:D55))</f>
        <v/>
      </c>
      <c r="I55" s="493">
        <f>IF(COUNT(F55:H55)=0,"",SUM(F55:H55))</f>
        <v/>
      </c>
      <c r="M55" s="493">
        <f>IF(COUNT(J55:L55)=0,"",SUM(J55:L55))</f>
        <v/>
      </c>
      <c r="Q55" s="493">
        <f>IF(COUNT(N55:P55)=0,"",SUM(N55:P55))</f>
        <v/>
      </c>
      <c r="R55" s="493">
        <f>IF(COUNT(B55:P55)=0,"",SUM(B55:D55,F55:H55,J55:L55,N55:P55))</f>
        <v/>
      </c>
    </row>
    <row r="56">
      <c r="A56" t="n">
        <v>2023</v>
      </c>
      <c r="E56" s="493">
        <f>IF(COUNT(B56:D56)=0,"",SUM(B56:D56))</f>
        <v/>
      </c>
      <c r="I56" s="493">
        <f>IF(COUNT(F56:H56)=0,"",SUM(F56:H56))</f>
        <v/>
      </c>
      <c r="M56" s="493">
        <f>IF(COUNT(J56:L56)=0,"",SUM(J56:L56))</f>
        <v/>
      </c>
      <c r="Q56" s="493">
        <f>IF(COUNT(N56:P56)=0,"",SUM(N56:P56))</f>
        <v/>
      </c>
      <c r="R56" s="493">
        <f>IF(COUNT(B56:P56)=0,"",SUM(B56:D56,F56:H56,J56:L56,N56:P56))</f>
        <v/>
      </c>
    </row>
    <row r="57">
      <c r="A57" t="n">
        <v>2024</v>
      </c>
      <c r="E57" s="493">
        <f>IF(COUNT(B57:D57)=0,"",SUM(B57:D57))</f>
        <v/>
      </c>
      <c r="I57" s="493">
        <f>IF(COUNT(F57:H57)=0,"",SUM(F57:H57))</f>
        <v/>
      </c>
      <c r="M57" s="493">
        <f>IF(COUNT(J57:L57)=0,"",SUM(J57:L57))</f>
        <v/>
      </c>
      <c r="Q57" s="493">
        <f>IF(COUNT(N57:P57)=0,"",SUM(N57:P57))</f>
        <v/>
      </c>
      <c r="R57" s="493">
        <f>IF(COUNT(B57:P57)=0,"",SUM(B57:D57,F57:H57,J57:L57,N57:P57))</f>
        <v/>
      </c>
    </row>
    <row r="58">
      <c r="A58" t="n">
        <v>2025</v>
      </c>
      <c r="E58" s="493">
        <f>IF(COUNT(B58:D58)=0,"",SUM(B58:D58))</f>
        <v/>
      </c>
      <c r="I58" s="493">
        <f>IF(COUNT(F58:H58)=0,"",SUM(F58:H58))</f>
        <v/>
      </c>
      <c r="M58" s="493">
        <f>IF(COUNT(J58:L58)=0,"",SUM(J58:L58))</f>
        <v/>
      </c>
      <c r="Q58" s="493">
        <f>IF(COUNT(N58:P58)=0,"",SUM(N58:P58))</f>
        <v/>
      </c>
      <c r="R58" s="493">
        <f>IF(COUNT(B58:P58)=0,"",SUM(B58:D58,F58:H58,J58:L58,N58:P58))</f>
        <v/>
      </c>
    </row>
    <row r="60">
      <c r="A60" s="459" t="inlineStr">
        <is>
          <t>비중</t>
        </is>
      </c>
      <c r="B60" s="473" t="inlineStr">
        <is>
          <t>(월별 실측 입력 후 분기 비중 산출)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AA0A8"/>
    <outlinePr summaryBelow="1" summaryRight="1"/>
    <pageSetUpPr/>
  </sheetPr>
  <dimension ref="A2:U278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9" min="1" max="1"/>
    <col width="12.5" customWidth="1" style="9" min="2" max="2"/>
    <col width="12.5" customWidth="1" style="9" min="3" max="3"/>
    <col width="12.5" customWidth="1" style="9" min="4" max="4"/>
    <col width="12.5" customWidth="1" style="9" min="5" max="5"/>
    <col width="12.5" customWidth="1" style="9" min="6" max="6"/>
    <col width="12.5" customWidth="1" style="9" min="7" max="7"/>
    <col width="12.5" customWidth="1" style="9" min="8" max="8"/>
    <col width="12.5" customWidth="1" style="9" min="9" max="9"/>
    <col width="12.5" customWidth="1" style="9" min="10" max="10"/>
    <col width="12.5" customWidth="1" style="9" min="11" max="11"/>
    <col width="12.5" customWidth="1" style="9" min="12" max="12"/>
    <col width="12.5" customWidth="1" style="9" min="13" max="13"/>
    <col width="12.5" customWidth="1" style="9" min="14" max="14"/>
    <col width="12.5" customWidth="1" style="9" min="15" max="15"/>
    <col width="12.5" customWidth="1" style="9" min="16" max="16"/>
    <col width="12.5" customWidth="1" style="9" min="17" max="17"/>
    <col width="12.5" customWidth="1" style="9" min="18" max="18"/>
    <col width="12.5" customWidth="1" style="9" min="19" max="19"/>
    <col width="12.5" customWidth="1" style="9" min="20" max="20"/>
    <col width="12.5" customWidth="1" style="9" min="21" max="21"/>
    <col width="12.5" customWidth="1" style="9" min="22" max="22"/>
  </cols>
  <sheetData>
    <row r="2">
      <c r="A2" s="495" t="inlineStr">
        <is>
          <t>원본_월별 — UBIST 월별 실측 (붙여넣기 전용)</t>
        </is>
      </c>
    </row>
    <row r="3">
      <c r="A3" s="490" t="inlineStr">
        <is>
          <t>이 시트는 원자료 적재 전용입니다. 계산 수식을 넣지 마십시오. 매달 「원본_RAW」에 UBIST 파일을 붙여넣으면 FY2026 이후 칸이 자동으로 채워집니다. FY2018~2025 월별 실측(HP/GP)은 UBIST 이력 파일에서 1회 값으로 채워 넣으십시오.</t>
        </is>
      </c>
    </row>
    <row r="5">
      <c r="A5" s="459" t="inlineStr">
        <is>
          <t>■ 설정</t>
        </is>
      </c>
    </row>
    <row r="6">
      <c r="A6" t="inlineStr">
        <is>
          <t xml:space="preserve">  채널 매핑 HP</t>
        </is>
      </c>
      <c r="B6" t="inlineStr">
        <is>
          <t>상급종합병원 + 종합병원</t>
        </is>
      </c>
    </row>
    <row r="7">
      <c r="A7" t="inlineStr">
        <is>
          <t xml:space="preserve">  채널 매핑 GP</t>
        </is>
      </c>
      <c r="B7" t="inlineStr">
        <is>
          <t>병원 + 의원 + 보건소 + 기타(치과의원·치과병원 등)</t>
        </is>
      </c>
    </row>
    <row r="8">
      <c r="A8" t="inlineStr">
        <is>
          <t xml:space="preserve">  복용 보정</t>
        </is>
      </c>
      <c r="B8" t="inlineStr">
        <is>
          <t>없음 (ARB 계열 QD, 수량=DOT)</t>
        </is>
      </c>
    </row>
    <row r="9">
      <c r="A9" t="inlineStr">
        <is>
          <t xml:space="preserve">  시장 성분 범위</t>
        </is>
      </c>
      <c r="B9" t="inlineStr">
        <is>
          <t>ARB 전체(단일제+복합제) / ARB+CCB+DU 3제 복합제 / Olmesartan+Amlodipine+HCTZ 성분 / 세비카HCT(Original)</t>
        </is>
      </c>
    </row>
    <row r="10">
      <c r="A10" t="inlineStr">
        <is>
          <t xml:space="preserve">  최종 갱신월</t>
        </is>
      </c>
      <c r="B10" t="inlineStr">
        <is>
          <t>2026년 7월 (ARB Total 기준)</t>
        </is>
      </c>
    </row>
    <row r="11">
      <c r="A11" t="inlineStr">
        <is>
          <t xml:space="preserve">  데이터 출처</t>
        </is>
      </c>
      <c r="B11" t="inlineStr">
        <is>
          <t>UBIST 원외처방. 파일: Udata_SVK_xxxx 처방_조제.xlsx (매달 원본_RAW 붙여넣기)</t>
        </is>
      </c>
    </row>
    <row r="12">
      <c r="A12" t="inlineStr">
        <is>
          <t xml:space="preserve">  검증</t>
        </is>
      </c>
      <c r="B12" t="inlineStr">
        <is>
          <t>FY2023~2025 ARB Total 합계가 근거_ARB처방량 ■D 확정치와 일치</t>
        </is>
      </c>
    </row>
    <row r="13">
      <c r="A13" t="inlineStr">
        <is>
          <t xml:space="preserve">  제네릭 등재</t>
        </is>
      </c>
      <c r="B13" t="inlineStr">
        <is>
          <t>기등재 (FY2019Q1 침투 관측 개시) → 모니터링_월별 기준월 201904</t>
        </is>
      </c>
    </row>
    <row r="15">
      <c r="A15" s="526" t="inlineStr">
        <is>
          <t>■ A. ARB 시장 처방량 Total (DOT)  — 근거_ARB처방량 ■D(월별 롤링 VPP)로 연결</t>
        </is>
      </c>
    </row>
    <row r="16">
      <c r="A16" s="527" t="inlineStr">
        <is>
          <t>[Total] FY ＼ 월</t>
        </is>
      </c>
      <c r="B16" s="528" t="inlineStr">
        <is>
          <t>4월</t>
        </is>
      </c>
      <c r="C16" s="528" t="inlineStr">
        <is>
          <t>5월</t>
        </is>
      </c>
      <c r="D16" s="528" t="inlineStr">
        <is>
          <t>6월</t>
        </is>
      </c>
      <c r="E16" s="528" t="inlineStr">
        <is>
          <t>7월</t>
        </is>
      </c>
      <c r="F16" s="528" t="inlineStr">
        <is>
          <t>8월</t>
        </is>
      </c>
      <c r="G16" s="528" t="inlineStr">
        <is>
          <t>9월</t>
        </is>
      </c>
      <c r="H16" s="528" t="inlineStr">
        <is>
          <t>10월</t>
        </is>
      </c>
      <c r="I16" s="528" t="inlineStr">
        <is>
          <t>11월</t>
        </is>
      </c>
      <c r="J16" s="528" t="inlineStr">
        <is>
          <t>12월</t>
        </is>
      </c>
      <c r="K16" s="528" t="inlineStr">
        <is>
          <t>1월</t>
        </is>
      </c>
      <c r="L16" s="528" t="inlineStr">
        <is>
          <t>2월</t>
        </is>
      </c>
      <c r="M16" s="528" t="inlineStr">
        <is>
          <t>3월</t>
        </is>
      </c>
      <c r="N16" s="527" t="inlineStr">
        <is>
          <t>FY 합계</t>
        </is>
      </c>
      <c r="O16" s="527" t="inlineStr">
        <is>
          <t>실측월수</t>
        </is>
      </c>
    </row>
    <row r="17">
      <c r="A17" t="inlineStr">
        <is>
          <t>FY2018</t>
        </is>
      </c>
      <c r="B17" s="500" t="n"/>
      <c r="C17" s="500" t="n"/>
      <c r="D17" s="500" t="n"/>
      <c r="E17" s="500" t="n"/>
      <c r="F17" s="500" t="n"/>
      <c r="G17" s="500" t="n"/>
      <c r="H17" s="500" t="n"/>
      <c r="I17" s="500" t="n"/>
      <c r="J17" s="500" t="n"/>
      <c r="K17" s="500" t="n"/>
      <c r="L17" s="500" t="n"/>
      <c r="M17" s="500" t="n"/>
      <c r="N17" s="493">
        <f>SUM(B17:M17)</f>
        <v/>
      </c>
      <c r="O17">
        <f>COUNT(B17:M17)</f>
        <v/>
      </c>
    </row>
    <row r="18">
      <c r="A18" t="inlineStr">
        <is>
          <t>FY2019</t>
        </is>
      </c>
      <c r="B18" s="500" t="n"/>
      <c r="C18" s="500" t="n"/>
      <c r="D18" s="500" t="n"/>
      <c r="E18" s="500" t="n"/>
      <c r="F18" s="500" t="n"/>
      <c r="G18" s="500" t="n"/>
      <c r="H18" s="500" t="n"/>
      <c r="I18" s="500" t="n"/>
      <c r="J18" s="500" t="n"/>
      <c r="K18" s="500" t="n"/>
      <c r="L18" s="500" t="n"/>
      <c r="M18" s="500" t="n"/>
      <c r="N18" s="493">
        <f>SUM(B18:M18)</f>
        <v/>
      </c>
      <c r="O18">
        <f>COUNT(B18:M18)</f>
        <v/>
      </c>
    </row>
    <row r="19">
      <c r="A19" t="inlineStr">
        <is>
          <t>FY2020</t>
        </is>
      </c>
      <c r="B19" s="500" t="n"/>
      <c r="C19" s="500" t="n"/>
      <c r="D19" s="500" t="n"/>
      <c r="E19" s="500" t="n"/>
      <c r="F19" s="500" t="n"/>
      <c r="G19" s="500" t="n"/>
      <c r="H19" s="500" t="n"/>
      <c r="I19" s="500" t="n"/>
      <c r="J19" s="500" t="n"/>
      <c r="K19" s="500" t="n"/>
      <c r="L19" s="500" t="n"/>
      <c r="M19" s="500" t="n"/>
      <c r="N19" s="493">
        <f>SUM(B19:M19)</f>
        <v/>
      </c>
      <c r="O19">
        <f>COUNT(B19:M19)</f>
        <v/>
      </c>
    </row>
    <row r="20">
      <c r="A20" t="inlineStr">
        <is>
          <t>FY2021</t>
        </is>
      </c>
      <c r="B20" s="500" t="n"/>
      <c r="C20" s="500" t="n"/>
      <c r="D20" s="500" t="n"/>
      <c r="E20" s="500" t="n"/>
      <c r="F20" s="500" t="n"/>
      <c r="G20" s="500" t="n"/>
      <c r="H20" s="500" t="n"/>
      <c r="I20" s="500" t="n"/>
      <c r="J20" s="500" t="n"/>
      <c r="K20" s="500" t="n"/>
      <c r="L20" s="500" t="n"/>
      <c r="M20" s="500" t="n"/>
      <c r="N20" s="493">
        <f>SUM(B20:M20)</f>
        <v/>
      </c>
      <c r="O20">
        <f>COUNT(B20:M20)</f>
        <v/>
      </c>
    </row>
    <row r="21">
      <c r="A21" t="inlineStr">
        <is>
          <t>FY2022</t>
        </is>
      </c>
      <c r="B21" s="500" t="n"/>
      <c r="C21" s="500" t="n"/>
      <c r="D21" s="500" t="n"/>
      <c r="E21" s="500" t="n"/>
      <c r="F21" s="500" t="n"/>
      <c r="G21" s="500" t="n"/>
      <c r="H21" s="500" t="n"/>
      <c r="I21" s="500" t="n"/>
      <c r="J21" s="500" t="n"/>
      <c r="K21" s="500" t="n"/>
      <c r="L21" s="500" t="n"/>
      <c r="M21" s="500" t="n"/>
      <c r="N21" s="493">
        <f>SUM(B21:M21)</f>
        <v/>
      </c>
      <c r="O21">
        <f>COUNT(B21:M21)</f>
        <v/>
      </c>
    </row>
    <row r="22">
      <c r="A22" t="inlineStr">
        <is>
          <t>FY2023</t>
        </is>
      </c>
      <c r="B22" s="500" t="n">
        <v>219212758.4600001</v>
      </c>
      <c r="C22" s="500" t="n">
        <v>234864178.07</v>
      </c>
      <c r="D22" s="500" t="n">
        <v>233647453.18</v>
      </c>
      <c r="E22" s="500" t="n">
        <v>227822708.03</v>
      </c>
      <c r="F22" s="500" t="n">
        <v>233815217.49</v>
      </c>
      <c r="G22" s="500" t="n">
        <v>223595053.51</v>
      </c>
      <c r="H22" s="500" t="n">
        <v>233401663.06</v>
      </c>
      <c r="I22" s="500" t="n">
        <v>234444907.56</v>
      </c>
      <c r="J22" s="500" t="n">
        <v>235331858.29</v>
      </c>
      <c r="K22" s="500" t="n">
        <v>242710875.35</v>
      </c>
      <c r="L22" s="500" t="n">
        <v>227526066.49</v>
      </c>
      <c r="M22" s="500" t="n">
        <v>231655963.6400001</v>
      </c>
      <c r="N22" s="493">
        <f>SUM(B22:M22)</f>
        <v/>
      </c>
      <c r="O22">
        <f>COUNT(B22:M22)</f>
        <v/>
      </c>
    </row>
    <row r="23">
      <c r="A23" t="inlineStr">
        <is>
          <t>FY2024</t>
        </is>
      </c>
      <c r="B23" s="500" t="n">
        <v>240817289.43</v>
      </c>
      <c r="C23" s="500" t="n">
        <v>241044892.27</v>
      </c>
      <c r="D23" s="500" t="n">
        <v>226320043.56</v>
      </c>
      <c r="E23" s="500" t="n">
        <v>247907232.54</v>
      </c>
      <c r="F23" s="500" t="n">
        <v>244420075.17</v>
      </c>
      <c r="G23" s="500" t="n">
        <v>236727905.7</v>
      </c>
      <c r="H23" s="500" t="n">
        <v>254168815.1199999</v>
      </c>
      <c r="I23" s="500" t="n">
        <v>242111235.07</v>
      </c>
      <c r="J23" s="500" t="n">
        <v>259613550.7099999</v>
      </c>
      <c r="K23" s="500" t="n">
        <v>242152676.12</v>
      </c>
      <c r="L23" s="500" t="n">
        <v>239925399.37</v>
      </c>
      <c r="M23" s="500" t="n">
        <v>243058769.95</v>
      </c>
      <c r="N23" s="493">
        <f>SUM(B23:M23)</f>
        <v/>
      </c>
      <c r="O23">
        <f>COUNT(B23:M23)</f>
        <v/>
      </c>
    </row>
    <row r="24">
      <c r="A24" t="inlineStr">
        <is>
          <t>FY2025</t>
        </is>
      </c>
      <c r="B24" s="500" t="n">
        <v>253716558.2400001</v>
      </c>
      <c r="C24" s="500" t="n">
        <v>246963141.5000001</v>
      </c>
      <c r="D24" s="500" t="n">
        <v>238907271.16</v>
      </c>
      <c r="E24" s="500" t="n">
        <v>255707896.4299999</v>
      </c>
      <c r="F24" s="500" t="n">
        <v>239166620.2600001</v>
      </c>
      <c r="G24" s="500" t="n">
        <v>271312207.7399999</v>
      </c>
      <c r="H24" s="500" t="n">
        <v>239170629.9700001</v>
      </c>
      <c r="I24" s="500" t="n">
        <v>238700251.4000001</v>
      </c>
      <c r="J24" s="500" t="n">
        <v>268771502.6599998</v>
      </c>
      <c r="K24" s="500" t="n">
        <v>253869044.29</v>
      </c>
      <c r="L24" s="500" t="n">
        <v>232189679.1400001</v>
      </c>
      <c r="M24" s="500" t="n">
        <v>265202763.65</v>
      </c>
      <c r="N24" s="493">
        <f>SUM(B24:M24)</f>
        <v/>
      </c>
      <c r="O24">
        <f>COUNT(B24:M24)</f>
        <v/>
      </c>
    </row>
    <row r="25">
      <c r="A25" t="inlineStr">
        <is>
          <t>FY2026</t>
        </is>
      </c>
      <c r="B25" s="500" t="n">
        <v>262834147.0100001</v>
      </c>
      <c r="C25" s="500" t="n">
        <v>249016241.8</v>
      </c>
      <c r="D25" s="500" t="n">
        <v>262628631.6000001</v>
      </c>
      <c r="E25" s="500" t="n">
        <v>277038784.01</v>
      </c>
      <c r="F25" s="529">
        <f>IFERROR(HLOOKUP("2026년 8월",원본_RAW!$H$4:$BK$20,MATCH("ARB_TOTAL",원본_RAW!$A$4:$A$20,0),FALSE),"")</f>
        <v/>
      </c>
      <c r="G25" s="529">
        <f>IFERROR(HLOOKUP("2026년 9월",원본_RAW!$H$4:$BK$20,MATCH("ARB_TOTAL",원본_RAW!$A$4:$A$20,0),FALSE),"")</f>
        <v/>
      </c>
      <c r="H25" s="529">
        <f>IFERROR(HLOOKUP("2026년 10월",원본_RAW!$H$4:$BK$20,MATCH("ARB_TOTAL",원본_RAW!$A$4:$A$20,0),FALSE),"")</f>
        <v/>
      </c>
      <c r="I25" s="529">
        <f>IFERROR(HLOOKUP("2026년 11월",원본_RAW!$H$4:$BK$20,MATCH("ARB_TOTAL",원본_RAW!$A$4:$A$20,0),FALSE),"")</f>
        <v/>
      </c>
      <c r="J25" s="529">
        <f>IFERROR(HLOOKUP("2026년 12월",원본_RAW!$H$4:$BK$20,MATCH("ARB_TOTAL",원본_RAW!$A$4:$A$20,0),FALSE),"")</f>
        <v/>
      </c>
      <c r="K25" s="529">
        <f>IFERROR(HLOOKUP("2027년 1월",원본_RAW!$H$4:$BK$20,MATCH("ARB_TOTAL",원본_RAW!$A$4:$A$20,0),FALSE),"")</f>
        <v/>
      </c>
      <c r="L25" s="529">
        <f>IFERROR(HLOOKUP("2027년 2월",원본_RAW!$H$4:$BK$20,MATCH("ARB_TOTAL",원본_RAW!$A$4:$A$20,0),FALSE),"")</f>
        <v/>
      </c>
      <c r="M25" s="529">
        <f>IFERROR(HLOOKUP("2027년 3월",원본_RAW!$H$4:$BK$20,MATCH("ARB_TOTAL",원본_RAW!$A$4:$A$20,0),FALSE),"")</f>
        <v/>
      </c>
      <c r="N25" s="493">
        <f>SUM(B25:M25)</f>
        <v/>
      </c>
      <c r="O25">
        <f>COUNT(B25:M25)</f>
        <v/>
      </c>
    </row>
    <row r="26">
      <c r="A26" t="inlineStr">
        <is>
          <t>FY2027</t>
        </is>
      </c>
      <c r="B26" s="529">
        <f>IFERROR(HLOOKUP("2027년 4월",원본_RAW!$H$4:$BK$20,MATCH("ARB_TOTAL",원본_RAW!$A$4:$A$20,0),FALSE),"")</f>
        <v/>
      </c>
      <c r="C26" s="529">
        <f>IFERROR(HLOOKUP("2027년 5월",원본_RAW!$H$4:$BK$20,MATCH("ARB_TOTAL",원본_RAW!$A$4:$A$20,0),FALSE),"")</f>
        <v/>
      </c>
      <c r="D26" s="529">
        <f>IFERROR(HLOOKUP("2027년 6월",원본_RAW!$H$4:$BK$20,MATCH("ARB_TOTAL",원본_RAW!$A$4:$A$20,0),FALSE),"")</f>
        <v/>
      </c>
      <c r="E26" s="529">
        <f>IFERROR(HLOOKUP("2027년 7월",원본_RAW!$H$4:$BK$20,MATCH("ARB_TOTAL",원본_RAW!$A$4:$A$20,0),FALSE),"")</f>
        <v/>
      </c>
      <c r="F26" s="529">
        <f>IFERROR(HLOOKUP("2027년 8월",원본_RAW!$H$4:$BK$20,MATCH("ARB_TOTAL",원본_RAW!$A$4:$A$20,0),FALSE),"")</f>
        <v/>
      </c>
      <c r="G26" s="529">
        <f>IFERROR(HLOOKUP("2027년 9월",원본_RAW!$H$4:$BK$20,MATCH("ARB_TOTAL",원본_RAW!$A$4:$A$20,0),FALSE),"")</f>
        <v/>
      </c>
      <c r="H26" s="529">
        <f>IFERROR(HLOOKUP("2027년 10월",원본_RAW!$H$4:$BK$20,MATCH("ARB_TOTAL",원본_RAW!$A$4:$A$20,0),FALSE),"")</f>
        <v/>
      </c>
      <c r="I26" s="529">
        <f>IFERROR(HLOOKUP("2027년 11월",원본_RAW!$H$4:$BK$20,MATCH("ARB_TOTAL",원본_RAW!$A$4:$A$20,0),FALSE),"")</f>
        <v/>
      </c>
      <c r="J26" s="529">
        <f>IFERROR(HLOOKUP("2027년 12월",원본_RAW!$H$4:$BK$20,MATCH("ARB_TOTAL",원본_RAW!$A$4:$A$20,0),FALSE),"")</f>
        <v/>
      </c>
      <c r="K26" s="529">
        <f>IFERROR(HLOOKUP("2028년 1월",원본_RAW!$H$4:$BK$20,MATCH("ARB_TOTAL",원본_RAW!$A$4:$A$20,0),FALSE),"")</f>
        <v/>
      </c>
      <c r="L26" s="529">
        <f>IFERROR(HLOOKUP("2028년 2월",원본_RAW!$H$4:$BK$20,MATCH("ARB_TOTAL",원본_RAW!$A$4:$A$20,0),FALSE),"")</f>
        <v/>
      </c>
      <c r="M26" s="529">
        <f>IFERROR(HLOOKUP("2028년 3월",원본_RAW!$H$4:$BK$20,MATCH("ARB_TOTAL",원본_RAW!$A$4:$A$20,0),FALSE),"")</f>
        <v/>
      </c>
      <c r="N26" s="493">
        <f>SUM(B26:M26)</f>
        <v/>
      </c>
      <c r="O26">
        <f>COUNT(B26:M26)</f>
        <v/>
      </c>
    </row>
    <row r="27">
      <c r="A27" t="inlineStr">
        <is>
          <t>FY2028</t>
        </is>
      </c>
      <c r="B27" s="529">
        <f>IFERROR(HLOOKUP("2028년 4월",원본_RAW!$H$4:$BK$20,MATCH("ARB_TOTAL",원본_RAW!$A$4:$A$20,0),FALSE),"")</f>
        <v/>
      </c>
      <c r="C27" s="529">
        <f>IFERROR(HLOOKUP("2028년 5월",원본_RAW!$H$4:$BK$20,MATCH("ARB_TOTAL",원본_RAW!$A$4:$A$20,0),FALSE),"")</f>
        <v/>
      </c>
      <c r="D27" s="529">
        <f>IFERROR(HLOOKUP("2028년 6월",원본_RAW!$H$4:$BK$20,MATCH("ARB_TOTAL",원본_RAW!$A$4:$A$20,0),FALSE),"")</f>
        <v/>
      </c>
      <c r="E27" s="529">
        <f>IFERROR(HLOOKUP("2028년 7월",원본_RAW!$H$4:$BK$20,MATCH("ARB_TOTAL",원본_RAW!$A$4:$A$20,0),FALSE),"")</f>
        <v/>
      </c>
      <c r="F27" s="529">
        <f>IFERROR(HLOOKUP("2028년 8월",원본_RAW!$H$4:$BK$20,MATCH("ARB_TOTAL",원본_RAW!$A$4:$A$20,0),FALSE),"")</f>
        <v/>
      </c>
      <c r="G27" s="529">
        <f>IFERROR(HLOOKUP("2028년 9월",원본_RAW!$H$4:$BK$20,MATCH("ARB_TOTAL",원본_RAW!$A$4:$A$20,0),FALSE),"")</f>
        <v/>
      </c>
      <c r="H27" s="529">
        <f>IFERROR(HLOOKUP("2028년 10월",원본_RAW!$H$4:$BK$20,MATCH("ARB_TOTAL",원본_RAW!$A$4:$A$20,0),FALSE),"")</f>
        <v/>
      </c>
      <c r="I27" s="529">
        <f>IFERROR(HLOOKUP("2028년 11월",원본_RAW!$H$4:$BK$20,MATCH("ARB_TOTAL",원본_RAW!$A$4:$A$20,0),FALSE),"")</f>
        <v/>
      </c>
      <c r="J27" s="529">
        <f>IFERROR(HLOOKUP("2028년 12월",원본_RAW!$H$4:$BK$20,MATCH("ARB_TOTAL",원본_RAW!$A$4:$A$20,0),FALSE),"")</f>
        <v/>
      </c>
      <c r="K27" s="529">
        <f>IFERROR(HLOOKUP("2029년 1월",원본_RAW!$H$4:$BK$20,MATCH("ARB_TOTAL",원본_RAW!$A$4:$A$20,0),FALSE),"")</f>
        <v/>
      </c>
      <c r="L27" s="529">
        <f>IFERROR(HLOOKUP("2029년 2월",원본_RAW!$H$4:$BK$20,MATCH("ARB_TOTAL",원본_RAW!$A$4:$A$20,0),FALSE),"")</f>
        <v/>
      </c>
      <c r="M27" s="529">
        <f>IFERROR(HLOOKUP("2029년 3월",원본_RAW!$H$4:$BK$20,MATCH("ARB_TOTAL",원본_RAW!$A$4:$A$20,0),FALSE),"")</f>
        <v/>
      </c>
      <c r="N27" s="493">
        <f>SUM(B27:M27)</f>
        <v/>
      </c>
      <c r="O27">
        <f>COUNT(B27:M27)</f>
        <v/>
      </c>
    </row>
    <row r="28">
      <c r="A28" t="inlineStr">
        <is>
          <t>FY2029</t>
        </is>
      </c>
      <c r="B28" s="529">
        <f>IFERROR(HLOOKUP("2029년 4월",원본_RAW!$H$4:$BK$20,MATCH("ARB_TOTAL",원본_RAW!$A$4:$A$20,0),FALSE),"")</f>
        <v/>
      </c>
      <c r="C28" s="529">
        <f>IFERROR(HLOOKUP("2029년 5월",원본_RAW!$H$4:$BK$20,MATCH("ARB_TOTAL",원본_RAW!$A$4:$A$20,0),FALSE),"")</f>
        <v/>
      </c>
      <c r="D28" s="529">
        <f>IFERROR(HLOOKUP("2029년 6월",원본_RAW!$H$4:$BK$20,MATCH("ARB_TOTAL",원본_RAW!$A$4:$A$20,0),FALSE),"")</f>
        <v/>
      </c>
      <c r="E28" s="529">
        <f>IFERROR(HLOOKUP("2029년 7월",원본_RAW!$H$4:$BK$20,MATCH("ARB_TOTAL",원본_RAW!$A$4:$A$20,0),FALSE),"")</f>
        <v/>
      </c>
      <c r="F28" s="529">
        <f>IFERROR(HLOOKUP("2029년 8월",원본_RAW!$H$4:$BK$20,MATCH("ARB_TOTAL",원본_RAW!$A$4:$A$20,0),FALSE),"")</f>
        <v/>
      </c>
      <c r="G28" s="529">
        <f>IFERROR(HLOOKUP("2029년 9월",원본_RAW!$H$4:$BK$20,MATCH("ARB_TOTAL",원본_RAW!$A$4:$A$20,0),FALSE),"")</f>
        <v/>
      </c>
      <c r="H28" s="529">
        <f>IFERROR(HLOOKUP("2029년 10월",원본_RAW!$H$4:$BK$20,MATCH("ARB_TOTAL",원본_RAW!$A$4:$A$20,0),FALSE),"")</f>
        <v/>
      </c>
      <c r="I28" s="529">
        <f>IFERROR(HLOOKUP("2029년 11월",원본_RAW!$H$4:$BK$20,MATCH("ARB_TOTAL",원본_RAW!$A$4:$A$20,0),FALSE),"")</f>
        <v/>
      </c>
      <c r="J28" s="529">
        <f>IFERROR(HLOOKUP("2029년 12월",원본_RAW!$H$4:$BK$20,MATCH("ARB_TOTAL",원본_RAW!$A$4:$A$20,0),FALSE),"")</f>
        <v/>
      </c>
      <c r="K28" s="529">
        <f>IFERROR(HLOOKUP("2030년 1월",원본_RAW!$H$4:$BK$20,MATCH("ARB_TOTAL",원본_RAW!$A$4:$A$20,0),FALSE),"")</f>
        <v/>
      </c>
      <c r="L28" s="529">
        <f>IFERROR(HLOOKUP("2030년 2월",원본_RAW!$H$4:$BK$20,MATCH("ARB_TOTAL",원본_RAW!$A$4:$A$20,0),FALSE),"")</f>
        <v/>
      </c>
      <c r="M28" s="529">
        <f>IFERROR(HLOOKUP("2030년 3월",원본_RAW!$H$4:$BK$20,MATCH("ARB_TOTAL",원본_RAW!$A$4:$A$20,0),FALSE),"")</f>
        <v/>
      </c>
      <c r="N28" s="493">
        <f>SUM(B28:M28)</f>
        <v/>
      </c>
      <c r="O28">
        <f>COUNT(B28:M28)</f>
        <v/>
      </c>
    </row>
    <row r="29">
      <c r="A29" t="inlineStr">
        <is>
          <t>FY2030</t>
        </is>
      </c>
      <c r="B29" s="529">
        <f>IFERROR(HLOOKUP("2030년 4월",원본_RAW!$H$4:$BK$20,MATCH("ARB_TOTAL",원본_RAW!$A$4:$A$20,0),FALSE),"")</f>
        <v/>
      </c>
      <c r="C29" s="529">
        <f>IFERROR(HLOOKUP("2030년 5월",원본_RAW!$H$4:$BK$20,MATCH("ARB_TOTAL",원본_RAW!$A$4:$A$20,0),FALSE),"")</f>
        <v/>
      </c>
      <c r="D29" s="529">
        <f>IFERROR(HLOOKUP("2030년 6월",원본_RAW!$H$4:$BK$20,MATCH("ARB_TOTAL",원본_RAW!$A$4:$A$20,0),FALSE),"")</f>
        <v/>
      </c>
      <c r="E29" s="529">
        <f>IFERROR(HLOOKUP("2030년 7월",원본_RAW!$H$4:$BK$20,MATCH("ARB_TOTAL",원본_RAW!$A$4:$A$20,0),FALSE),"")</f>
        <v/>
      </c>
      <c r="F29" s="529">
        <f>IFERROR(HLOOKUP("2030년 8월",원본_RAW!$H$4:$BK$20,MATCH("ARB_TOTAL",원본_RAW!$A$4:$A$20,0),FALSE),"")</f>
        <v/>
      </c>
      <c r="G29" s="529">
        <f>IFERROR(HLOOKUP("2030년 9월",원본_RAW!$H$4:$BK$20,MATCH("ARB_TOTAL",원본_RAW!$A$4:$A$20,0),FALSE),"")</f>
        <v/>
      </c>
      <c r="H29" s="529">
        <f>IFERROR(HLOOKUP("2030년 10월",원본_RAW!$H$4:$BK$20,MATCH("ARB_TOTAL",원본_RAW!$A$4:$A$20,0),FALSE),"")</f>
        <v/>
      </c>
      <c r="I29" s="529">
        <f>IFERROR(HLOOKUP("2030년 11월",원본_RAW!$H$4:$BK$20,MATCH("ARB_TOTAL",원본_RAW!$A$4:$A$20,0),FALSE),"")</f>
        <v/>
      </c>
      <c r="J29" s="529">
        <f>IFERROR(HLOOKUP("2030년 12월",원본_RAW!$H$4:$BK$20,MATCH("ARB_TOTAL",원본_RAW!$A$4:$A$20,0),FALSE),"")</f>
        <v/>
      </c>
      <c r="K29" s="529">
        <f>IFERROR(HLOOKUP("2031년 1월",원본_RAW!$H$4:$BK$20,MATCH("ARB_TOTAL",원본_RAW!$A$4:$A$20,0),FALSE),"")</f>
        <v/>
      </c>
      <c r="L29" s="529">
        <f>IFERROR(HLOOKUP("2031년 2월",원본_RAW!$H$4:$BK$20,MATCH("ARB_TOTAL",원본_RAW!$A$4:$A$20,0),FALSE),"")</f>
        <v/>
      </c>
      <c r="M29" s="529">
        <f>IFERROR(HLOOKUP("2031년 3월",원본_RAW!$H$4:$BK$20,MATCH("ARB_TOTAL",원본_RAW!$A$4:$A$20,0),FALSE),"")</f>
        <v/>
      </c>
      <c r="N29" s="493">
        <f>SUM(B29:M29)</f>
        <v/>
      </c>
      <c r="O29">
        <f>COUNT(B29:M29)</f>
        <v/>
      </c>
    </row>
    <row r="31">
      <c r="A31" s="526" t="inlineStr">
        <is>
          <t>■ B. ARB+CCB+DU 복합제 시장 처방량 (DOT)  — HP+GP 합계는 하단 H블록</t>
        </is>
      </c>
    </row>
    <row r="32">
      <c r="A32" s="527" t="inlineStr">
        <is>
          <t>[HP] FY ＼ 월</t>
        </is>
      </c>
      <c r="B32" s="528" t="inlineStr">
        <is>
          <t>4월</t>
        </is>
      </c>
      <c r="C32" s="528" t="inlineStr">
        <is>
          <t>5월</t>
        </is>
      </c>
      <c r="D32" s="528" t="inlineStr">
        <is>
          <t>6월</t>
        </is>
      </c>
      <c r="E32" s="528" t="inlineStr">
        <is>
          <t>7월</t>
        </is>
      </c>
      <c r="F32" s="528" t="inlineStr">
        <is>
          <t>8월</t>
        </is>
      </c>
      <c r="G32" s="528" t="inlineStr">
        <is>
          <t>9월</t>
        </is>
      </c>
      <c r="H32" s="528" t="inlineStr">
        <is>
          <t>10월</t>
        </is>
      </c>
      <c r="I32" s="528" t="inlineStr">
        <is>
          <t>11월</t>
        </is>
      </c>
      <c r="J32" s="528" t="inlineStr">
        <is>
          <t>12월</t>
        </is>
      </c>
      <c r="K32" s="528" t="inlineStr">
        <is>
          <t>1월</t>
        </is>
      </c>
      <c r="L32" s="528" t="inlineStr">
        <is>
          <t>2월</t>
        </is>
      </c>
      <c r="M32" s="528" t="inlineStr">
        <is>
          <t>3월</t>
        </is>
      </c>
      <c r="N32" s="527" t="inlineStr">
        <is>
          <t>FY 합계</t>
        </is>
      </c>
      <c r="O32" s="527" t="inlineStr">
        <is>
          <t>실측월수</t>
        </is>
      </c>
    </row>
    <row r="33">
      <c r="A33" t="inlineStr">
        <is>
          <t>FY2018</t>
        </is>
      </c>
      <c r="B33" s="500" t="n"/>
      <c r="C33" s="500" t="n"/>
      <c r="D33" s="500" t="n"/>
      <c r="E33" s="500" t="n"/>
      <c r="F33" s="500" t="n"/>
      <c r="G33" s="500" t="n"/>
      <c r="H33" s="500" t="n"/>
      <c r="I33" s="500" t="n"/>
      <c r="J33" s="500" t="n"/>
      <c r="K33" s="500" t="n"/>
      <c r="L33" s="500" t="n"/>
      <c r="M33" s="500" t="n"/>
      <c r="N33" s="493">
        <f>SUM(B33:M33)</f>
        <v/>
      </c>
      <c r="O33">
        <f>COUNT(B33:M33)</f>
        <v/>
      </c>
    </row>
    <row r="34">
      <c r="A34" t="inlineStr">
        <is>
          <t>FY2019</t>
        </is>
      </c>
      <c r="B34" s="500" t="n"/>
      <c r="C34" s="500" t="n"/>
      <c r="D34" s="500" t="n"/>
      <c r="E34" s="500" t="n"/>
      <c r="F34" s="500" t="n"/>
      <c r="G34" s="500" t="n"/>
      <c r="H34" s="500" t="n"/>
      <c r="I34" s="500" t="n"/>
      <c r="J34" s="500" t="n"/>
      <c r="K34" s="500" t="n"/>
      <c r="L34" s="500" t="n"/>
      <c r="M34" s="500" t="n"/>
      <c r="N34" s="493">
        <f>SUM(B34:M34)</f>
        <v/>
      </c>
      <c r="O34">
        <f>COUNT(B34:M34)</f>
        <v/>
      </c>
    </row>
    <row r="35">
      <c r="A35" t="inlineStr">
        <is>
          <t>FY2020</t>
        </is>
      </c>
      <c r="B35" s="500" t="n"/>
      <c r="C35" s="500" t="n"/>
      <c r="D35" s="500" t="n"/>
      <c r="E35" s="500" t="n"/>
      <c r="F35" s="500" t="n"/>
      <c r="G35" s="500" t="n"/>
      <c r="H35" s="500" t="n"/>
      <c r="I35" s="500" t="n"/>
      <c r="J35" s="500" t="n"/>
      <c r="K35" s="500" t="n"/>
      <c r="L35" s="500" t="n"/>
      <c r="M35" s="500" t="n"/>
      <c r="N35" s="493">
        <f>SUM(B35:M35)</f>
        <v/>
      </c>
      <c r="O35">
        <f>COUNT(B35:M35)</f>
        <v/>
      </c>
    </row>
    <row r="36">
      <c r="A36" t="inlineStr">
        <is>
          <t>FY2021</t>
        </is>
      </c>
      <c r="B36" s="500" t="n"/>
      <c r="C36" s="500" t="n"/>
      <c r="D36" s="500" t="n"/>
      <c r="E36" s="500" t="n"/>
      <c r="F36" s="500" t="n"/>
      <c r="G36" s="500" t="n"/>
      <c r="H36" s="500" t="n"/>
      <c r="I36" s="500" t="n"/>
      <c r="J36" s="500" t="n"/>
      <c r="K36" s="500" t="n"/>
      <c r="L36" s="500" t="n"/>
      <c r="M36" s="500" t="n"/>
      <c r="N36" s="493">
        <f>SUM(B36:M36)</f>
        <v/>
      </c>
      <c r="O36">
        <f>COUNT(B36:M36)</f>
        <v/>
      </c>
    </row>
    <row r="37">
      <c r="A37" t="inlineStr">
        <is>
          <t>FY2022</t>
        </is>
      </c>
      <c r="B37" s="500" t="n"/>
      <c r="C37" s="500" t="n"/>
      <c r="D37" s="500" t="n"/>
      <c r="E37" s="500" t="n"/>
      <c r="F37" s="500" t="n"/>
      <c r="G37" s="500" t="n"/>
      <c r="H37" s="500" t="n"/>
      <c r="I37" s="500" t="n"/>
      <c r="J37" s="500" t="n"/>
      <c r="K37" s="500" t="n"/>
      <c r="L37" s="500" t="n"/>
      <c r="M37" s="500" t="n"/>
      <c r="N37" s="493">
        <f>SUM(B37:M37)</f>
        <v/>
      </c>
      <c r="O37">
        <f>COUNT(B37:M37)</f>
        <v/>
      </c>
    </row>
    <row r="38">
      <c r="A38" t="inlineStr">
        <is>
          <t>FY2023</t>
        </is>
      </c>
      <c r="B38" s="500" t="n"/>
      <c r="C38" s="500" t="n"/>
      <c r="D38" s="500" t="n"/>
      <c r="E38" s="500" t="n"/>
      <c r="F38" s="500" t="n"/>
      <c r="G38" s="500" t="n"/>
      <c r="H38" s="500" t="n"/>
      <c r="I38" s="500" t="n"/>
      <c r="J38" s="500" t="n"/>
      <c r="K38" s="500" t="n"/>
      <c r="L38" s="500" t="n"/>
      <c r="M38" s="500" t="n"/>
      <c r="N38" s="493">
        <f>SUM(B38:M38)</f>
        <v/>
      </c>
      <c r="O38">
        <f>COUNT(B38:M38)</f>
        <v/>
      </c>
    </row>
    <row r="39">
      <c r="A39" t="inlineStr">
        <is>
          <t>FY2024</t>
        </is>
      </c>
      <c r="B39" s="500" t="n"/>
      <c r="C39" s="500" t="n"/>
      <c r="D39" s="500" t="n"/>
      <c r="E39" s="500" t="n"/>
      <c r="F39" s="500" t="n"/>
      <c r="G39" s="500" t="n"/>
      <c r="H39" s="500" t="n"/>
      <c r="I39" s="500" t="n"/>
      <c r="J39" s="500" t="n"/>
      <c r="K39" s="500" t="n"/>
      <c r="L39" s="500" t="n"/>
      <c r="M39" s="500" t="n"/>
      <c r="N39" s="493">
        <f>SUM(B39:M39)</f>
        <v/>
      </c>
      <c r="O39">
        <f>COUNT(B39:M39)</f>
        <v/>
      </c>
    </row>
    <row r="40">
      <c r="A40" t="inlineStr">
        <is>
          <t>FY2025</t>
        </is>
      </c>
      <c r="B40" s="500" t="n"/>
      <c r="C40" s="500" t="n"/>
      <c r="D40" s="500" t="n"/>
      <c r="E40" s="500" t="n"/>
      <c r="F40" s="500" t="n"/>
      <c r="G40" s="500" t="n"/>
      <c r="H40" s="500" t="n"/>
      <c r="I40" s="500" t="n"/>
      <c r="J40" s="500" t="n"/>
      <c r="K40" s="500" t="n"/>
      <c r="L40" s="500" t="n"/>
      <c r="M40" s="500" t="n"/>
      <c r="N40" s="493">
        <f>SUM(B40:M40)</f>
        <v/>
      </c>
      <c r="O40">
        <f>COUNT(B40:M40)</f>
        <v/>
      </c>
    </row>
    <row r="41">
      <c r="A41" t="inlineStr">
        <is>
          <t>FY2026</t>
        </is>
      </c>
      <c r="B41" s="529">
        <f>IFERROR(HLOOKUP("2026년 4월",원본_RAW!$H$4:$BK$20,MATCH("ARBCCBDU_HP",원본_RAW!$A$4:$A$20,0),FALSE),"")</f>
        <v/>
      </c>
      <c r="C41" s="529">
        <f>IFERROR(HLOOKUP("2026년 5월",원본_RAW!$H$4:$BK$20,MATCH("ARBCCBDU_HP",원본_RAW!$A$4:$A$20,0),FALSE),"")</f>
        <v/>
      </c>
      <c r="D41" s="529">
        <f>IFERROR(HLOOKUP("2026년 6월",원본_RAW!$H$4:$BK$20,MATCH("ARBCCBDU_HP",원본_RAW!$A$4:$A$20,0),FALSE),"")</f>
        <v/>
      </c>
      <c r="E41" s="529">
        <f>IFERROR(HLOOKUP("2026년 7월",원본_RAW!$H$4:$BK$20,MATCH("ARBCCBDU_HP",원본_RAW!$A$4:$A$20,0),FALSE),"")</f>
        <v/>
      </c>
      <c r="F41" s="529">
        <f>IFERROR(HLOOKUP("2026년 8월",원본_RAW!$H$4:$BK$20,MATCH("ARBCCBDU_HP",원본_RAW!$A$4:$A$20,0),FALSE),"")</f>
        <v/>
      </c>
      <c r="G41" s="529">
        <f>IFERROR(HLOOKUP("2026년 9월",원본_RAW!$H$4:$BK$20,MATCH("ARBCCBDU_HP",원본_RAW!$A$4:$A$20,0),FALSE),"")</f>
        <v/>
      </c>
      <c r="H41" s="529">
        <f>IFERROR(HLOOKUP("2026년 10월",원본_RAW!$H$4:$BK$20,MATCH("ARBCCBDU_HP",원본_RAW!$A$4:$A$20,0),FALSE),"")</f>
        <v/>
      </c>
      <c r="I41" s="529">
        <f>IFERROR(HLOOKUP("2026년 11월",원본_RAW!$H$4:$BK$20,MATCH("ARBCCBDU_HP",원본_RAW!$A$4:$A$20,0),FALSE),"")</f>
        <v/>
      </c>
      <c r="J41" s="529">
        <f>IFERROR(HLOOKUP("2026년 12월",원본_RAW!$H$4:$BK$20,MATCH("ARBCCBDU_HP",원본_RAW!$A$4:$A$20,0),FALSE),"")</f>
        <v/>
      </c>
      <c r="K41" s="529">
        <f>IFERROR(HLOOKUP("2027년 1월",원본_RAW!$H$4:$BK$20,MATCH("ARBCCBDU_HP",원본_RAW!$A$4:$A$20,0),FALSE),"")</f>
        <v/>
      </c>
      <c r="L41" s="529">
        <f>IFERROR(HLOOKUP("2027년 2월",원본_RAW!$H$4:$BK$20,MATCH("ARBCCBDU_HP",원본_RAW!$A$4:$A$20,0),FALSE),"")</f>
        <v/>
      </c>
      <c r="M41" s="529">
        <f>IFERROR(HLOOKUP("2027년 3월",원본_RAW!$H$4:$BK$20,MATCH("ARBCCBDU_HP",원본_RAW!$A$4:$A$20,0),FALSE),"")</f>
        <v/>
      </c>
      <c r="N41" s="493">
        <f>SUM(B41:M41)</f>
        <v/>
      </c>
      <c r="O41">
        <f>COUNT(B41:M41)</f>
        <v/>
      </c>
    </row>
    <row r="42">
      <c r="A42" t="inlineStr">
        <is>
          <t>FY2027</t>
        </is>
      </c>
      <c r="B42" s="529">
        <f>IFERROR(HLOOKUP("2027년 4월",원본_RAW!$H$4:$BK$20,MATCH("ARBCCBDU_HP",원본_RAW!$A$4:$A$20,0),FALSE),"")</f>
        <v/>
      </c>
      <c r="C42" s="529">
        <f>IFERROR(HLOOKUP("2027년 5월",원본_RAW!$H$4:$BK$20,MATCH("ARBCCBDU_HP",원본_RAW!$A$4:$A$20,0),FALSE),"")</f>
        <v/>
      </c>
      <c r="D42" s="529">
        <f>IFERROR(HLOOKUP("2027년 6월",원본_RAW!$H$4:$BK$20,MATCH("ARBCCBDU_HP",원본_RAW!$A$4:$A$20,0),FALSE),"")</f>
        <v/>
      </c>
      <c r="E42" s="529">
        <f>IFERROR(HLOOKUP("2027년 7월",원본_RAW!$H$4:$BK$20,MATCH("ARBCCBDU_HP",원본_RAW!$A$4:$A$20,0),FALSE),"")</f>
        <v/>
      </c>
      <c r="F42" s="529">
        <f>IFERROR(HLOOKUP("2027년 8월",원본_RAW!$H$4:$BK$20,MATCH("ARBCCBDU_HP",원본_RAW!$A$4:$A$20,0),FALSE),"")</f>
        <v/>
      </c>
      <c r="G42" s="529">
        <f>IFERROR(HLOOKUP("2027년 9월",원본_RAW!$H$4:$BK$20,MATCH("ARBCCBDU_HP",원본_RAW!$A$4:$A$20,0),FALSE),"")</f>
        <v/>
      </c>
      <c r="H42" s="529">
        <f>IFERROR(HLOOKUP("2027년 10월",원본_RAW!$H$4:$BK$20,MATCH("ARBCCBDU_HP",원본_RAW!$A$4:$A$20,0),FALSE),"")</f>
        <v/>
      </c>
      <c r="I42" s="529">
        <f>IFERROR(HLOOKUP("2027년 11월",원본_RAW!$H$4:$BK$20,MATCH("ARBCCBDU_HP",원본_RAW!$A$4:$A$20,0),FALSE),"")</f>
        <v/>
      </c>
      <c r="J42" s="529">
        <f>IFERROR(HLOOKUP("2027년 12월",원본_RAW!$H$4:$BK$20,MATCH("ARBCCBDU_HP",원본_RAW!$A$4:$A$20,0),FALSE),"")</f>
        <v/>
      </c>
      <c r="K42" s="529">
        <f>IFERROR(HLOOKUP("2028년 1월",원본_RAW!$H$4:$BK$20,MATCH("ARBCCBDU_HP",원본_RAW!$A$4:$A$20,0),FALSE),"")</f>
        <v/>
      </c>
      <c r="L42" s="529">
        <f>IFERROR(HLOOKUP("2028년 2월",원본_RAW!$H$4:$BK$20,MATCH("ARBCCBDU_HP",원본_RAW!$A$4:$A$20,0),FALSE),"")</f>
        <v/>
      </c>
      <c r="M42" s="529">
        <f>IFERROR(HLOOKUP("2028년 3월",원본_RAW!$H$4:$BK$20,MATCH("ARBCCBDU_HP",원본_RAW!$A$4:$A$20,0),FALSE),"")</f>
        <v/>
      </c>
      <c r="N42" s="493">
        <f>SUM(B42:M42)</f>
        <v/>
      </c>
      <c r="O42">
        <f>COUNT(B42:M42)</f>
        <v/>
      </c>
    </row>
    <row r="43">
      <c r="A43" t="inlineStr">
        <is>
          <t>FY2028</t>
        </is>
      </c>
      <c r="B43" s="529">
        <f>IFERROR(HLOOKUP("2028년 4월",원본_RAW!$H$4:$BK$20,MATCH("ARBCCBDU_HP",원본_RAW!$A$4:$A$20,0),FALSE),"")</f>
        <v/>
      </c>
      <c r="C43" s="529">
        <f>IFERROR(HLOOKUP("2028년 5월",원본_RAW!$H$4:$BK$20,MATCH("ARBCCBDU_HP",원본_RAW!$A$4:$A$20,0),FALSE),"")</f>
        <v/>
      </c>
      <c r="D43" s="529">
        <f>IFERROR(HLOOKUP("2028년 6월",원본_RAW!$H$4:$BK$20,MATCH("ARBCCBDU_HP",원본_RAW!$A$4:$A$20,0),FALSE),"")</f>
        <v/>
      </c>
      <c r="E43" s="529">
        <f>IFERROR(HLOOKUP("2028년 7월",원본_RAW!$H$4:$BK$20,MATCH("ARBCCBDU_HP",원본_RAW!$A$4:$A$20,0),FALSE),"")</f>
        <v/>
      </c>
      <c r="F43" s="529">
        <f>IFERROR(HLOOKUP("2028년 8월",원본_RAW!$H$4:$BK$20,MATCH("ARBCCBDU_HP",원본_RAW!$A$4:$A$20,0),FALSE),"")</f>
        <v/>
      </c>
      <c r="G43" s="529">
        <f>IFERROR(HLOOKUP("2028년 9월",원본_RAW!$H$4:$BK$20,MATCH("ARBCCBDU_HP",원본_RAW!$A$4:$A$20,0),FALSE),"")</f>
        <v/>
      </c>
      <c r="H43" s="529">
        <f>IFERROR(HLOOKUP("2028년 10월",원본_RAW!$H$4:$BK$20,MATCH("ARBCCBDU_HP",원본_RAW!$A$4:$A$20,0),FALSE),"")</f>
        <v/>
      </c>
      <c r="I43" s="529">
        <f>IFERROR(HLOOKUP("2028년 11월",원본_RAW!$H$4:$BK$20,MATCH("ARBCCBDU_HP",원본_RAW!$A$4:$A$20,0),FALSE),"")</f>
        <v/>
      </c>
      <c r="J43" s="529">
        <f>IFERROR(HLOOKUP("2028년 12월",원본_RAW!$H$4:$BK$20,MATCH("ARBCCBDU_HP",원본_RAW!$A$4:$A$20,0),FALSE),"")</f>
        <v/>
      </c>
      <c r="K43" s="529">
        <f>IFERROR(HLOOKUP("2029년 1월",원본_RAW!$H$4:$BK$20,MATCH("ARBCCBDU_HP",원본_RAW!$A$4:$A$20,0),FALSE),"")</f>
        <v/>
      </c>
      <c r="L43" s="529">
        <f>IFERROR(HLOOKUP("2029년 2월",원본_RAW!$H$4:$BK$20,MATCH("ARBCCBDU_HP",원본_RAW!$A$4:$A$20,0),FALSE),"")</f>
        <v/>
      </c>
      <c r="M43" s="529">
        <f>IFERROR(HLOOKUP("2029년 3월",원본_RAW!$H$4:$BK$20,MATCH("ARBCCBDU_HP",원본_RAW!$A$4:$A$20,0),FALSE),"")</f>
        <v/>
      </c>
      <c r="N43" s="493">
        <f>SUM(B43:M43)</f>
        <v/>
      </c>
      <c r="O43">
        <f>COUNT(B43:M43)</f>
        <v/>
      </c>
    </row>
    <row r="44">
      <c r="A44" t="inlineStr">
        <is>
          <t>FY2029</t>
        </is>
      </c>
      <c r="B44" s="529">
        <f>IFERROR(HLOOKUP("2029년 4월",원본_RAW!$H$4:$BK$20,MATCH("ARBCCBDU_HP",원본_RAW!$A$4:$A$20,0),FALSE),"")</f>
        <v/>
      </c>
      <c r="C44" s="529">
        <f>IFERROR(HLOOKUP("2029년 5월",원본_RAW!$H$4:$BK$20,MATCH("ARBCCBDU_HP",원본_RAW!$A$4:$A$20,0),FALSE),"")</f>
        <v/>
      </c>
      <c r="D44" s="529">
        <f>IFERROR(HLOOKUP("2029년 6월",원본_RAW!$H$4:$BK$20,MATCH("ARBCCBDU_HP",원본_RAW!$A$4:$A$20,0),FALSE),"")</f>
        <v/>
      </c>
      <c r="E44" s="529">
        <f>IFERROR(HLOOKUP("2029년 7월",원본_RAW!$H$4:$BK$20,MATCH("ARBCCBDU_HP",원본_RAW!$A$4:$A$20,0),FALSE),"")</f>
        <v/>
      </c>
      <c r="F44" s="529">
        <f>IFERROR(HLOOKUP("2029년 8월",원본_RAW!$H$4:$BK$20,MATCH("ARBCCBDU_HP",원본_RAW!$A$4:$A$20,0),FALSE),"")</f>
        <v/>
      </c>
      <c r="G44" s="529">
        <f>IFERROR(HLOOKUP("2029년 9월",원본_RAW!$H$4:$BK$20,MATCH("ARBCCBDU_HP",원본_RAW!$A$4:$A$20,0),FALSE),"")</f>
        <v/>
      </c>
      <c r="H44" s="529">
        <f>IFERROR(HLOOKUP("2029년 10월",원본_RAW!$H$4:$BK$20,MATCH("ARBCCBDU_HP",원본_RAW!$A$4:$A$20,0),FALSE),"")</f>
        <v/>
      </c>
      <c r="I44" s="529">
        <f>IFERROR(HLOOKUP("2029년 11월",원본_RAW!$H$4:$BK$20,MATCH("ARBCCBDU_HP",원본_RAW!$A$4:$A$20,0),FALSE),"")</f>
        <v/>
      </c>
      <c r="J44" s="529">
        <f>IFERROR(HLOOKUP("2029년 12월",원본_RAW!$H$4:$BK$20,MATCH("ARBCCBDU_HP",원본_RAW!$A$4:$A$20,0),FALSE),"")</f>
        <v/>
      </c>
      <c r="K44" s="529">
        <f>IFERROR(HLOOKUP("2030년 1월",원본_RAW!$H$4:$BK$20,MATCH("ARBCCBDU_HP",원본_RAW!$A$4:$A$20,0),FALSE),"")</f>
        <v/>
      </c>
      <c r="L44" s="529">
        <f>IFERROR(HLOOKUP("2030년 2월",원본_RAW!$H$4:$BK$20,MATCH("ARBCCBDU_HP",원본_RAW!$A$4:$A$20,0),FALSE),"")</f>
        <v/>
      </c>
      <c r="M44" s="529">
        <f>IFERROR(HLOOKUP("2030년 3월",원본_RAW!$H$4:$BK$20,MATCH("ARBCCBDU_HP",원본_RAW!$A$4:$A$20,0),FALSE),"")</f>
        <v/>
      </c>
      <c r="N44" s="493">
        <f>SUM(B44:M44)</f>
        <v/>
      </c>
      <c r="O44">
        <f>COUNT(B44:M44)</f>
        <v/>
      </c>
    </row>
    <row r="45">
      <c r="A45" t="inlineStr">
        <is>
          <t>FY2030</t>
        </is>
      </c>
      <c r="B45" s="529">
        <f>IFERROR(HLOOKUP("2030년 4월",원본_RAW!$H$4:$BK$20,MATCH("ARBCCBDU_HP",원본_RAW!$A$4:$A$20,0),FALSE),"")</f>
        <v/>
      </c>
      <c r="C45" s="529">
        <f>IFERROR(HLOOKUP("2030년 5월",원본_RAW!$H$4:$BK$20,MATCH("ARBCCBDU_HP",원본_RAW!$A$4:$A$20,0),FALSE),"")</f>
        <v/>
      </c>
      <c r="D45" s="529">
        <f>IFERROR(HLOOKUP("2030년 6월",원본_RAW!$H$4:$BK$20,MATCH("ARBCCBDU_HP",원본_RAW!$A$4:$A$20,0),FALSE),"")</f>
        <v/>
      </c>
      <c r="E45" s="529">
        <f>IFERROR(HLOOKUP("2030년 7월",원본_RAW!$H$4:$BK$20,MATCH("ARBCCBDU_HP",원본_RAW!$A$4:$A$20,0),FALSE),"")</f>
        <v/>
      </c>
      <c r="F45" s="529">
        <f>IFERROR(HLOOKUP("2030년 8월",원본_RAW!$H$4:$BK$20,MATCH("ARBCCBDU_HP",원본_RAW!$A$4:$A$20,0),FALSE),"")</f>
        <v/>
      </c>
      <c r="G45" s="529">
        <f>IFERROR(HLOOKUP("2030년 9월",원본_RAW!$H$4:$BK$20,MATCH("ARBCCBDU_HP",원본_RAW!$A$4:$A$20,0),FALSE),"")</f>
        <v/>
      </c>
      <c r="H45" s="529">
        <f>IFERROR(HLOOKUP("2030년 10월",원본_RAW!$H$4:$BK$20,MATCH("ARBCCBDU_HP",원본_RAW!$A$4:$A$20,0),FALSE),"")</f>
        <v/>
      </c>
      <c r="I45" s="529">
        <f>IFERROR(HLOOKUP("2030년 11월",원본_RAW!$H$4:$BK$20,MATCH("ARBCCBDU_HP",원본_RAW!$A$4:$A$20,0),FALSE),"")</f>
        <v/>
      </c>
      <c r="J45" s="529">
        <f>IFERROR(HLOOKUP("2030년 12월",원본_RAW!$H$4:$BK$20,MATCH("ARBCCBDU_HP",원본_RAW!$A$4:$A$20,0),FALSE),"")</f>
        <v/>
      </c>
      <c r="K45" s="529">
        <f>IFERROR(HLOOKUP("2031년 1월",원본_RAW!$H$4:$BK$20,MATCH("ARBCCBDU_HP",원본_RAW!$A$4:$A$20,0),FALSE),"")</f>
        <v/>
      </c>
      <c r="L45" s="529">
        <f>IFERROR(HLOOKUP("2031년 2월",원본_RAW!$H$4:$BK$20,MATCH("ARBCCBDU_HP",원본_RAW!$A$4:$A$20,0),FALSE),"")</f>
        <v/>
      </c>
      <c r="M45" s="529">
        <f>IFERROR(HLOOKUP("2031년 3월",원본_RAW!$H$4:$BK$20,MATCH("ARBCCBDU_HP",원본_RAW!$A$4:$A$20,0),FALSE),"")</f>
        <v/>
      </c>
      <c r="N45" s="493">
        <f>SUM(B45:M45)</f>
        <v/>
      </c>
      <c r="O45">
        <f>COUNT(B45:M45)</f>
        <v/>
      </c>
    </row>
    <row r="47">
      <c r="A47" s="527" t="inlineStr">
        <is>
          <t>[GP] FY ＼ 월</t>
        </is>
      </c>
      <c r="B47" s="528" t="inlineStr">
        <is>
          <t>4월</t>
        </is>
      </c>
      <c r="C47" s="528" t="inlineStr">
        <is>
          <t>5월</t>
        </is>
      </c>
      <c r="D47" s="528" t="inlineStr">
        <is>
          <t>6월</t>
        </is>
      </c>
      <c r="E47" s="528" t="inlineStr">
        <is>
          <t>7월</t>
        </is>
      </c>
      <c r="F47" s="528" t="inlineStr">
        <is>
          <t>8월</t>
        </is>
      </c>
      <c r="G47" s="528" t="inlineStr">
        <is>
          <t>9월</t>
        </is>
      </c>
      <c r="H47" s="528" t="inlineStr">
        <is>
          <t>10월</t>
        </is>
      </c>
      <c r="I47" s="528" t="inlineStr">
        <is>
          <t>11월</t>
        </is>
      </c>
      <c r="J47" s="528" t="inlineStr">
        <is>
          <t>12월</t>
        </is>
      </c>
      <c r="K47" s="528" t="inlineStr">
        <is>
          <t>1월</t>
        </is>
      </c>
      <c r="L47" s="528" t="inlineStr">
        <is>
          <t>2월</t>
        </is>
      </c>
      <c r="M47" s="528" t="inlineStr">
        <is>
          <t>3월</t>
        </is>
      </c>
      <c r="N47" s="527" t="inlineStr">
        <is>
          <t>FY 합계</t>
        </is>
      </c>
      <c r="O47" s="527" t="inlineStr">
        <is>
          <t>실측월수</t>
        </is>
      </c>
    </row>
    <row r="48">
      <c r="A48" t="inlineStr">
        <is>
          <t>FY2018</t>
        </is>
      </c>
      <c r="B48" s="500" t="n"/>
      <c r="C48" s="500" t="n"/>
      <c r="D48" s="500" t="n"/>
      <c r="E48" s="500" t="n"/>
      <c r="F48" s="500" t="n"/>
      <c r="G48" s="500" t="n"/>
      <c r="H48" s="500" t="n"/>
      <c r="I48" s="500" t="n"/>
      <c r="J48" s="500" t="n"/>
      <c r="K48" s="500" t="n"/>
      <c r="L48" s="500" t="n"/>
      <c r="M48" s="500" t="n"/>
      <c r="N48" s="493">
        <f>SUM(B48:M48)</f>
        <v/>
      </c>
      <c r="O48">
        <f>COUNT(B48:M48)</f>
        <v/>
      </c>
    </row>
    <row r="49">
      <c r="A49" t="inlineStr">
        <is>
          <t>FY2019</t>
        </is>
      </c>
      <c r="B49" s="500" t="n"/>
      <c r="C49" s="500" t="n"/>
      <c r="D49" s="500" t="n"/>
      <c r="E49" s="500" t="n"/>
      <c r="F49" s="500" t="n"/>
      <c r="G49" s="500" t="n"/>
      <c r="H49" s="500" t="n"/>
      <c r="I49" s="500" t="n"/>
      <c r="J49" s="500" t="n"/>
      <c r="K49" s="500" t="n"/>
      <c r="L49" s="500" t="n"/>
      <c r="M49" s="500" t="n"/>
      <c r="N49" s="493">
        <f>SUM(B49:M49)</f>
        <v/>
      </c>
      <c r="O49">
        <f>COUNT(B49:M49)</f>
        <v/>
      </c>
    </row>
    <row r="50">
      <c r="A50" t="inlineStr">
        <is>
          <t>FY2020</t>
        </is>
      </c>
      <c r="B50" s="500" t="n"/>
      <c r="C50" s="500" t="n"/>
      <c r="D50" s="500" t="n"/>
      <c r="E50" s="500" t="n"/>
      <c r="F50" s="500" t="n"/>
      <c r="G50" s="500" t="n"/>
      <c r="H50" s="500" t="n"/>
      <c r="I50" s="500" t="n"/>
      <c r="J50" s="500" t="n"/>
      <c r="K50" s="500" t="n"/>
      <c r="L50" s="500" t="n"/>
      <c r="M50" s="500" t="n"/>
      <c r="N50" s="493">
        <f>SUM(B50:M50)</f>
        <v/>
      </c>
      <c r="O50">
        <f>COUNT(B50:M50)</f>
        <v/>
      </c>
    </row>
    <row r="51">
      <c r="A51" t="inlineStr">
        <is>
          <t>FY2021</t>
        </is>
      </c>
      <c r="B51" s="500" t="n"/>
      <c r="C51" s="500" t="n"/>
      <c r="D51" s="500" t="n"/>
      <c r="E51" s="500" t="n"/>
      <c r="F51" s="500" t="n"/>
      <c r="G51" s="500" t="n"/>
      <c r="H51" s="500" t="n"/>
      <c r="I51" s="500" t="n"/>
      <c r="J51" s="500" t="n"/>
      <c r="K51" s="500" t="n"/>
      <c r="L51" s="500" t="n"/>
      <c r="M51" s="500" t="n"/>
      <c r="N51" s="493">
        <f>SUM(B51:M51)</f>
        <v/>
      </c>
      <c r="O51">
        <f>COUNT(B51:M51)</f>
        <v/>
      </c>
    </row>
    <row r="52">
      <c r="A52" t="inlineStr">
        <is>
          <t>FY2022</t>
        </is>
      </c>
      <c r="B52" s="500" t="n"/>
      <c r="C52" s="500" t="n"/>
      <c r="D52" s="500" t="n"/>
      <c r="E52" s="500" t="n"/>
      <c r="F52" s="500" t="n"/>
      <c r="G52" s="500" t="n"/>
      <c r="H52" s="500" t="n"/>
      <c r="I52" s="500" t="n"/>
      <c r="J52" s="500" t="n"/>
      <c r="K52" s="500" t="n"/>
      <c r="L52" s="500" t="n"/>
      <c r="M52" s="500" t="n"/>
      <c r="N52" s="493">
        <f>SUM(B52:M52)</f>
        <v/>
      </c>
      <c r="O52">
        <f>COUNT(B52:M52)</f>
        <v/>
      </c>
    </row>
    <row r="53">
      <c r="A53" t="inlineStr">
        <is>
          <t>FY2023</t>
        </is>
      </c>
      <c r="B53" s="500" t="n"/>
      <c r="C53" s="500" t="n"/>
      <c r="D53" s="500" t="n"/>
      <c r="E53" s="500" t="n"/>
      <c r="F53" s="500" t="n"/>
      <c r="G53" s="500" t="n"/>
      <c r="H53" s="500" t="n"/>
      <c r="I53" s="500" t="n"/>
      <c r="J53" s="500" t="n"/>
      <c r="K53" s="500" t="n"/>
      <c r="L53" s="500" t="n"/>
      <c r="M53" s="500" t="n"/>
      <c r="N53" s="493">
        <f>SUM(B53:M53)</f>
        <v/>
      </c>
      <c r="O53">
        <f>COUNT(B53:M53)</f>
        <v/>
      </c>
    </row>
    <row r="54">
      <c r="A54" t="inlineStr">
        <is>
          <t>FY2024</t>
        </is>
      </c>
      <c r="B54" s="500" t="n"/>
      <c r="C54" s="500" t="n"/>
      <c r="D54" s="500" t="n"/>
      <c r="E54" s="500" t="n"/>
      <c r="F54" s="500" t="n"/>
      <c r="G54" s="500" t="n"/>
      <c r="H54" s="500" t="n"/>
      <c r="I54" s="500" t="n"/>
      <c r="J54" s="500" t="n"/>
      <c r="K54" s="500" t="n"/>
      <c r="L54" s="500" t="n"/>
      <c r="M54" s="500" t="n"/>
      <c r="N54" s="493">
        <f>SUM(B54:M54)</f>
        <v/>
      </c>
      <c r="O54">
        <f>COUNT(B54:M54)</f>
        <v/>
      </c>
    </row>
    <row r="55">
      <c r="A55" t="inlineStr">
        <is>
          <t>FY2025</t>
        </is>
      </c>
      <c r="B55" s="500" t="n"/>
      <c r="C55" s="500" t="n"/>
      <c r="D55" s="500" t="n"/>
      <c r="E55" s="500" t="n"/>
      <c r="F55" s="500" t="n"/>
      <c r="G55" s="500" t="n"/>
      <c r="H55" s="500" t="n"/>
      <c r="I55" s="500" t="n"/>
      <c r="J55" s="500" t="n"/>
      <c r="K55" s="500" t="n"/>
      <c r="L55" s="500" t="n"/>
      <c r="M55" s="500" t="n"/>
      <c r="N55" s="493">
        <f>SUM(B55:M55)</f>
        <v/>
      </c>
      <c r="O55">
        <f>COUNT(B55:M55)</f>
        <v/>
      </c>
    </row>
    <row r="56">
      <c r="A56" t="inlineStr">
        <is>
          <t>FY2026</t>
        </is>
      </c>
      <c r="B56" s="529">
        <f>IFERROR(HLOOKUP("2026년 4월",원본_RAW!$H$4:$BK$20,MATCH("ARBCCBDU_GP",원본_RAW!$A$4:$A$20,0),FALSE),"")</f>
        <v/>
      </c>
      <c r="C56" s="529">
        <f>IFERROR(HLOOKUP("2026년 5월",원본_RAW!$H$4:$BK$20,MATCH("ARBCCBDU_GP",원본_RAW!$A$4:$A$20,0),FALSE),"")</f>
        <v/>
      </c>
      <c r="D56" s="529">
        <f>IFERROR(HLOOKUP("2026년 6월",원본_RAW!$H$4:$BK$20,MATCH("ARBCCBDU_GP",원본_RAW!$A$4:$A$20,0),FALSE),"")</f>
        <v/>
      </c>
      <c r="E56" s="529">
        <f>IFERROR(HLOOKUP("2026년 7월",원본_RAW!$H$4:$BK$20,MATCH("ARBCCBDU_GP",원본_RAW!$A$4:$A$20,0),FALSE),"")</f>
        <v/>
      </c>
      <c r="F56" s="529">
        <f>IFERROR(HLOOKUP("2026년 8월",원본_RAW!$H$4:$BK$20,MATCH("ARBCCBDU_GP",원본_RAW!$A$4:$A$20,0),FALSE),"")</f>
        <v/>
      </c>
      <c r="G56" s="529">
        <f>IFERROR(HLOOKUP("2026년 9월",원본_RAW!$H$4:$BK$20,MATCH("ARBCCBDU_GP",원본_RAW!$A$4:$A$20,0),FALSE),"")</f>
        <v/>
      </c>
      <c r="H56" s="529">
        <f>IFERROR(HLOOKUP("2026년 10월",원본_RAW!$H$4:$BK$20,MATCH("ARBCCBDU_GP",원본_RAW!$A$4:$A$20,0),FALSE),"")</f>
        <v/>
      </c>
      <c r="I56" s="529">
        <f>IFERROR(HLOOKUP("2026년 11월",원본_RAW!$H$4:$BK$20,MATCH("ARBCCBDU_GP",원본_RAW!$A$4:$A$20,0),FALSE),"")</f>
        <v/>
      </c>
      <c r="J56" s="529">
        <f>IFERROR(HLOOKUP("2026년 12월",원본_RAW!$H$4:$BK$20,MATCH("ARBCCBDU_GP",원본_RAW!$A$4:$A$20,0),FALSE),"")</f>
        <v/>
      </c>
      <c r="K56" s="529">
        <f>IFERROR(HLOOKUP("2027년 1월",원본_RAW!$H$4:$BK$20,MATCH("ARBCCBDU_GP",원본_RAW!$A$4:$A$20,0),FALSE),"")</f>
        <v/>
      </c>
      <c r="L56" s="529">
        <f>IFERROR(HLOOKUP("2027년 2월",원본_RAW!$H$4:$BK$20,MATCH("ARBCCBDU_GP",원본_RAW!$A$4:$A$20,0),FALSE),"")</f>
        <v/>
      </c>
      <c r="M56" s="529">
        <f>IFERROR(HLOOKUP("2027년 3월",원본_RAW!$H$4:$BK$20,MATCH("ARBCCBDU_GP",원본_RAW!$A$4:$A$20,0),FALSE),"")</f>
        <v/>
      </c>
      <c r="N56" s="493">
        <f>SUM(B56:M56)</f>
        <v/>
      </c>
      <c r="O56">
        <f>COUNT(B56:M56)</f>
        <v/>
      </c>
    </row>
    <row r="57">
      <c r="A57" t="inlineStr">
        <is>
          <t>FY2027</t>
        </is>
      </c>
      <c r="B57" s="529">
        <f>IFERROR(HLOOKUP("2027년 4월",원본_RAW!$H$4:$BK$20,MATCH("ARBCCBDU_GP",원본_RAW!$A$4:$A$20,0),FALSE),"")</f>
        <v/>
      </c>
      <c r="C57" s="529">
        <f>IFERROR(HLOOKUP("2027년 5월",원본_RAW!$H$4:$BK$20,MATCH("ARBCCBDU_GP",원본_RAW!$A$4:$A$20,0),FALSE),"")</f>
        <v/>
      </c>
      <c r="D57" s="529">
        <f>IFERROR(HLOOKUP("2027년 6월",원본_RAW!$H$4:$BK$20,MATCH("ARBCCBDU_GP",원본_RAW!$A$4:$A$20,0),FALSE),"")</f>
        <v/>
      </c>
      <c r="E57" s="529">
        <f>IFERROR(HLOOKUP("2027년 7월",원본_RAW!$H$4:$BK$20,MATCH("ARBCCBDU_GP",원본_RAW!$A$4:$A$20,0),FALSE),"")</f>
        <v/>
      </c>
      <c r="F57" s="529">
        <f>IFERROR(HLOOKUP("2027년 8월",원본_RAW!$H$4:$BK$20,MATCH("ARBCCBDU_GP",원본_RAW!$A$4:$A$20,0),FALSE),"")</f>
        <v/>
      </c>
      <c r="G57" s="529">
        <f>IFERROR(HLOOKUP("2027년 9월",원본_RAW!$H$4:$BK$20,MATCH("ARBCCBDU_GP",원본_RAW!$A$4:$A$20,0),FALSE),"")</f>
        <v/>
      </c>
      <c r="H57" s="529">
        <f>IFERROR(HLOOKUP("2027년 10월",원본_RAW!$H$4:$BK$20,MATCH("ARBCCBDU_GP",원본_RAW!$A$4:$A$20,0),FALSE),"")</f>
        <v/>
      </c>
      <c r="I57" s="529">
        <f>IFERROR(HLOOKUP("2027년 11월",원본_RAW!$H$4:$BK$20,MATCH("ARBCCBDU_GP",원본_RAW!$A$4:$A$20,0),FALSE),"")</f>
        <v/>
      </c>
      <c r="J57" s="529">
        <f>IFERROR(HLOOKUP("2027년 12월",원본_RAW!$H$4:$BK$20,MATCH("ARBCCBDU_GP",원본_RAW!$A$4:$A$20,0),FALSE),"")</f>
        <v/>
      </c>
      <c r="K57" s="529">
        <f>IFERROR(HLOOKUP("2028년 1월",원본_RAW!$H$4:$BK$20,MATCH("ARBCCBDU_GP",원본_RAW!$A$4:$A$20,0),FALSE),"")</f>
        <v/>
      </c>
      <c r="L57" s="529">
        <f>IFERROR(HLOOKUP("2028년 2월",원본_RAW!$H$4:$BK$20,MATCH("ARBCCBDU_GP",원본_RAW!$A$4:$A$20,0),FALSE),"")</f>
        <v/>
      </c>
      <c r="M57" s="529">
        <f>IFERROR(HLOOKUP("2028년 3월",원본_RAW!$H$4:$BK$20,MATCH("ARBCCBDU_GP",원본_RAW!$A$4:$A$20,0),FALSE),"")</f>
        <v/>
      </c>
      <c r="N57" s="493">
        <f>SUM(B57:M57)</f>
        <v/>
      </c>
      <c r="O57">
        <f>COUNT(B57:M57)</f>
        <v/>
      </c>
    </row>
    <row r="58">
      <c r="A58" t="inlineStr">
        <is>
          <t>FY2028</t>
        </is>
      </c>
      <c r="B58" s="529">
        <f>IFERROR(HLOOKUP("2028년 4월",원본_RAW!$H$4:$BK$20,MATCH("ARBCCBDU_GP",원본_RAW!$A$4:$A$20,0),FALSE),"")</f>
        <v/>
      </c>
      <c r="C58" s="529">
        <f>IFERROR(HLOOKUP("2028년 5월",원본_RAW!$H$4:$BK$20,MATCH("ARBCCBDU_GP",원본_RAW!$A$4:$A$20,0),FALSE),"")</f>
        <v/>
      </c>
      <c r="D58" s="529">
        <f>IFERROR(HLOOKUP("2028년 6월",원본_RAW!$H$4:$BK$20,MATCH("ARBCCBDU_GP",원본_RAW!$A$4:$A$20,0),FALSE),"")</f>
        <v/>
      </c>
      <c r="E58" s="529">
        <f>IFERROR(HLOOKUP("2028년 7월",원본_RAW!$H$4:$BK$20,MATCH("ARBCCBDU_GP",원본_RAW!$A$4:$A$20,0),FALSE),"")</f>
        <v/>
      </c>
      <c r="F58" s="529">
        <f>IFERROR(HLOOKUP("2028년 8월",원본_RAW!$H$4:$BK$20,MATCH("ARBCCBDU_GP",원본_RAW!$A$4:$A$20,0),FALSE),"")</f>
        <v/>
      </c>
      <c r="G58" s="529">
        <f>IFERROR(HLOOKUP("2028년 9월",원본_RAW!$H$4:$BK$20,MATCH("ARBCCBDU_GP",원본_RAW!$A$4:$A$20,0),FALSE),"")</f>
        <v/>
      </c>
      <c r="H58" s="529">
        <f>IFERROR(HLOOKUP("2028년 10월",원본_RAW!$H$4:$BK$20,MATCH("ARBCCBDU_GP",원본_RAW!$A$4:$A$20,0),FALSE),"")</f>
        <v/>
      </c>
      <c r="I58" s="529">
        <f>IFERROR(HLOOKUP("2028년 11월",원본_RAW!$H$4:$BK$20,MATCH("ARBCCBDU_GP",원본_RAW!$A$4:$A$20,0),FALSE),"")</f>
        <v/>
      </c>
      <c r="J58" s="529">
        <f>IFERROR(HLOOKUP("2028년 12월",원본_RAW!$H$4:$BK$20,MATCH("ARBCCBDU_GP",원본_RAW!$A$4:$A$20,0),FALSE),"")</f>
        <v/>
      </c>
      <c r="K58" s="529">
        <f>IFERROR(HLOOKUP("2029년 1월",원본_RAW!$H$4:$BK$20,MATCH("ARBCCBDU_GP",원본_RAW!$A$4:$A$20,0),FALSE),"")</f>
        <v/>
      </c>
      <c r="L58" s="529">
        <f>IFERROR(HLOOKUP("2029년 2월",원본_RAW!$H$4:$BK$20,MATCH("ARBCCBDU_GP",원본_RAW!$A$4:$A$20,0),FALSE),"")</f>
        <v/>
      </c>
      <c r="M58" s="529">
        <f>IFERROR(HLOOKUP("2029년 3월",원본_RAW!$H$4:$BK$20,MATCH("ARBCCBDU_GP",원본_RAW!$A$4:$A$20,0),FALSE),"")</f>
        <v/>
      </c>
      <c r="N58" s="493">
        <f>SUM(B58:M58)</f>
        <v/>
      </c>
      <c r="O58">
        <f>COUNT(B58:M58)</f>
        <v/>
      </c>
    </row>
    <row r="59">
      <c r="A59" t="inlineStr">
        <is>
          <t>FY2029</t>
        </is>
      </c>
      <c r="B59" s="529">
        <f>IFERROR(HLOOKUP("2029년 4월",원본_RAW!$H$4:$BK$20,MATCH("ARBCCBDU_GP",원본_RAW!$A$4:$A$20,0),FALSE),"")</f>
        <v/>
      </c>
      <c r="C59" s="529">
        <f>IFERROR(HLOOKUP("2029년 5월",원본_RAW!$H$4:$BK$20,MATCH("ARBCCBDU_GP",원본_RAW!$A$4:$A$20,0),FALSE),"")</f>
        <v/>
      </c>
      <c r="D59" s="529">
        <f>IFERROR(HLOOKUP("2029년 6월",원본_RAW!$H$4:$BK$20,MATCH("ARBCCBDU_GP",원본_RAW!$A$4:$A$20,0),FALSE),"")</f>
        <v/>
      </c>
      <c r="E59" s="529">
        <f>IFERROR(HLOOKUP("2029년 7월",원본_RAW!$H$4:$BK$20,MATCH("ARBCCBDU_GP",원본_RAW!$A$4:$A$20,0),FALSE),"")</f>
        <v/>
      </c>
      <c r="F59" s="529">
        <f>IFERROR(HLOOKUP("2029년 8월",원본_RAW!$H$4:$BK$20,MATCH("ARBCCBDU_GP",원본_RAW!$A$4:$A$20,0),FALSE),"")</f>
        <v/>
      </c>
      <c r="G59" s="529">
        <f>IFERROR(HLOOKUP("2029년 9월",원본_RAW!$H$4:$BK$20,MATCH("ARBCCBDU_GP",원본_RAW!$A$4:$A$20,0),FALSE),"")</f>
        <v/>
      </c>
      <c r="H59" s="529">
        <f>IFERROR(HLOOKUP("2029년 10월",원본_RAW!$H$4:$BK$20,MATCH("ARBCCBDU_GP",원본_RAW!$A$4:$A$20,0),FALSE),"")</f>
        <v/>
      </c>
      <c r="I59" s="529">
        <f>IFERROR(HLOOKUP("2029년 11월",원본_RAW!$H$4:$BK$20,MATCH("ARBCCBDU_GP",원본_RAW!$A$4:$A$20,0),FALSE),"")</f>
        <v/>
      </c>
      <c r="J59" s="529">
        <f>IFERROR(HLOOKUP("2029년 12월",원본_RAW!$H$4:$BK$20,MATCH("ARBCCBDU_GP",원본_RAW!$A$4:$A$20,0),FALSE),"")</f>
        <v/>
      </c>
      <c r="K59" s="529">
        <f>IFERROR(HLOOKUP("2030년 1월",원본_RAW!$H$4:$BK$20,MATCH("ARBCCBDU_GP",원본_RAW!$A$4:$A$20,0),FALSE),"")</f>
        <v/>
      </c>
      <c r="L59" s="529">
        <f>IFERROR(HLOOKUP("2030년 2월",원본_RAW!$H$4:$BK$20,MATCH("ARBCCBDU_GP",원본_RAW!$A$4:$A$20,0),FALSE),"")</f>
        <v/>
      </c>
      <c r="M59" s="529">
        <f>IFERROR(HLOOKUP("2030년 3월",원본_RAW!$H$4:$BK$20,MATCH("ARBCCBDU_GP",원본_RAW!$A$4:$A$20,0),FALSE),"")</f>
        <v/>
      </c>
      <c r="N59" s="493">
        <f>SUM(B59:M59)</f>
        <v/>
      </c>
      <c r="O59">
        <f>COUNT(B59:M59)</f>
        <v/>
      </c>
    </row>
    <row r="60">
      <c r="A60" t="inlineStr">
        <is>
          <t>FY2030</t>
        </is>
      </c>
      <c r="B60" s="529">
        <f>IFERROR(HLOOKUP("2030년 4월",원본_RAW!$H$4:$BK$20,MATCH("ARBCCBDU_GP",원본_RAW!$A$4:$A$20,0),FALSE),"")</f>
        <v/>
      </c>
      <c r="C60" s="529">
        <f>IFERROR(HLOOKUP("2030년 5월",원본_RAW!$H$4:$BK$20,MATCH("ARBCCBDU_GP",원본_RAW!$A$4:$A$20,0),FALSE),"")</f>
        <v/>
      </c>
      <c r="D60" s="529">
        <f>IFERROR(HLOOKUP("2030년 6월",원본_RAW!$H$4:$BK$20,MATCH("ARBCCBDU_GP",원본_RAW!$A$4:$A$20,0),FALSE),"")</f>
        <v/>
      </c>
      <c r="E60" s="529">
        <f>IFERROR(HLOOKUP("2030년 7월",원본_RAW!$H$4:$BK$20,MATCH("ARBCCBDU_GP",원본_RAW!$A$4:$A$20,0),FALSE),"")</f>
        <v/>
      </c>
      <c r="F60" s="529">
        <f>IFERROR(HLOOKUP("2030년 8월",원본_RAW!$H$4:$BK$20,MATCH("ARBCCBDU_GP",원본_RAW!$A$4:$A$20,0),FALSE),"")</f>
        <v/>
      </c>
      <c r="G60" s="529">
        <f>IFERROR(HLOOKUP("2030년 9월",원본_RAW!$H$4:$BK$20,MATCH("ARBCCBDU_GP",원본_RAW!$A$4:$A$20,0),FALSE),"")</f>
        <v/>
      </c>
      <c r="H60" s="529">
        <f>IFERROR(HLOOKUP("2030년 10월",원본_RAW!$H$4:$BK$20,MATCH("ARBCCBDU_GP",원본_RAW!$A$4:$A$20,0),FALSE),"")</f>
        <v/>
      </c>
      <c r="I60" s="529">
        <f>IFERROR(HLOOKUP("2030년 11월",원본_RAW!$H$4:$BK$20,MATCH("ARBCCBDU_GP",원본_RAW!$A$4:$A$20,0),FALSE),"")</f>
        <v/>
      </c>
      <c r="J60" s="529">
        <f>IFERROR(HLOOKUP("2030년 12월",원본_RAW!$H$4:$BK$20,MATCH("ARBCCBDU_GP",원본_RAW!$A$4:$A$20,0),FALSE),"")</f>
        <v/>
      </c>
      <c r="K60" s="529">
        <f>IFERROR(HLOOKUP("2031년 1월",원본_RAW!$H$4:$BK$20,MATCH("ARBCCBDU_GP",원본_RAW!$A$4:$A$20,0),FALSE),"")</f>
        <v/>
      </c>
      <c r="L60" s="529">
        <f>IFERROR(HLOOKUP("2031년 2월",원본_RAW!$H$4:$BK$20,MATCH("ARBCCBDU_GP",원본_RAW!$A$4:$A$20,0),FALSE),"")</f>
        <v/>
      </c>
      <c r="M60" s="529">
        <f>IFERROR(HLOOKUP("2031년 3월",원본_RAW!$H$4:$BK$20,MATCH("ARBCCBDU_GP",원본_RAW!$A$4:$A$20,0),FALSE),"")</f>
        <v/>
      </c>
      <c r="N60" s="493">
        <f>SUM(B60:M60)</f>
        <v/>
      </c>
      <c r="O60">
        <f>COUNT(B60:M60)</f>
        <v/>
      </c>
    </row>
    <row r="62">
      <c r="A62" s="526" t="inlineStr">
        <is>
          <t>■ C. Olmesartan+Amlodipine+HCTZ 성분 처방량 (DOT)</t>
        </is>
      </c>
    </row>
    <row r="63">
      <c r="A63" s="527" t="inlineStr">
        <is>
          <t>[HP] FY ＼ 월</t>
        </is>
      </c>
      <c r="B63" s="528" t="inlineStr">
        <is>
          <t>4월</t>
        </is>
      </c>
      <c r="C63" s="528" t="inlineStr">
        <is>
          <t>5월</t>
        </is>
      </c>
      <c r="D63" s="528" t="inlineStr">
        <is>
          <t>6월</t>
        </is>
      </c>
      <c r="E63" s="528" t="inlineStr">
        <is>
          <t>7월</t>
        </is>
      </c>
      <c r="F63" s="528" t="inlineStr">
        <is>
          <t>8월</t>
        </is>
      </c>
      <c r="G63" s="528" t="inlineStr">
        <is>
          <t>9월</t>
        </is>
      </c>
      <c r="H63" s="528" t="inlineStr">
        <is>
          <t>10월</t>
        </is>
      </c>
      <c r="I63" s="528" t="inlineStr">
        <is>
          <t>11월</t>
        </is>
      </c>
      <c r="J63" s="528" t="inlineStr">
        <is>
          <t>12월</t>
        </is>
      </c>
      <c r="K63" s="528" t="inlineStr">
        <is>
          <t>1월</t>
        </is>
      </c>
      <c r="L63" s="528" t="inlineStr">
        <is>
          <t>2월</t>
        </is>
      </c>
      <c r="M63" s="528" t="inlineStr">
        <is>
          <t>3월</t>
        </is>
      </c>
      <c r="N63" s="527" t="inlineStr">
        <is>
          <t>FY 합계</t>
        </is>
      </c>
      <c r="O63" s="527" t="inlineStr">
        <is>
          <t>실측월수</t>
        </is>
      </c>
    </row>
    <row r="64">
      <c r="A64" t="inlineStr">
        <is>
          <t>FY2018</t>
        </is>
      </c>
      <c r="B64" s="500" t="n"/>
      <c r="C64" s="500" t="n"/>
      <c r="D64" s="500" t="n"/>
      <c r="E64" s="500" t="n"/>
      <c r="F64" s="500" t="n"/>
      <c r="G64" s="500" t="n"/>
      <c r="H64" s="500" t="n"/>
      <c r="I64" s="500" t="n"/>
      <c r="J64" s="500" t="n"/>
      <c r="K64" s="500" t="n"/>
      <c r="L64" s="500" t="n"/>
      <c r="M64" s="500" t="n"/>
      <c r="N64" s="493">
        <f>SUM(B64:M64)</f>
        <v/>
      </c>
      <c r="O64">
        <f>COUNT(B64:M64)</f>
        <v/>
      </c>
    </row>
    <row r="65">
      <c r="A65" t="inlineStr">
        <is>
          <t>FY2019</t>
        </is>
      </c>
      <c r="B65" s="500" t="n"/>
      <c r="C65" s="500" t="n"/>
      <c r="D65" s="500" t="n"/>
      <c r="E65" s="500" t="n"/>
      <c r="F65" s="500" t="n"/>
      <c r="G65" s="500" t="n"/>
      <c r="H65" s="500" t="n"/>
      <c r="I65" s="500" t="n"/>
      <c r="J65" s="500" t="n"/>
      <c r="K65" s="500" t="n"/>
      <c r="L65" s="500" t="n"/>
      <c r="M65" s="500" t="n"/>
      <c r="N65" s="493">
        <f>SUM(B65:M65)</f>
        <v/>
      </c>
      <c r="O65">
        <f>COUNT(B65:M65)</f>
        <v/>
      </c>
    </row>
    <row r="66">
      <c r="A66" t="inlineStr">
        <is>
          <t>FY2020</t>
        </is>
      </c>
      <c r="B66" s="500" t="n"/>
      <c r="C66" s="500" t="n"/>
      <c r="D66" s="500" t="n"/>
      <c r="E66" s="500" t="n"/>
      <c r="F66" s="500" t="n"/>
      <c r="G66" s="500" t="n"/>
      <c r="H66" s="500" t="n"/>
      <c r="I66" s="500" t="n"/>
      <c r="J66" s="500" t="n"/>
      <c r="K66" s="500" t="n"/>
      <c r="L66" s="500" t="n"/>
      <c r="M66" s="500" t="n"/>
      <c r="N66" s="493">
        <f>SUM(B66:M66)</f>
        <v/>
      </c>
      <c r="O66">
        <f>COUNT(B66:M66)</f>
        <v/>
      </c>
    </row>
    <row r="67">
      <c r="A67" t="inlineStr">
        <is>
          <t>FY2021</t>
        </is>
      </c>
      <c r="B67" s="500" t="n"/>
      <c r="C67" s="500" t="n"/>
      <c r="D67" s="500" t="n"/>
      <c r="E67" s="500" t="n"/>
      <c r="F67" s="500" t="n"/>
      <c r="G67" s="500" t="n"/>
      <c r="H67" s="500" t="n"/>
      <c r="I67" s="500" t="n"/>
      <c r="J67" s="500" t="n"/>
      <c r="K67" s="500" t="n"/>
      <c r="L67" s="500" t="n"/>
      <c r="M67" s="500" t="n"/>
      <c r="N67" s="493">
        <f>SUM(B67:M67)</f>
        <v/>
      </c>
      <c r="O67">
        <f>COUNT(B67:M67)</f>
        <v/>
      </c>
    </row>
    <row r="68">
      <c r="A68" t="inlineStr">
        <is>
          <t>FY2022</t>
        </is>
      </c>
      <c r="B68" s="500" t="n"/>
      <c r="C68" s="500" t="n"/>
      <c r="D68" s="500" t="n"/>
      <c r="E68" s="500" t="n"/>
      <c r="F68" s="500" t="n"/>
      <c r="G68" s="500" t="n"/>
      <c r="H68" s="500" t="n"/>
      <c r="I68" s="500" t="n"/>
      <c r="J68" s="500" t="n"/>
      <c r="K68" s="500" t="n"/>
      <c r="L68" s="500" t="n"/>
      <c r="M68" s="500" t="n"/>
      <c r="N68" s="493">
        <f>SUM(B68:M68)</f>
        <v/>
      </c>
      <c r="O68">
        <f>COUNT(B68:M68)</f>
        <v/>
      </c>
    </row>
    <row r="69">
      <c r="A69" t="inlineStr">
        <is>
          <t>FY2023</t>
        </is>
      </c>
      <c r="B69" s="500" t="n"/>
      <c r="C69" s="500" t="n"/>
      <c r="D69" s="500" t="n"/>
      <c r="E69" s="500" t="n"/>
      <c r="F69" s="500" t="n"/>
      <c r="G69" s="500" t="n"/>
      <c r="H69" s="500" t="n"/>
      <c r="I69" s="500" t="n"/>
      <c r="J69" s="500" t="n"/>
      <c r="K69" s="500" t="n"/>
      <c r="L69" s="500" t="n"/>
      <c r="M69" s="500" t="n"/>
      <c r="N69" s="493">
        <f>SUM(B69:M69)</f>
        <v/>
      </c>
      <c r="O69">
        <f>COUNT(B69:M69)</f>
        <v/>
      </c>
    </row>
    <row r="70">
      <c r="A70" t="inlineStr">
        <is>
          <t>FY2024</t>
        </is>
      </c>
      <c r="B70" s="500" t="n"/>
      <c r="C70" s="500" t="n"/>
      <c r="D70" s="500" t="n"/>
      <c r="E70" s="500" t="n"/>
      <c r="F70" s="500" t="n"/>
      <c r="G70" s="500" t="n"/>
      <c r="H70" s="500" t="n"/>
      <c r="I70" s="500" t="n"/>
      <c r="J70" s="500" t="n"/>
      <c r="K70" s="500" t="n"/>
      <c r="L70" s="500" t="n"/>
      <c r="M70" s="500" t="n"/>
      <c r="N70" s="493">
        <f>SUM(B70:M70)</f>
        <v/>
      </c>
      <c r="O70">
        <f>COUNT(B70:M70)</f>
        <v/>
      </c>
    </row>
    <row r="71">
      <c r="A71" t="inlineStr">
        <is>
          <t>FY2025</t>
        </is>
      </c>
      <c r="B71" s="500" t="n"/>
      <c r="C71" s="500" t="n"/>
      <c r="D71" s="500" t="n"/>
      <c r="E71" s="500" t="n"/>
      <c r="F71" s="500" t="n"/>
      <c r="G71" s="500" t="n"/>
      <c r="H71" s="500" t="n"/>
      <c r="I71" s="500" t="n"/>
      <c r="J71" s="500" t="n"/>
      <c r="K71" s="500" t="n"/>
      <c r="L71" s="500" t="n"/>
      <c r="M71" s="500" t="n"/>
      <c r="N71" s="493">
        <f>SUM(B71:M71)</f>
        <v/>
      </c>
      <c r="O71">
        <f>COUNT(B71:M71)</f>
        <v/>
      </c>
    </row>
    <row r="72">
      <c r="A72" t="inlineStr">
        <is>
          <t>FY2026</t>
        </is>
      </c>
      <c r="B72" s="529">
        <f>IFERROR(HLOOKUP("2026년 4월",원본_RAW!$H$4:$BK$20,MATCH("OLM3_HP",원본_RAW!$A$4:$A$20,0),FALSE),"")</f>
        <v/>
      </c>
      <c r="C72" s="529">
        <f>IFERROR(HLOOKUP("2026년 5월",원본_RAW!$H$4:$BK$20,MATCH("OLM3_HP",원본_RAW!$A$4:$A$20,0),FALSE),"")</f>
        <v/>
      </c>
      <c r="D72" s="529">
        <f>IFERROR(HLOOKUP("2026년 6월",원본_RAW!$H$4:$BK$20,MATCH("OLM3_HP",원본_RAW!$A$4:$A$20,0),FALSE),"")</f>
        <v/>
      </c>
      <c r="E72" s="529">
        <f>IFERROR(HLOOKUP("2026년 7월",원본_RAW!$H$4:$BK$20,MATCH("OLM3_HP",원본_RAW!$A$4:$A$20,0),FALSE),"")</f>
        <v/>
      </c>
      <c r="F72" s="529">
        <f>IFERROR(HLOOKUP("2026년 8월",원본_RAW!$H$4:$BK$20,MATCH("OLM3_HP",원본_RAW!$A$4:$A$20,0),FALSE),"")</f>
        <v/>
      </c>
      <c r="G72" s="529">
        <f>IFERROR(HLOOKUP("2026년 9월",원본_RAW!$H$4:$BK$20,MATCH("OLM3_HP",원본_RAW!$A$4:$A$20,0),FALSE),"")</f>
        <v/>
      </c>
      <c r="H72" s="529">
        <f>IFERROR(HLOOKUP("2026년 10월",원본_RAW!$H$4:$BK$20,MATCH("OLM3_HP",원본_RAW!$A$4:$A$20,0),FALSE),"")</f>
        <v/>
      </c>
      <c r="I72" s="529">
        <f>IFERROR(HLOOKUP("2026년 11월",원본_RAW!$H$4:$BK$20,MATCH("OLM3_HP",원본_RAW!$A$4:$A$20,0),FALSE),"")</f>
        <v/>
      </c>
      <c r="J72" s="529">
        <f>IFERROR(HLOOKUP("2026년 12월",원본_RAW!$H$4:$BK$20,MATCH("OLM3_HP",원본_RAW!$A$4:$A$20,0),FALSE),"")</f>
        <v/>
      </c>
      <c r="K72" s="529">
        <f>IFERROR(HLOOKUP("2027년 1월",원본_RAW!$H$4:$BK$20,MATCH("OLM3_HP",원본_RAW!$A$4:$A$20,0),FALSE),"")</f>
        <v/>
      </c>
      <c r="L72" s="529">
        <f>IFERROR(HLOOKUP("2027년 2월",원본_RAW!$H$4:$BK$20,MATCH("OLM3_HP",원본_RAW!$A$4:$A$20,0),FALSE),"")</f>
        <v/>
      </c>
      <c r="M72" s="529">
        <f>IFERROR(HLOOKUP("2027년 3월",원본_RAW!$H$4:$BK$20,MATCH("OLM3_HP",원본_RAW!$A$4:$A$20,0),FALSE),"")</f>
        <v/>
      </c>
      <c r="N72" s="493">
        <f>SUM(B72:M72)</f>
        <v/>
      </c>
      <c r="O72">
        <f>COUNT(B72:M72)</f>
        <v/>
      </c>
    </row>
    <row r="73">
      <c r="A73" t="inlineStr">
        <is>
          <t>FY2027</t>
        </is>
      </c>
      <c r="B73" s="529">
        <f>IFERROR(HLOOKUP("2027년 4월",원본_RAW!$H$4:$BK$20,MATCH("OLM3_HP",원본_RAW!$A$4:$A$20,0),FALSE),"")</f>
        <v/>
      </c>
      <c r="C73" s="529">
        <f>IFERROR(HLOOKUP("2027년 5월",원본_RAW!$H$4:$BK$20,MATCH("OLM3_HP",원본_RAW!$A$4:$A$20,0),FALSE),"")</f>
        <v/>
      </c>
      <c r="D73" s="529">
        <f>IFERROR(HLOOKUP("2027년 6월",원본_RAW!$H$4:$BK$20,MATCH("OLM3_HP",원본_RAW!$A$4:$A$20,0),FALSE),"")</f>
        <v/>
      </c>
      <c r="E73" s="529">
        <f>IFERROR(HLOOKUP("2027년 7월",원본_RAW!$H$4:$BK$20,MATCH("OLM3_HP",원본_RAW!$A$4:$A$20,0),FALSE),"")</f>
        <v/>
      </c>
      <c r="F73" s="529">
        <f>IFERROR(HLOOKUP("2027년 8월",원본_RAW!$H$4:$BK$20,MATCH("OLM3_HP",원본_RAW!$A$4:$A$20,0),FALSE),"")</f>
        <v/>
      </c>
      <c r="G73" s="529">
        <f>IFERROR(HLOOKUP("2027년 9월",원본_RAW!$H$4:$BK$20,MATCH("OLM3_HP",원본_RAW!$A$4:$A$20,0),FALSE),"")</f>
        <v/>
      </c>
      <c r="H73" s="529">
        <f>IFERROR(HLOOKUP("2027년 10월",원본_RAW!$H$4:$BK$20,MATCH("OLM3_HP",원본_RAW!$A$4:$A$20,0),FALSE),"")</f>
        <v/>
      </c>
      <c r="I73" s="529">
        <f>IFERROR(HLOOKUP("2027년 11월",원본_RAW!$H$4:$BK$20,MATCH("OLM3_HP",원본_RAW!$A$4:$A$20,0),FALSE),"")</f>
        <v/>
      </c>
      <c r="J73" s="529">
        <f>IFERROR(HLOOKUP("2027년 12월",원본_RAW!$H$4:$BK$20,MATCH("OLM3_HP",원본_RAW!$A$4:$A$20,0),FALSE),"")</f>
        <v/>
      </c>
      <c r="K73" s="529">
        <f>IFERROR(HLOOKUP("2028년 1월",원본_RAW!$H$4:$BK$20,MATCH("OLM3_HP",원본_RAW!$A$4:$A$20,0),FALSE),"")</f>
        <v/>
      </c>
      <c r="L73" s="529">
        <f>IFERROR(HLOOKUP("2028년 2월",원본_RAW!$H$4:$BK$20,MATCH("OLM3_HP",원본_RAW!$A$4:$A$20,0),FALSE),"")</f>
        <v/>
      </c>
      <c r="M73" s="529">
        <f>IFERROR(HLOOKUP("2028년 3월",원본_RAW!$H$4:$BK$20,MATCH("OLM3_HP",원본_RAW!$A$4:$A$20,0),FALSE),"")</f>
        <v/>
      </c>
      <c r="N73" s="493">
        <f>SUM(B73:M73)</f>
        <v/>
      </c>
      <c r="O73">
        <f>COUNT(B73:M73)</f>
        <v/>
      </c>
    </row>
    <row r="74">
      <c r="A74" t="inlineStr">
        <is>
          <t>FY2028</t>
        </is>
      </c>
      <c r="B74" s="529">
        <f>IFERROR(HLOOKUP("2028년 4월",원본_RAW!$H$4:$BK$20,MATCH("OLM3_HP",원본_RAW!$A$4:$A$20,0),FALSE),"")</f>
        <v/>
      </c>
      <c r="C74" s="529">
        <f>IFERROR(HLOOKUP("2028년 5월",원본_RAW!$H$4:$BK$20,MATCH("OLM3_HP",원본_RAW!$A$4:$A$20,0),FALSE),"")</f>
        <v/>
      </c>
      <c r="D74" s="529">
        <f>IFERROR(HLOOKUP("2028년 6월",원본_RAW!$H$4:$BK$20,MATCH("OLM3_HP",원본_RAW!$A$4:$A$20,0),FALSE),"")</f>
        <v/>
      </c>
      <c r="E74" s="529">
        <f>IFERROR(HLOOKUP("2028년 7월",원본_RAW!$H$4:$BK$20,MATCH("OLM3_HP",원본_RAW!$A$4:$A$20,0),FALSE),"")</f>
        <v/>
      </c>
      <c r="F74" s="529">
        <f>IFERROR(HLOOKUP("2028년 8월",원본_RAW!$H$4:$BK$20,MATCH("OLM3_HP",원본_RAW!$A$4:$A$20,0),FALSE),"")</f>
        <v/>
      </c>
      <c r="G74" s="529">
        <f>IFERROR(HLOOKUP("2028년 9월",원본_RAW!$H$4:$BK$20,MATCH("OLM3_HP",원본_RAW!$A$4:$A$20,0),FALSE),"")</f>
        <v/>
      </c>
      <c r="H74" s="529">
        <f>IFERROR(HLOOKUP("2028년 10월",원본_RAW!$H$4:$BK$20,MATCH("OLM3_HP",원본_RAW!$A$4:$A$20,0),FALSE),"")</f>
        <v/>
      </c>
      <c r="I74" s="529">
        <f>IFERROR(HLOOKUP("2028년 11월",원본_RAW!$H$4:$BK$20,MATCH("OLM3_HP",원본_RAW!$A$4:$A$20,0),FALSE),"")</f>
        <v/>
      </c>
      <c r="J74" s="529">
        <f>IFERROR(HLOOKUP("2028년 12월",원본_RAW!$H$4:$BK$20,MATCH("OLM3_HP",원본_RAW!$A$4:$A$20,0),FALSE),"")</f>
        <v/>
      </c>
      <c r="K74" s="529">
        <f>IFERROR(HLOOKUP("2029년 1월",원본_RAW!$H$4:$BK$20,MATCH("OLM3_HP",원본_RAW!$A$4:$A$20,0),FALSE),"")</f>
        <v/>
      </c>
      <c r="L74" s="529">
        <f>IFERROR(HLOOKUP("2029년 2월",원본_RAW!$H$4:$BK$20,MATCH("OLM3_HP",원본_RAW!$A$4:$A$20,0),FALSE),"")</f>
        <v/>
      </c>
      <c r="M74" s="529">
        <f>IFERROR(HLOOKUP("2029년 3월",원본_RAW!$H$4:$BK$20,MATCH("OLM3_HP",원본_RAW!$A$4:$A$20,0),FALSE),"")</f>
        <v/>
      </c>
      <c r="N74" s="493">
        <f>SUM(B74:M74)</f>
        <v/>
      </c>
      <c r="O74">
        <f>COUNT(B74:M74)</f>
        <v/>
      </c>
    </row>
    <row r="75">
      <c r="A75" t="inlineStr">
        <is>
          <t>FY2029</t>
        </is>
      </c>
      <c r="B75" s="529">
        <f>IFERROR(HLOOKUP("2029년 4월",원본_RAW!$H$4:$BK$20,MATCH("OLM3_HP",원본_RAW!$A$4:$A$20,0),FALSE),"")</f>
        <v/>
      </c>
      <c r="C75" s="529">
        <f>IFERROR(HLOOKUP("2029년 5월",원본_RAW!$H$4:$BK$20,MATCH("OLM3_HP",원본_RAW!$A$4:$A$20,0),FALSE),"")</f>
        <v/>
      </c>
      <c r="D75" s="529">
        <f>IFERROR(HLOOKUP("2029년 6월",원본_RAW!$H$4:$BK$20,MATCH("OLM3_HP",원본_RAW!$A$4:$A$20,0),FALSE),"")</f>
        <v/>
      </c>
      <c r="E75" s="529">
        <f>IFERROR(HLOOKUP("2029년 7월",원본_RAW!$H$4:$BK$20,MATCH("OLM3_HP",원본_RAW!$A$4:$A$20,0),FALSE),"")</f>
        <v/>
      </c>
      <c r="F75" s="529">
        <f>IFERROR(HLOOKUP("2029년 8월",원본_RAW!$H$4:$BK$20,MATCH("OLM3_HP",원본_RAW!$A$4:$A$20,0),FALSE),"")</f>
        <v/>
      </c>
      <c r="G75" s="529">
        <f>IFERROR(HLOOKUP("2029년 9월",원본_RAW!$H$4:$BK$20,MATCH("OLM3_HP",원본_RAW!$A$4:$A$20,0),FALSE),"")</f>
        <v/>
      </c>
      <c r="H75" s="529">
        <f>IFERROR(HLOOKUP("2029년 10월",원본_RAW!$H$4:$BK$20,MATCH("OLM3_HP",원본_RAW!$A$4:$A$20,0),FALSE),"")</f>
        <v/>
      </c>
      <c r="I75" s="529">
        <f>IFERROR(HLOOKUP("2029년 11월",원본_RAW!$H$4:$BK$20,MATCH("OLM3_HP",원본_RAW!$A$4:$A$20,0),FALSE),"")</f>
        <v/>
      </c>
      <c r="J75" s="529">
        <f>IFERROR(HLOOKUP("2029년 12월",원본_RAW!$H$4:$BK$20,MATCH("OLM3_HP",원본_RAW!$A$4:$A$20,0),FALSE),"")</f>
        <v/>
      </c>
      <c r="K75" s="529">
        <f>IFERROR(HLOOKUP("2030년 1월",원본_RAW!$H$4:$BK$20,MATCH("OLM3_HP",원본_RAW!$A$4:$A$20,0),FALSE),"")</f>
        <v/>
      </c>
      <c r="L75" s="529">
        <f>IFERROR(HLOOKUP("2030년 2월",원본_RAW!$H$4:$BK$20,MATCH("OLM3_HP",원본_RAW!$A$4:$A$20,0),FALSE),"")</f>
        <v/>
      </c>
      <c r="M75" s="529">
        <f>IFERROR(HLOOKUP("2030년 3월",원본_RAW!$H$4:$BK$20,MATCH("OLM3_HP",원본_RAW!$A$4:$A$20,0),FALSE),"")</f>
        <v/>
      </c>
      <c r="N75" s="493">
        <f>SUM(B75:M75)</f>
        <v/>
      </c>
      <c r="O75">
        <f>COUNT(B75:M75)</f>
        <v/>
      </c>
    </row>
    <row r="76">
      <c r="A76" t="inlineStr">
        <is>
          <t>FY2030</t>
        </is>
      </c>
      <c r="B76" s="529">
        <f>IFERROR(HLOOKUP("2030년 4월",원본_RAW!$H$4:$BK$20,MATCH("OLM3_HP",원본_RAW!$A$4:$A$20,0),FALSE),"")</f>
        <v/>
      </c>
      <c r="C76" s="529">
        <f>IFERROR(HLOOKUP("2030년 5월",원본_RAW!$H$4:$BK$20,MATCH("OLM3_HP",원본_RAW!$A$4:$A$20,0),FALSE),"")</f>
        <v/>
      </c>
      <c r="D76" s="529">
        <f>IFERROR(HLOOKUP("2030년 6월",원본_RAW!$H$4:$BK$20,MATCH("OLM3_HP",원본_RAW!$A$4:$A$20,0),FALSE),"")</f>
        <v/>
      </c>
      <c r="E76" s="529">
        <f>IFERROR(HLOOKUP("2030년 7월",원본_RAW!$H$4:$BK$20,MATCH("OLM3_HP",원본_RAW!$A$4:$A$20,0),FALSE),"")</f>
        <v/>
      </c>
      <c r="F76" s="529">
        <f>IFERROR(HLOOKUP("2030년 8월",원본_RAW!$H$4:$BK$20,MATCH("OLM3_HP",원본_RAW!$A$4:$A$20,0),FALSE),"")</f>
        <v/>
      </c>
      <c r="G76" s="529">
        <f>IFERROR(HLOOKUP("2030년 9월",원본_RAW!$H$4:$BK$20,MATCH("OLM3_HP",원본_RAW!$A$4:$A$20,0),FALSE),"")</f>
        <v/>
      </c>
      <c r="H76" s="529">
        <f>IFERROR(HLOOKUP("2030년 10월",원본_RAW!$H$4:$BK$20,MATCH("OLM3_HP",원본_RAW!$A$4:$A$20,0),FALSE),"")</f>
        <v/>
      </c>
      <c r="I76" s="529">
        <f>IFERROR(HLOOKUP("2030년 11월",원본_RAW!$H$4:$BK$20,MATCH("OLM3_HP",원본_RAW!$A$4:$A$20,0),FALSE),"")</f>
        <v/>
      </c>
      <c r="J76" s="529">
        <f>IFERROR(HLOOKUP("2030년 12월",원본_RAW!$H$4:$BK$20,MATCH("OLM3_HP",원본_RAW!$A$4:$A$20,0),FALSE),"")</f>
        <v/>
      </c>
      <c r="K76" s="529">
        <f>IFERROR(HLOOKUP("2031년 1월",원본_RAW!$H$4:$BK$20,MATCH("OLM3_HP",원본_RAW!$A$4:$A$20,0),FALSE),"")</f>
        <v/>
      </c>
      <c r="L76" s="529">
        <f>IFERROR(HLOOKUP("2031년 2월",원본_RAW!$H$4:$BK$20,MATCH("OLM3_HP",원본_RAW!$A$4:$A$20,0),FALSE),"")</f>
        <v/>
      </c>
      <c r="M76" s="529">
        <f>IFERROR(HLOOKUP("2031년 3월",원본_RAW!$H$4:$BK$20,MATCH("OLM3_HP",원본_RAW!$A$4:$A$20,0),FALSE),"")</f>
        <v/>
      </c>
      <c r="N76" s="493">
        <f>SUM(B76:M76)</f>
        <v/>
      </c>
      <c r="O76">
        <f>COUNT(B76:M76)</f>
        <v/>
      </c>
    </row>
    <row r="78">
      <c r="A78" s="527" t="inlineStr">
        <is>
          <t>[GP] FY ＼ 월</t>
        </is>
      </c>
      <c r="B78" s="528" t="inlineStr">
        <is>
          <t>4월</t>
        </is>
      </c>
      <c r="C78" s="528" t="inlineStr">
        <is>
          <t>5월</t>
        </is>
      </c>
      <c r="D78" s="528" t="inlineStr">
        <is>
          <t>6월</t>
        </is>
      </c>
      <c r="E78" s="528" t="inlineStr">
        <is>
          <t>7월</t>
        </is>
      </c>
      <c r="F78" s="528" t="inlineStr">
        <is>
          <t>8월</t>
        </is>
      </c>
      <c r="G78" s="528" t="inlineStr">
        <is>
          <t>9월</t>
        </is>
      </c>
      <c r="H78" s="528" t="inlineStr">
        <is>
          <t>10월</t>
        </is>
      </c>
      <c r="I78" s="528" t="inlineStr">
        <is>
          <t>11월</t>
        </is>
      </c>
      <c r="J78" s="528" t="inlineStr">
        <is>
          <t>12월</t>
        </is>
      </c>
      <c r="K78" s="528" t="inlineStr">
        <is>
          <t>1월</t>
        </is>
      </c>
      <c r="L78" s="528" t="inlineStr">
        <is>
          <t>2월</t>
        </is>
      </c>
      <c r="M78" s="528" t="inlineStr">
        <is>
          <t>3월</t>
        </is>
      </c>
      <c r="N78" s="527" t="inlineStr">
        <is>
          <t>FY 합계</t>
        </is>
      </c>
      <c r="O78" s="527" t="inlineStr">
        <is>
          <t>실측월수</t>
        </is>
      </c>
    </row>
    <row r="79">
      <c r="A79" t="inlineStr">
        <is>
          <t>FY2018</t>
        </is>
      </c>
      <c r="B79" s="500" t="n"/>
      <c r="C79" s="500" t="n"/>
      <c r="D79" s="500" t="n"/>
      <c r="E79" s="500" t="n"/>
      <c r="F79" s="500" t="n"/>
      <c r="G79" s="500" t="n"/>
      <c r="H79" s="500" t="n"/>
      <c r="I79" s="500" t="n"/>
      <c r="J79" s="500" t="n"/>
      <c r="K79" s="500" t="n"/>
      <c r="L79" s="500" t="n"/>
      <c r="M79" s="500" t="n"/>
      <c r="N79" s="493">
        <f>SUM(B79:M79)</f>
        <v/>
      </c>
      <c r="O79">
        <f>COUNT(B79:M79)</f>
        <v/>
      </c>
    </row>
    <row r="80">
      <c r="A80" t="inlineStr">
        <is>
          <t>FY2019</t>
        </is>
      </c>
      <c r="B80" s="500" t="n"/>
      <c r="C80" s="500" t="n"/>
      <c r="D80" s="500" t="n"/>
      <c r="E80" s="500" t="n"/>
      <c r="F80" s="500" t="n"/>
      <c r="G80" s="500" t="n"/>
      <c r="H80" s="500" t="n"/>
      <c r="I80" s="500" t="n"/>
      <c r="J80" s="500" t="n"/>
      <c r="K80" s="500" t="n"/>
      <c r="L80" s="500" t="n"/>
      <c r="M80" s="500" t="n"/>
      <c r="N80" s="493">
        <f>SUM(B80:M80)</f>
        <v/>
      </c>
      <c r="O80">
        <f>COUNT(B80:M80)</f>
        <v/>
      </c>
    </row>
    <row r="81">
      <c r="A81" t="inlineStr">
        <is>
          <t>FY2020</t>
        </is>
      </c>
      <c r="B81" s="500" t="n"/>
      <c r="C81" s="500" t="n"/>
      <c r="D81" s="500" t="n"/>
      <c r="E81" s="500" t="n"/>
      <c r="F81" s="500" t="n"/>
      <c r="G81" s="500" t="n"/>
      <c r="H81" s="500" t="n"/>
      <c r="I81" s="500" t="n"/>
      <c r="J81" s="500" t="n"/>
      <c r="K81" s="500" t="n"/>
      <c r="L81" s="500" t="n"/>
      <c r="M81" s="500" t="n"/>
      <c r="N81" s="493">
        <f>SUM(B81:M81)</f>
        <v/>
      </c>
      <c r="O81">
        <f>COUNT(B81:M81)</f>
        <v/>
      </c>
    </row>
    <row r="82">
      <c r="A82" t="inlineStr">
        <is>
          <t>FY2021</t>
        </is>
      </c>
      <c r="B82" s="500" t="n"/>
      <c r="C82" s="500" t="n"/>
      <c r="D82" s="500" t="n"/>
      <c r="E82" s="500" t="n"/>
      <c r="F82" s="500" t="n"/>
      <c r="G82" s="500" t="n"/>
      <c r="H82" s="500" t="n"/>
      <c r="I82" s="500" t="n"/>
      <c r="J82" s="500" t="n"/>
      <c r="K82" s="500" t="n"/>
      <c r="L82" s="500" t="n"/>
      <c r="M82" s="500" t="n"/>
      <c r="N82" s="493">
        <f>SUM(B82:M82)</f>
        <v/>
      </c>
      <c r="O82">
        <f>COUNT(B82:M82)</f>
        <v/>
      </c>
    </row>
    <row r="83">
      <c r="A83" t="inlineStr">
        <is>
          <t>FY2022</t>
        </is>
      </c>
      <c r="B83" s="500" t="n"/>
      <c r="C83" s="500" t="n"/>
      <c r="D83" s="500" t="n"/>
      <c r="E83" s="500" t="n"/>
      <c r="F83" s="500" t="n"/>
      <c r="G83" s="500" t="n"/>
      <c r="H83" s="500" t="n"/>
      <c r="I83" s="500" t="n"/>
      <c r="J83" s="500" t="n"/>
      <c r="K83" s="500" t="n"/>
      <c r="L83" s="500" t="n"/>
      <c r="M83" s="500" t="n"/>
      <c r="N83" s="493">
        <f>SUM(B83:M83)</f>
        <v/>
      </c>
      <c r="O83">
        <f>COUNT(B83:M83)</f>
        <v/>
      </c>
    </row>
    <row r="84">
      <c r="A84" t="inlineStr">
        <is>
          <t>FY2023</t>
        </is>
      </c>
      <c r="B84" s="500" t="n"/>
      <c r="C84" s="500" t="n"/>
      <c r="D84" s="500" t="n"/>
      <c r="E84" s="500" t="n"/>
      <c r="F84" s="500" t="n"/>
      <c r="G84" s="500" t="n"/>
      <c r="H84" s="500" t="n"/>
      <c r="I84" s="500" t="n"/>
      <c r="J84" s="500" t="n"/>
      <c r="K84" s="500" t="n"/>
      <c r="L84" s="500" t="n"/>
      <c r="M84" s="500" t="n"/>
      <c r="N84" s="493">
        <f>SUM(B84:M84)</f>
        <v/>
      </c>
      <c r="O84">
        <f>COUNT(B84:M84)</f>
        <v/>
      </c>
    </row>
    <row r="85">
      <c r="A85" t="inlineStr">
        <is>
          <t>FY2024</t>
        </is>
      </c>
      <c r="B85" s="500" t="n"/>
      <c r="C85" s="500" t="n"/>
      <c r="D85" s="500" t="n"/>
      <c r="E85" s="500" t="n"/>
      <c r="F85" s="500" t="n"/>
      <c r="G85" s="500" t="n"/>
      <c r="H85" s="500" t="n"/>
      <c r="I85" s="500" t="n"/>
      <c r="J85" s="500" t="n"/>
      <c r="K85" s="500" t="n"/>
      <c r="L85" s="500" t="n"/>
      <c r="M85" s="500" t="n"/>
      <c r="N85" s="493">
        <f>SUM(B85:M85)</f>
        <v/>
      </c>
      <c r="O85">
        <f>COUNT(B85:M85)</f>
        <v/>
      </c>
    </row>
    <row r="86">
      <c r="A86" t="inlineStr">
        <is>
          <t>FY2025</t>
        </is>
      </c>
      <c r="B86" s="500" t="n"/>
      <c r="C86" s="500" t="n"/>
      <c r="D86" s="500" t="n"/>
      <c r="E86" s="500" t="n"/>
      <c r="F86" s="500" t="n"/>
      <c r="G86" s="500" t="n"/>
      <c r="H86" s="500" t="n"/>
      <c r="I86" s="500" t="n"/>
      <c r="J86" s="500" t="n"/>
      <c r="K86" s="500" t="n"/>
      <c r="L86" s="500" t="n"/>
      <c r="M86" s="500" t="n"/>
      <c r="N86" s="493">
        <f>SUM(B86:M86)</f>
        <v/>
      </c>
      <c r="O86">
        <f>COUNT(B86:M86)</f>
        <v/>
      </c>
    </row>
    <row r="87">
      <c r="A87" t="inlineStr">
        <is>
          <t>FY2026</t>
        </is>
      </c>
      <c r="B87" s="529">
        <f>IFERROR(HLOOKUP("2026년 4월",원본_RAW!$H$4:$BK$20,MATCH("OLM3_GP",원본_RAW!$A$4:$A$20,0),FALSE),"")</f>
        <v/>
      </c>
      <c r="C87" s="529">
        <f>IFERROR(HLOOKUP("2026년 5월",원본_RAW!$H$4:$BK$20,MATCH("OLM3_GP",원본_RAW!$A$4:$A$20,0),FALSE),"")</f>
        <v/>
      </c>
      <c r="D87" s="529">
        <f>IFERROR(HLOOKUP("2026년 6월",원본_RAW!$H$4:$BK$20,MATCH("OLM3_GP",원본_RAW!$A$4:$A$20,0),FALSE),"")</f>
        <v/>
      </c>
      <c r="E87" s="529">
        <f>IFERROR(HLOOKUP("2026년 7월",원본_RAW!$H$4:$BK$20,MATCH("OLM3_GP",원본_RAW!$A$4:$A$20,0),FALSE),"")</f>
        <v/>
      </c>
      <c r="F87" s="529">
        <f>IFERROR(HLOOKUP("2026년 8월",원본_RAW!$H$4:$BK$20,MATCH("OLM3_GP",원본_RAW!$A$4:$A$20,0),FALSE),"")</f>
        <v/>
      </c>
      <c r="G87" s="529">
        <f>IFERROR(HLOOKUP("2026년 9월",원본_RAW!$H$4:$BK$20,MATCH("OLM3_GP",원본_RAW!$A$4:$A$20,0),FALSE),"")</f>
        <v/>
      </c>
      <c r="H87" s="529">
        <f>IFERROR(HLOOKUP("2026년 10월",원본_RAW!$H$4:$BK$20,MATCH("OLM3_GP",원본_RAW!$A$4:$A$20,0),FALSE),"")</f>
        <v/>
      </c>
      <c r="I87" s="529">
        <f>IFERROR(HLOOKUP("2026년 11월",원본_RAW!$H$4:$BK$20,MATCH("OLM3_GP",원본_RAW!$A$4:$A$20,0),FALSE),"")</f>
        <v/>
      </c>
      <c r="J87" s="529">
        <f>IFERROR(HLOOKUP("2026년 12월",원본_RAW!$H$4:$BK$20,MATCH("OLM3_GP",원본_RAW!$A$4:$A$20,0),FALSE),"")</f>
        <v/>
      </c>
      <c r="K87" s="529">
        <f>IFERROR(HLOOKUP("2027년 1월",원본_RAW!$H$4:$BK$20,MATCH("OLM3_GP",원본_RAW!$A$4:$A$20,0),FALSE),"")</f>
        <v/>
      </c>
      <c r="L87" s="529">
        <f>IFERROR(HLOOKUP("2027년 2월",원본_RAW!$H$4:$BK$20,MATCH("OLM3_GP",원본_RAW!$A$4:$A$20,0),FALSE),"")</f>
        <v/>
      </c>
      <c r="M87" s="529">
        <f>IFERROR(HLOOKUP("2027년 3월",원본_RAW!$H$4:$BK$20,MATCH("OLM3_GP",원본_RAW!$A$4:$A$20,0),FALSE),"")</f>
        <v/>
      </c>
      <c r="N87" s="493">
        <f>SUM(B87:M87)</f>
        <v/>
      </c>
      <c r="O87">
        <f>COUNT(B87:M87)</f>
        <v/>
      </c>
    </row>
    <row r="88">
      <c r="A88" t="inlineStr">
        <is>
          <t>FY2027</t>
        </is>
      </c>
      <c r="B88" s="529">
        <f>IFERROR(HLOOKUP("2027년 4월",원본_RAW!$H$4:$BK$20,MATCH("OLM3_GP",원본_RAW!$A$4:$A$20,0),FALSE),"")</f>
        <v/>
      </c>
      <c r="C88" s="529">
        <f>IFERROR(HLOOKUP("2027년 5월",원본_RAW!$H$4:$BK$20,MATCH("OLM3_GP",원본_RAW!$A$4:$A$20,0),FALSE),"")</f>
        <v/>
      </c>
      <c r="D88" s="529">
        <f>IFERROR(HLOOKUP("2027년 6월",원본_RAW!$H$4:$BK$20,MATCH("OLM3_GP",원본_RAW!$A$4:$A$20,0),FALSE),"")</f>
        <v/>
      </c>
      <c r="E88" s="529">
        <f>IFERROR(HLOOKUP("2027년 7월",원본_RAW!$H$4:$BK$20,MATCH("OLM3_GP",원본_RAW!$A$4:$A$20,0),FALSE),"")</f>
        <v/>
      </c>
      <c r="F88" s="529">
        <f>IFERROR(HLOOKUP("2027년 8월",원본_RAW!$H$4:$BK$20,MATCH("OLM3_GP",원본_RAW!$A$4:$A$20,0),FALSE),"")</f>
        <v/>
      </c>
      <c r="G88" s="529">
        <f>IFERROR(HLOOKUP("2027년 9월",원본_RAW!$H$4:$BK$20,MATCH("OLM3_GP",원본_RAW!$A$4:$A$20,0),FALSE),"")</f>
        <v/>
      </c>
      <c r="H88" s="529">
        <f>IFERROR(HLOOKUP("2027년 10월",원본_RAW!$H$4:$BK$20,MATCH("OLM3_GP",원본_RAW!$A$4:$A$20,0),FALSE),"")</f>
        <v/>
      </c>
      <c r="I88" s="529">
        <f>IFERROR(HLOOKUP("2027년 11월",원본_RAW!$H$4:$BK$20,MATCH("OLM3_GP",원본_RAW!$A$4:$A$20,0),FALSE),"")</f>
        <v/>
      </c>
      <c r="J88" s="529">
        <f>IFERROR(HLOOKUP("2027년 12월",원본_RAW!$H$4:$BK$20,MATCH("OLM3_GP",원본_RAW!$A$4:$A$20,0),FALSE),"")</f>
        <v/>
      </c>
      <c r="K88" s="529">
        <f>IFERROR(HLOOKUP("2028년 1월",원본_RAW!$H$4:$BK$20,MATCH("OLM3_GP",원본_RAW!$A$4:$A$20,0),FALSE),"")</f>
        <v/>
      </c>
      <c r="L88" s="529">
        <f>IFERROR(HLOOKUP("2028년 2월",원본_RAW!$H$4:$BK$20,MATCH("OLM3_GP",원본_RAW!$A$4:$A$20,0),FALSE),"")</f>
        <v/>
      </c>
      <c r="M88" s="529">
        <f>IFERROR(HLOOKUP("2028년 3월",원본_RAW!$H$4:$BK$20,MATCH("OLM3_GP",원본_RAW!$A$4:$A$20,0),FALSE),"")</f>
        <v/>
      </c>
      <c r="N88" s="493">
        <f>SUM(B88:M88)</f>
        <v/>
      </c>
      <c r="O88">
        <f>COUNT(B88:M88)</f>
        <v/>
      </c>
    </row>
    <row r="89">
      <c r="A89" t="inlineStr">
        <is>
          <t>FY2028</t>
        </is>
      </c>
      <c r="B89" s="529">
        <f>IFERROR(HLOOKUP("2028년 4월",원본_RAW!$H$4:$BK$20,MATCH("OLM3_GP",원본_RAW!$A$4:$A$20,0),FALSE),"")</f>
        <v/>
      </c>
      <c r="C89" s="529">
        <f>IFERROR(HLOOKUP("2028년 5월",원본_RAW!$H$4:$BK$20,MATCH("OLM3_GP",원본_RAW!$A$4:$A$20,0),FALSE),"")</f>
        <v/>
      </c>
      <c r="D89" s="529">
        <f>IFERROR(HLOOKUP("2028년 6월",원본_RAW!$H$4:$BK$20,MATCH("OLM3_GP",원본_RAW!$A$4:$A$20,0),FALSE),"")</f>
        <v/>
      </c>
      <c r="E89" s="529">
        <f>IFERROR(HLOOKUP("2028년 7월",원본_RAW!$H$4:$BK$20,MATCH("OLM3_GP",원본_RAW!$A$4:$A$20,0),FALSE),"")</f>
        <v/>
      </c>
      <c r="F89" s="529">
        <f>IFERROR(HLOOKUP("2028년 8월",원본_RAW!$H$4:$BK$20,MATCH("OLM3_GP",원본_RAW!$A$4:$A$20,0),FALSE),"")</f>
        <v/>
      </c>
      <c r="G89" s="529">
        <f>IFERROR(HLOOKUP("2028년 9월",원본_RAW!$H$4:$BK$20,MATCH("OLM3_GP",원본_RAW!$A$4:$A$20,0),FALSE),"")</f>
        <v/>
      </c>
      <c r="H89" s="529">
        <f>IFERROR(HLOOKUP("2028년 10월",원본_RAW!$H$4:$BK$20,MATCH("OLM3_GP",원본_RAW!$A$4:$A$20,0),FALSE),"")</f>
        <v/>
      </c>
      <c r="I89" s="529">
        <f>IFERROR(HLOOKUP("2028년 11월",원본_RAW!$H$4:$BK$20,MATCH("OLM3_GP",원본_RAW!$A$4:$A$20,0),FALSE),"")</f>
        <v/>
      </c>
      <c r="J89" s="529">
        <f>IFERROR(HLOOKUP("2028년 12월",원본_RAW!$H$4:$BK$20,MATCH("OLM3_GP",원본_RAW!$A$4:$A$20,0),FALSE),"")</f>
        <v/>
      </c>
      <c r="K89" s="529">
        <f>IFERROR(HLOOKUP("2029년 1월",원본_RAW!$H$4:$BK$20,MATCH("OLM3_GP",원본_RAW!$A$4:$A$20,0),FALSE),"")</f>
        <v/>
      </c>
      <c r="L89" s="529">
        <f>IFERROR(HLOOKUP("2029년 2월",원본_RAW!$H$4:$BK$20,MATCH("OLM3_GP",원본_RAW!$A$4:$A$20,0),FALSE),"")</f>
        <v/>
      </c>
      <c r="M89" s="529">
        <f>IFERROR(HLOOKUP("2029년 3월",원본_RAW!$H$4:$BK$20,MATCH("OLM3_GP",원본_RAW!$A$4:$A$20,0),FALSE),"")</f>
        <v/>
      </c>
      <c r="N89" s="493">
        <f>SUM(B89:M89)</f>
        <v/>
      </c>
      <c r="O89">
        <f>COUNT(B89:M89)</f>
        <v/>
      </c>
    </row>
    <row r="90">
      <c r="A90" t="inlineStr">
        <is>
          <t>FY2029</t>
        </is>
      </c>
      <c r="B90" s="529">
        <f>IFERROR(HLOOKUP("2029년 4월",원본_RAW!$H$4:$BK$20,MATCH("OLM3_GP",원본_RAW!$A$4:$A$20,0),FALSE),"")</f>
        <v/>
      </c>
      <c r="C90" s="529">
        <f>IFERROR(HLOOKUP("2029년 5월",원본_RAW!$H$4:$BK$20,MATCH("OLM3_GP",원본_RAW!$A$4:$A$20,0),FALSE),"")</f>
        <v/>
      </c>
      <c r="D90" s="529">
        <f>IFERROR(HLOOKUP("2029년 6월",원본_RAW!$H$4:$BK$20,MATCH("OLM3_GP",원본_RAW!$A$4:$A$20,0),FALSE),"")</f>
        <v/>
      </c>
      <c r="E90" s="529">
        <f>IFERROR(HLOOKUP("2029년 7월",원본_RAW!$H$4:$BK$20,MATCH("OLM3_GP",원본_RAW!$A$4:$A$20,0),FALSE),"")</f>
        <v/>
      </c>
      <c r="F90" s="529">
        <f>IFERROR(HLOOKUP("2029년 8월",원본_RAW!$H$4:$BK$20,MATCH("OLM3_GP",원본_RAW!$A$4:$A$20,0),FALSE),"")</f>
        <v/>
      </c>
      <c r="G90" s="529">
        <f>IFERROR(HLOOKUP("2029년 9월",원본_RAW!$H$4:$BK$20,MATCH("OLM3_GP",원본_RAW!$A$4:$A$20,0),FALSE),"")</f>
        <v/>
      </c>
      <c r="H90" s="529">
        <f>IFERROR(HLOOKUP("2029년 10월",원본_RAW!$H$4:$BK$20,MATCH("OLM3_GP",원본_RAW!$A$4:$A$20,0),FALSE),"")</f>
        <v/>
      </c>
      <c r="I90" s="529">
        <f>IFERROR(HLOOKUP("2029년 11월",원본_RAW!$H$4:$BK$20,MATCH("OLM3_GP",원본_RAW!$A$4:$A$20,0),FALSE),"")</f>
        <v/>
      </c>
      <c r="J90" s="529">
        <f>IFERROR(HLOOKUP("2029년 12월",원본_RAW!$H$4:$BK$20,MATCH("OLM3_GP",원본_RAW!$A$4:$A$20,0),FALSE),"")</f>
        <v/>
      </c>
      <c r="K90" s="529">
        <f>IFERROR(HLOOKUP("2030년 1월",원본_RAW!$H$4:$BK$20,MATCH("OLM3_GP",원본_RAW!$A$4:$A$20,0),FALSE),"")</f>
        <v/>
      </c>
      <c r="L90" s="529">
        <f>IFERROR(HLOOKUP("2030년 2월",원본_RAW!$H$4:$BK$20,MATCH("OLM3_GP",원본_RAW!$A$4:$A$20,0),FALSE),"")</f>
        <v/>
      </c>
      <c r="M90" s="529">
        <f>IFERROR(HLOOKUP("2030년 3월",원본_RAW!$H$4:$BK$20,MATCH("OLM3_GP",원본_RAW!$A$4:$A$20,0),FALSE),"")</f>
        <v/>
      </c>
      <c r="N90" s="493">
        <f>SUM(B90:M90)</f>
        <v/>
      </c>
      <c r="O90">
        <f>COUNT(B90:M90)</f>
        <v/>
      </c>
    </row>
    <row r="91">
      <c r="A91" t="inlineStr">
        <is>
          <t>FY2030</t>
        </is>
      </c>
      <c r="B91" s="529">
        <f>IFERROR(HLOOKUP("2030년 4월",원본_RAW!$H$4:$BK$20,MATCH("OLM3_GP",원본_RAW!$A$4:$A$20,0),FALSE),"")</f>
        <v/>
      </c>
      <c r="C91" s="529">
        <f>IFERROR(HLOOKUP("2030년 5월",원본_RAW!$H$4:$BK$20,MATCH("OLM3_GP",원본_RAW!$A$4:$A$20,0),FALSE),"")</f>
        <v/>
      </c>
      <c r="D91" s="529">
        <f>IFERROR(HLOOKUP("2030년 6월",원본_RAW!$H$4:$BK$20,MATCH("OLM3_GP",원본_RAW!$A$4:$A$20,0),FALSE),"")</f>
        <v/>
      </c>
      <c r="E91" s="529">
        <f>IFERROR(HLOOKUP("2030년 7월",원본_RAW!$H$4:$BK$20,MATCH("OLM3_GP",원본_RAW!$A$4:$A$20,0),FALSE),"")</f>
        <v/>
      </c>
      <c r="F91" s="529">
        <f>IFERROR(HLOOKUP("2030년 8월",원본_RAW!$H$4:$BK$20,MATCH("OLM3_GP",원본_RAW!$A$4:$A$20,0),FALSE),"")</f>
        <v/>
      </c>
      <c r="G91" s="529">
        <f>IFERROR(HLOOKUP("2030년 9월",원본_RAW!$H$4:$BK$20,MATCH("OLM3_GP",원본_RAW!$A$4:$A$20,0),FALSE),"")</f>
        <v/>
      </c>
      <c r="H91" s="529">
        <f>IFERROR(HLOOKUP("2030년 10월",원본_RAW!$H$4:$BK$20,MATCH("OLM3_GP",원본_RAW!$A$4:$A$20,0),FALSE),"")</f>
        <v/>
      </c>
      <c r="I91" s="529">
        <f>IFERROR(HLOOKUP("2030년 11월",원본_RAW!$H$4:$BK$20,MATCH("OLM3_GP",원본_RAW!$A$4:$A$20,0),FALSE),"")</f>
        <v/>
      </c>
      <c r="J91" s="529">
        <f>IFERROR(HLOOKUP("2030년 12월",원본_RAW!$H$4:$BK$20,MATCH("OLM3_GP",원본_RAW!$A$4:$A$20,0),FALSE),"")</f>
        <v/>
      </c>
      <c r="K91" s="529">
        <f>IFERROR(HLOOKUP("2031년 1월",원본_RAW!$H$4:$BK$20,MATCH("OLM3_GP",원본_RAW!$A$4:$A$20,0),FALSE),"")</f>
        <v/>
      </c>
      <c r="L91" s="529">
        <f>IFERROR(HLOOKUP("2031년 2월",원본_RAW!$H$4:$BK$20,MATCH("OLM3_GP",원본_RAW!$A$4:$A$20,0),FALSE),"")</f>
        <v/>
      </c>
      <c r="M91" s="529">
        <f>IFERROR(HLOOKUP("2031년 3월",원본_RAW!$H$4:$BK$20,MATCH("OLM3_GP",원본_RAW!$A$4:$A$20,0),FALSE),"")</f>
        <v/>
      </c>
      <c r="N91" s="493">
        <f>SUM(B91:M91)</f>
        <v/>
      </c>
      <c r="O91">
        <f>COUNT(B91:M91)</f>
        <v/>
      </c>
    </row>
    <row r="93">
      <c r="A93" s="526" t="inlineStr">
        <is>
          <t>■ D. 세비카HCT 오리지널 처방량 (DOT)</t>
        </is>
      </c>
    </row>
    <row r="94">
      <c r="A94" s="527" t="inlineStr">
        <is>
          <t>[HP] FY ＼ 월</t>
        </is>
      </c>
      <c r="B94" s="528" t="inlineStr">
        <is>
          <t>4월</t>
        </is>
      </c>
      <c r="C94" s="528" t="inlineStr">
        <is>
          <t>5월</t>
        </is>
      </c>
      <c r="D94" s="528" t="inlineStr">
        <is>
          <t>6월</t>
        </is>
      </c>
      <c r="E94" s="528" t="inlineStr">
        <is>
          <t>7월</t>
        </is>
      </c>
      <c r="F94" s="528" t="inlineStr">
        <is>
          <t>8월</t>
        </is>
      </c>
      <c r="G94" s="528" t="inlineStr">
        <is>
          <t>9월</t>
        </is>
      </c>
      <c r="H94" s="528" t="inlineStr">
        <is>
          <t>10월</t>
        </is>
      </c>
      <c r="I94" s="528" t="inlineStr">
        <is>
          <t>11월</t>
        </is>
      </c>
      <c r="J94" s="528" t="inlineStr">
        <is>
          <t>12월</t>
        </is>
      </c>
      <c r="K94" s="528" t="inlineStr">
        <is>
          <t>1월</t>
        </is>
      </c>
      <c r="L94" s="528" t="inlineStr">
        <is>
          <t>2월</t>
        </is>
      </c>
      <c r="M94" s="528" t="inlineStr">
        <is>
          <t>3월</t>
        </is>
      </c>
      <c r="N94" s="527" t="inlineStr">
        <is>
          <t>FY 합계</t>
        </is>
      </c>
      <c r="O94" s="527" t="inlineStr">
        <is>
          <t>실측월수</t>
        </is>
      </c>
    </row>
    <row r="95">
      <c r="A95" t="inlineStr">
        <is>
          <t>FY2018</t>
        </is>
      </c>
      <c r="B95" s="500" t="n"/>
      <c r="C95" s="500" t="n"/>
      <c r="D95" s="500" t="n"/>
      <c r="E95" s="500" t="n"/>
      <c r="F95" s="500" t="n"/>
      <c r="G95" s="500" t="n"/>
      <c r="H95" s="500" t="n"/>
      <c r="I95" s="500" t="n"/>
      <c r="J95" s="500" t="n"/>
      <c r="K95" s="500" t="n"/>
      <c r="L95" s="500" t="n"/>
      <c r="M95" s="500" t="n"/>
      <c r="N95" s="493">
        <f>SUM(B95:M95)</f>
        <v/>
      </c>
      <c r="O95">
        <f>COUNT(B95:M95)</f>
        <v/>
      </c>
    </row>
    <row r="96">
      <c r="A96" t="inlineStr">
        <is>
          <t>FY2019</t>
        </is>
      </c>
      <c r="B96" s="500" t="n"/>
      <c r="C96" s="500" t="n"/>
      <c r="D96" s="500" t="n"/>
      <c r="E96" s="500" t="n"/>
      <c r="F96" s="500" t="n"/>
      <c r="G96" s="500" t="n"/>
      <c r="H96" s="500" t="n"/>
      <c r="I96" s="500" t="n"/>
      <c r="J96" s="500" t="n"/>
      <c r="K96" s="500" t="n"/>
      <c r="L96" s="500" t="n"/>
      <c r="M96" s="500" t="n"/>
      <c r="N96" s="493">
        <f>SUM(B96:M96)</f>
        <v/>
      </c>
      <c r="O96">
        <f>COUNT(B96:M96)</f>
        <v/>
      </c>
    </row>
    <row r="97">
      <c r="A97" t="inlineStr">
        <is>
          <t>FY2020</t>
        </is>
      </c>
      <c r="B97" s="500" t="n"/>
      <c r="C97" s="500" t="n"/>
      <c r="D97" s="500" t="n"/>
      <c r="E97" s="500" t="n"/>
      <c r="F97" s="500" t="n"/>
      <c r="G97" s="500" t="n"/>
      <c r="H97" s="500" t="n"/>
      <c r="I97" s="500" t="n"/>
      <c r="J97" s="500" t="n"/>
      <c r="K97" s="500" t="n"/>
      <c r="L97" s="500" t="n"/>
      <c r="M97" s="500" t="n"/>
      <c r="N97" s="493">
        <f>SUM(B97:M97)</f>
        <v/>
      </c>
      <c r="O97">
        <f>COUNT(B97:M97)</f>
        <v/>
      </c>
    </row>
    <row r="98">
      <c r="A98" t="inlineStr">
        <is>
          <t>FY2021</t>
        </is>
      </c>
      <c r="B98" s="500" t="n"/>
      <c r="C98" s="500" t="n"/>
      <c r="D98" s="500" t="n"/>
      <c r="E98" s="500" t="n"/>
      <c r="F98" s="500" t="n"/>
      <c r="G98" s="500" t="n"/>
      <c r="H98" s="500" t="n"/>
      <c r="I98" s="500" t="n"/>
      <c r="J98" s="500" t="n"/>
      <c r="K98" s="500" t="n"/>
      <c r="L98" s="500" t="n"/>
      <c r="M98" s="500" t="n"/>
      <c r="N98" s="493">
        <f>SUM(B98:M98)</f>
        <v/>
      </c>
      <c r="O98">
        <f>COUNT(B98:M98)</f>
        <v/>
      </c>
    </row>
    <row r="99">
      <c r="A99" t="inlineStr">
        <is>
          <t>FY2022</t>
        </is>
      </c>
      <c r="B99" s="500" t="n"/>
      <c r="C99" s="500" t="n"/>
      <c r="D99" s="500" t="n"/>
      <c r="E99" s="500" t="n"/>
      <c r="F99" s="500" t="n"/>
      <c r="G99" s="500" t="n"/>
      <c r="H99" s="500" t="n"/>
      <c r="I99" s="500" t="n"/>
      <c r="J99" s="500" t="n"/>
      <c r="K99" s="500" t="n"/>
      <c r="L99" s="500" t="n"/>
      <c r="M99" s="500" t="n"/>
      <c r="N99" s="493">
        <f>SUM(B99:M99)</f>
        <v/>
      </c>
      <c r="O99">
        <f>COUNT(B99:M99)</f>
        <v/>
      </c>
    </row>
    <row r="100">
      <c r="A100" t="inlineStr">
        <is>
          <t>FY2023</t>
        </is>
      </c>
      <c r="B100" s="500" t="n"/>
      <c r="C100" s="500" t="n"/>
      <c r="D100" s="500" t="n"/>
      <c r="E100" s="500" t="n"/>
      <c r="F100" s="500" t="n"/>
      <c r="G100" s="500" t="n"/>
      <c r="H100" s="500" t="n"/>
      <c r="I100" s="500" t="n"/>
      <c r="J100" s="500" t="n"/>
      <c r="K100" s="500" t="n"/>
      <c r="L100" s="500" t="n"/>
      <c r="M100" s="500" t="n"/>
      <c r="N100" s="493">
        <f>SUM(B100:M100)</f>
        <v/>
      </c>
      <c r="O100">
        <f>COUNT(B100:M100)</f>
        <v/>
      </c>
    </row>
    <row r="101">
      <c r="A101" t="inlineStr">
        <is>
          <t>FY2024</t>
        </is>
      </c>
      <c r="B101" s="500" t="n"/>
      <c r="C101" s="500" t="n"/>
      <c r="D101" s="500" t="n"/>
      <c r="E101" s="500" t="n"/>
      <c r="F101" s="500" t="n"/>
      <c r="G101" s="500" t="n"/>
      <c r="H101" s="500" t="n"/>
      <c r="I101" s="500" t="n"/>
      <c r="J101" s="500" t="n"/>
      <c r="K101" s="500" t="n"/>
      <c r="L101" s="500" t="n"/>
      <c r="M101" s="500" t="n"/>
      <c r="N101" s="493">
        <f>SUM(B101:M101)</f>
        <v/>
      </c>
      <c r="O101">
        <f>COUNT(B101:M101)</f>
        <v/>
      </c>
    </row>
    <row r="102">
      <c r="A102" t="inlineStr">
        <is>
          <t>FY2025</t>
        </is>
      </c>
      <c r="B102" s="500" t="n"/>
      <c r="C102" s="500" t="n"/>
      <c r="D102" s="500" t="n"/>
      <c r="E102" s="500" t="n"/>
      <c r="F102" s="500" t="n"/>
      <c r="G102" s="500" t="n"/>
      <c r="H102" s="500" t="n"/>
      <c r="I102" s="500" t="n"/>
      <c r="J102" s="500" t="n"/>
      <c r="K102" s="500" t="n"/>
      <c r="L102" s="500" t="n"/>
      <c r="M102" s="500" t="n"/>
      <c r="N102" s="493">
        <f>SUM(B102:M102)</f>
        <v/>
      </c>
      <c r="O102">
        <f>COUNT(B102:M102)</f>
        <v/>
      </c>
    </row>
    <row r="103">
      <c r="A103" t="inlineStr">
        <is>
          <t>FY2026</t>
        </is>
      </c>
      <c r="B103" s="529">
        <f>IFERROR(HLOOKUP("2026년 4월",원본_RAW!$H$4:$BK$20,MATCH("SVKHCT_HP",원본_RAW!$A$4:$A$20,0),FALSE),"")</f>
        <v/>
      </c>
      <c r="C103" s="529">
        <f>IFERROR(HLOOKUP("2026년 5월",원본_RAW!$H$4:$BK$20,MATCH("SVKHCT_HP",원본_RAW!$A$4:$A$20,0),FALSE),"")</f>
        <v/>
      </c>
      <c r="D103" s="529">
        <f>IFERROR(HLOOKUP("2026년 6월",원본_RAW!$H$4:$BK$20,MATCH("SVKHCT_HP",원본_RAW!$A$4:$A$20,0),FALSE),"")</f>
        <v/>
      </c>
      <c r="E103" s="529">
        <f>IFERROR(HLOOKUP("2026년 7월",원본_RAW!$H$4:$BK$20,MATCH("SVKHCT_HP",원본_RAW!$A$4:$A$20,0),FALSE),"")</f>
        <v/>
      </c>
      <c r="F103" s="529">
        <f>IFERROR(HLOOKUP("2026년 8월",원본_RAW!$H$4:$BK$20,MATCH("SVKHCT_HP",원본_RAW!$A$4:$A$20,0),FALSE),"")</f>
        <v/>
      </c>
      <c r="G103" s="529">
        <f>IFERROR(HLOOKUP("2026년 9월",원본_RAW!$H$4:$BK$20,MATCH("SVKHCT_HP",원본_RAW!$A$4:$A$20,0),FALSE),"")</f>
        <v/>
      </c>
      <c r="H103" s="529">
        <f>IFERROR(HLOOKUP("2026년 10월",원본_RAW!$H$4:$BK$20,MATCH("SVKHCT_HP",원본_RAW!$A$4:$A$20,0),FALSE),"")</f>
        <v/>
      </c>
      <c r="I103" s="529">
        <f>IFERROR(HLOOKUP("2026년 11월",원본_RAW!$H$4:$BK$20,MATCH("SVKHCT_HP",원본_RAW!$A$4:$A$20,0),FALSE),"")</f>
        <v/>
      </c>
      <c r="J103" s="529">
        <f>IFERROR(HLOOKUP("2026년 12월",원본_RAW!$H$4:$BK$20,MATCH("SVKHCT_HP",원본_RAW!$A$4:$A$20,0),FALSE),"")</f>
        <v/>
      </c>
      <c r="K103" s="529">
        <f>IFERROR(HLOOKUP("2027년 1월",원본_RAW!$H$4:$BK$20,MATCH("SVKHCT_HP",원본_RAW!$A$4:$A$20,0),FALSE),"")</f>
        <v/>
      </c>
      <c r="L103" s="529">
        <f>IFERROR(HLOOKUP("2027년 2월",원본_RAW!$H$4:$BK$20,MATCH("SVKHCT_HP",원본_RAW!$A$4:$A$20,0),FALSE),"")</f>
        <v/>
      </c>
      <c r="M103" s="529">
        <f>IFERROR(HLOOKUP("2027년 3월",원본_RAW!$H$4:$BK$20,MATCH("SVKHCT_HP",원본_RAW!$A$4:$A$20,0),FALSE),"")</f>
        <v/>
      </c>
      <c r="N103" s="493">
        <f>SUM(B103:M103)</f>
        <v/>
      </c>
      <c r="O103">
        <f>COUNT(B103:M103)</f>
        <v/>
      </c>
    </row>
    <row r="104">
      <c r="A104" t="inlineStr">
        <is>
          <t>FY2027</t>
        </is>
      </c>
      <c r="B104" s="529">
        <f>IFERROR(HLOOKUP("2027년 4월",원본_RAW!$H$4:$BK$20,MATCH("SVKHCT_HP",원본_RAW!$A$4:$A$20,0),FALSE),"")</f>
        <v/>
      </c>
      <c r="C104" s="529">
        <f>IFERROR(HLOOKUP("2027년 5월",원본_RAW!$H$4:$BK$20,MATCH("SVKHCT_HP",원본_RAW!$A$4:$A$20,0),FALSE),"")</f>
        <v/>
      </c>
      <c r="D104" s="529">
        <f>IFERROR(HLOOKUP("2027년 6월",원본_RAW!$H$4:$BK$20,MATCH("SVKHCT_HP",원본_RAW!$A$4:$A$20,0),FALSE),"")</f>
        <v/>
      </c>
      <c r="E104" s="529">
        <f>IFERROR(HLOOKUP("2027년 7월",원본_RAW!$H$4:$BK$20,MATCH("SVKHCT_HP",원본_RAW!$A$4:$A$20,0),FALSE),"")</f>
        <v/>
      </c>
      <c r="F104" s="529">
        <f>IFERROR(HLOOKUP("2027년 8월",원본_RAW!$H$4:$BK$20,MATCH("SVKHCT_HP",원본_RAW!$A$4:$A$20,0),FALSE),"")</f>
        <v/>
      </c>
      <c r="G104" s="529">
        <f>IFERROR(HLOOKUP("2027년 9월",원본_RAW!$H$4:$BK$20,MATCH("SVKHCT_HP",원본_RAW!$A$4:$A$20,0),FALSE),"")</f>
        <v/>
      </c>
      <c r="H104" s="529">
        <f>IFERROR(HLOOKUP("2027년 10월",원본_RAW!$H$4:$BK$20,MATCH("SVKHCT_HP",원본_RAW!$A$4:$A$20,0),FALSE),"")</f>
        <v/>
      </c>
      <c r="I104" s="529">
        <f>IFERROR(HLOOKUP("2027년 11월",원본_RAW!$H$4:$BK$20,MATCH("SVKHCT_HP",원본_RAW!$A$4:$A$20,0),FALSE),"")</f>
        <v/>
      </c>
      <c r="J104" s="529">
        <f>IFERROR(HLOOKUP("2027년 12월",원본_RAW!$H$4:$BK$20,MATCH("SVKHCT_HP",원본_RAW!$A$4:$A$20,0),FALSE),"")</f>
        <v/>
      </c>
      <c r="K104" s="529">
        <f>IFERROR(HLOOKUP("2028년 1월",원본_RAW!$H$4:$BK$20,MATCH("SVKHCT_HP",원본_RAW!$A$4:$A$20,0),FALSE),"")</f>
        <v/>
      </c>
      <c r="L104" s="529">
        <f>IFERROR(HLOOKUP("2028년 2월",원본_RAW!$H$4:$BK$20,MATCH("SVKHCT_HP",원본_RAW!$A$4:$A$20,0),FALSE),"")</f>
        <v/>
      </c>
      <c r="M104" s="529">
        <f>IFERROR(HLOOKUP("2028년 3월",원본_RAW!$H$4:$BK$20,MATCH("SVKHCT_HP",원본_RAW!$A$4:$A$20,0),FALSE),"")</f>
        <v/>
      </c>
      <c r="N104" s="493">
        <f>SUM(B104:M104)</f>
        <v/>
      </c>
      <c r="O104">
        <f>COUNT(B104:M104)</f>
        <v/>
      </c>
    </row>
    <row r="105">
      <c r="A105" t="inlineStr">
        <is>
          <t>FY2028</t>
        </is>
      </c>
      <c r="B105" s="529">
        <f>IFERROR(HLOOKUP("2028년 4월",원본_RAW!$H$4:$BK$20,MATCH("SVKHCT_HP",원본_RAW!$A$4:$A$20,0),FALSE),"")</f>
        <v/>
      </c>
      <c r="C105" s="529">
        <f>IFERROR(HLOOKUP("2028년 5월",원본_RAW!$H$4:$BK$20,MATCH("SVKHCT_HP",원본_RAW!$A$4:$A$20,0),FALSE),"")</f>
        <v/>
      </c>
      <c r="D105" s="529">
        <f>IFERROR(HLOOKUP("2028년 6월",원본_RAW!$H$4:$BK$20,MATCH("SVKHCT_HP",원본_RAW!$A$4:$A$20,0),FALSE),"")</f>
        <v/>
      </c>
      <c r="E105" s="529">
        <f>IFERROR(HLOOKUP("2028년 7월",원본_RAW!$H$4:$BK$20,MATCH("SVKHCT_HP",원본_RAW!$A$4:$A$20,0),FALSE),"")</f>
        <v/>
      </c>
      <c r="F105" s="529">
        <f>IFERROR(HLOOKUP("2028년 8월",원본_RAW!$H$4:$BK$20,MATCH("SVKHCT_HP",원본_RAW!$A$4:$A$20,0),FALSE),"")</f>
        <v/>
      </c>
      <c r="G105" s="529">
        <f>IFERROR(HLOOKUP("2028년 9월",원본_RAW!$H$4:$BK$20,MATCH("SVKHCT_HP",원본_RAW!$A$4:$A$20,0),FALSE),"")</f>
        <v/>
      </c>
      <c r="H105" s="529">
        <f>IFERROR(HLOOKUP("2028년 10월",원본_RAW!$H$4:$BK$20,MATCH("SVKHCT_HP",원본_RAW!$A$4:$A$20,0),FALSE),"")</f>
        <v/>
      </c>
      <c r="I105" s="529">
        <f>IFERROR(HLOOKUP("2028년 11월",원본_RAW!$H$4:$BK$20,MATCH("SVKHCT_HP",원본_RAW!$A$4:$A$20,0),FALSE),"")</f>
        <v/>
      </c>
      <c r="J105" s="529">
        <f>IFERROR(HLOOKUP("2028년 12월",원본_RAW!$H$4:$BK$20,MATCH("SVKHCT_HP",원본_RAW!$A$4:$A$20,0),FALSE),"")</f>
        <v/>
      </c>
      <c r="K105" s="529">
        <f>IFERROR(HLOOKUP("2029년 1월",원본_RAW!$H$4:$BK$20,MATCH("SVKHCT_HP",원본_RAW!$A$4:$A$20,0),FALSE),"")</f>
        <v/>
      </c>
      <c r="L105" s="529">
        <f>IFERROR(HLOOKUP("2029년 2월",원본_RAW!$H$4:$BK$20,MATCH("SVKHCT_HP",원본_RAW!$A$4:$A$20,0),FALSE),"")</f>
        <v/>
      </c>
      <c r="M105" s="529">
        <f>IFERROR(HLOOKUP("2029년 3월",원본_RAW!$H$4:$BK$20,MATCH("SVKHCT_HP",원본_RAW!$A$4:$A$20,0),FALSE),"")</f>
        <v/>
      </c>
      <c r="N105" s="493">
        <f>SUM(B105:M105)</f>
        <v/>
      </c>
      <c r="O105">
        <f>COUNT(B105:M105)</f>
        <v/>
      </c>
    </row>
    <row r="106">
      <c r="A106" t="inlineStr">
        <is>
          <t>FY2029</t>
        </is>
      </c>
      <c r="B106" s="529">
        <f>IFERROR(HLOOKUP("2029년 4월",원본_RAW!$H$4:$BK$20,MATCH("SVKHCT_HP",원본_RAW!$A$4:$A$20,0),FALSE),"")</f>
        <v/>
      </c>
      <c r="C106" s="529">
        <f>IFERROR(HLOOKUP("2029년 5월",원본_RAW!$H$4:$BK$20,MATCH("SVKHCT_HP",원본_RAW!$A$4:$A$20,0),FALSE),"")</f>
        <v/>
      </c>
      <c r="D106" s="529">
        <f>IFERROR(HLOOKUP("2029년 6월",원본_RAW!$H$4:$BK$20,MATCH("SVKHCT_HP",원본_RAW!$A$4:$A$20,0),FALSE),"")</f>
        <v/>
      </c>
      <c r="E106" s="529">
        <f>IFERROR(HLOOKUP("2029년 7월",원본_RAW!$H$4:$BK$20,MATCH("SVKHCT_HP",원본_RAW!$A$4:$A$20,0),FALSE),"")</f>
        <v/>
      </c>
      <c r="F106" s="529">
        <f>IFERROR(HLOOKUP("2029년 8월",원본_RAW!$H$4:$BK$20,MATCH("SVKHCT_HP",원본_RAW!$A$4:$A$20,0),FALSE),"")</f>
        <v/>
      </c>
      <c r="G106" s="529">
        <f>IFERROR(HLOOKUP("2029년 9월",원본_RAW!$H$4:$BK$20,MATCH("SVKHCT_HP",원본_RAW!$A$4:$A$20,0),FALSE),"")</f>
        <v/>
      </c>
      <c r="H106" s="529">
        <f>IFERROR(HLOOKUP("2029년 10월",원본_RAW!$H$4:$BK$20,MATCH("SVKHCT_HP",원본_RAW!$A$4:$A$20,0),FALSE),"")</f>
        <v/>
      </c>
      <c r="I106" s="529">
        <f>IFERROR(HLOOKUP("2029년 11월",원본_RAW!$H$4:$BK$20,MATCH("SVKHCT_HP",원본_RAW!$A$4:$A$20,0),FALSE),"")</f>
        <v/>
      </c>
      <c r="J106" s="529">
        <f>IFERROR(HLOOKUP("2029년 12월",원본_RAW!$H$4:$BK$20,MATCH("SVKHCT_HP",원본_RAW!$A$4:$A$20,0),FALSE),"")</f>
        <v/>
      </c>
      <c r="K106" s="529">
        <f>IFERROR(HLOOKUP("2030년 1월",원본_RAW!$H$4:$BK$20,MATCH("SVKHCT_HP",원본_RAW!$A$4:$A$20,0),FALSE),"")</f>
        <v/>
      </c>
      <c r="L106" s="529">
        <f>IFERROR(HLOOKUP("2030년 2월",원본_RAW!$H$4:$BK$20,MATCH("SVKHCT_HP",원본_RAW!$A$4:$A$20,0),FALSE),"")</f>
        <v/>
      </c>
      <c r="M106" s="529">
        <f>IFERROR(HLOOKUP("2030년 3월",원본_RAW!$H$4:$BK$20,MATCH("SVKHCT_HP",원본_RAW!$A$4:$A$20,0),FALSE),"")</f>
        <v/>
      </c>
      <c r="N106" s="493">
        <f>SUM(B106:M106)</f>
        <v/>
      </c>
      <c r="O106">
        <f>COUNT(B106:M106)</f>
        <v/>
      </c>
    </row>
    <row r="107">
      <c r="A107" t="inlineStr">
        <is>
          <t>FY2030</t>
        </is>
      </c>
      <c r="B107" s="529">
        <f>IFERROR(HLOOKUP("2030년 4월",원본_RAW!$H$4:$BK$20,MATCH("SVKHCT_HP",원본_RAW!$A$4:$A$20,0),FALSE),"")</f>
        <v/>
      </c>
      <c r="C107" s="529">
        <f>IFERROR(HLOOKUP("2030년 5월",원본_RAW!$H$4:$BK$20,MATCH("SVKHCT_HP",원본_RAW!$A$4:$A$20,0),FALSE),"")</f>
        <v/>
      </c>
      <c r="D107" s="529">
        <f>IFERROR(HLOOKUP("2030년 6월",원본_RAW!$H$4:$BK$20,MATCH("SVKHCT_HP",원본_RAW!$A$4:$A$20,0),FALSE),"")</f>
        <v/>
      </c>
      <c r="E107" s="529">
        <f>IFERROR(HLOOKUP("2030년 7월",원본_RAW!$H$4:$BK$20,MATCH("SVKHCT_HP",원본_RAW!$A$4:$A$20,0),FALSE),"")</f>
        <v/>
      </c>
      <c r="F107" s="529">
        <f>IFERROR(HLOOKUP("2030년 8월",원본_RAW!$H$4:$BK$20,MATCH("SVKHCT_HP",원본_RAW!$A$4:$A$20,0),FALSE),"")</f>
        <v/>
      </c>
      <c r="G107" s="529">
        <f>IFERROR(HLOOKUP("2030년 9월",원본_RAW!$H$4:$BK$20,MATCH("SVKHCT_HP",원본_RAW!$A$4:$A$20,0),FALSE),"")</f>
        <v/>
      </c>
      <c r="H107" s="529">
        <f>IFERROR(HLOOKUP("2030년 10월",원본_RAW!$H$4:$BK$20,MATCH("SVKHCT_HP",원본_RAW!$A$4:$A$20,0),FALSE),"")</f>
        <v/>
      </c>
      <c r="I107" s="529">
        <f>IFERROR(HLOOKUP("2030년 11월",원본_RAW!$H$4:$BK$20,MATCH("SVKHCT_HP",원본_RAW!$A$4:$A$20,0),FALSE),"")</f>
        <v/>
      </c>
      <c r="J107" s="529">
        <f>IFERROR(HLOOKUP("2030년 12월",원본_RAW!$H$4:$BK$20,MATCH("SVKHCT_HP",원본_RAW!$A$4:$A$20,0),FALSE),"")</f>
        <v/>
      </c>
      <c r="K107" s="529">
        <f>IFERROR(HLOOKUP("2031년 1월",원본_RAW!$H$4:$BK$20,MATCH("SVKHCT_HP",원본_RAW!$A$4:$A$20,0),FALSE),"")</f>
        <v/>
      </c>
      <c r="L107" s="529">
        <f>IFERROR(HLOOKUP("2031년 2월",원본_RAW!$H$4:$BK$20,MATCH("SVKHCT_HP",원본_RAW!$A$4:$A$20,0),FALSE),"")</f>
        <v/>
      </c>
      <c r="M107" s="529">
        <f>IFERROR(HLOOKUP("2031년 3월",원본_RAW!$H$4:$BK$20,MATCH("SVKHCT_HP",원본_RAW!$A$4:$A$20,0),FALSE),"")</f>
        <v/>
      </c>
      <c r="N107" s="493">
        <f>SUM(B107:M107)</f>
        <v/>
      </c>
      <c r="O107">
        <f>COUNT(B107:M107)</f>
        <v/>
      </c>
    </row>
    <row r="109">
      <c r="A109" s="527" t="inlineStr">
        <is>
          <t>[GP] FY ＼ 월</t>
        </is>
      </c>
      <c r="B109" s="528" t="inlineStr">
        <is>
          <t>4월</t>
        </is>
      </c>
      <c r="C109" s="528" t="inlineStr">
        <is>
          <t>5월</t>
        </is>
      </c>
      <c r="D109" s="528" t="inlineStr">
        <is>
          <t>6월</t>
        </is>
      </c>
      <c r="E109" s="528" t="inlineStr">
        <is>
          <t>7월</t>
        </is>
      </c>
      <c r="F109" s="528" t="inlineStr">
        <is>
          <t>8월</t>
        </is>
      </c>
      <c r="G109" s="528" t="inlineStr">
        <is>
          <t>9월</t>
        </is>
      </c>
      <c r="H109" s="528" t="inlineStr">
        <is>
          <t>10월</t>
        </is>
      </c>
      <c r="I109" s="528" t="inlineStr">
        <is>
          <t>11월</t>
        </is>
      </c>
      <c r="J109" s="528" t="inlineStr">
        <is>
          <t>12월</t>
        </is>
      </c>
      <c r="K109" s="528" t="inlineStr">
        <is>
          <t>1월</t>
        </is>
      </c>
      <c r="L109" s="528" t="inlineStr">
        <is>
          <t>2월</t>
        </is>
      </c>
      <c r="M109" s="528" t="inlineStr">
        <is>
          <t>3월</t>
        </is>
      </c>
      <c r="N109" s="527" t="inlineStr">
        <is>
          <t>FY 합계</t>
        </is>
      </c>
      <c r="O109" s="527" t="inlineStr">
        <is>
          <t>실측월수</t>
        </is>
      </c>
    </row>
    <row r="110">
      <c r="A110" t="inlineStr">
        <is>
          <t>FY2018</t>
        </is>
      </c>
      <c r="B110" s="500" t="n"/>
      <c r="C110" s="500" t="n"/>
      <c r="D110" s="500" t="n"/>
      <c r="E110" s="500" t="n"/>
      <c r="F110" s="500" t="n"/>
      <c r="G110" s="500" t="n"/>
      <c r="H110" s="500" t="n"/>
      <c r="I110" s="500" t="n"/>
      <c r="J110" s="500" t="n"/>
      <c r="K110" s="500" t="n"/>
      <c r="L110" s="500" t="n"/>
      <c r="M110" s="500" t="n"/>
      <c r="N110" s="493">
        <f>SUM(B110:M110)</f>
        <v/>
      </c>
      <c r="O110">
        <f>COUNT(B110:M110)</f>
        <v/>
      </c>
    </row>
    <row r="111">
      <c r="A111" t="inlineStr">
        <is>
          <t>FY2019</t>
        </is>
      </c>
      <c r="B111" s="500" t="n"/>
      <c r="C111" s="500" t="n"/>
      <c r="D111" s="500" t="n"/>
      <c r="E111" s="500" t="n"/>
      <c r="F111" s="500" t="n"/>
      <c r="G111" s="500" t="n"/>
      <c r="H111" s="500" t="n"/>
      <c r="I111" s="500" t="n"/>
      <c r="J111" s="500" t="n"/>
      <c r="K111" s="500" t="n"/>
      <c r="L111" s="500" t="n"/>
      <c r="M111" s="500" t="n"/>
      <c r="N111" s="493">
        <f>SUM(B111:M111)</f>
        <v/>
      </c>
      <c r="O111">
        <f>COUNT(B111:M111)</f>
        <v/>
      </c>
    </row>
    <row r="112">
      <c r="A112" t="inlineStr">
        <is>
          <t>FY2020</t>
        </is>
      </c>
      <c r="B112" s="500" t="n"/>
      <c r="C112" s="500" t="n"/>
      <c r="D112" s="500" t="n"/>
      <c r="E112" s="500" t="n"/>
      <c r="F112" s="500" t="n"/>
      <c r="G112" s="500" t="n"/>
      <c r="H112" s="500" t="n"/>
      <c r="I112" s="500" t="n"/>
      <c r="J112" s="500" t="n"/>
      <c r="K112" s="500" t="n"/>
      <c r="L112" s="500" t="n"/>
      <c r="M112" s="500" t="n"/>
      <c r="N112" s="493">
        <f>SUM(B112:M112)</f>
        <v/>
      </c>
      <c r="O112">
        <f>COUNT(B112:M112)</f>
        <v/>
      </c>
    </row>
    <row r="113">
      <c r="A113" t="inlineStr">
        <is>
          <t>FY2021</t>
        </is>
      </c>
      <c r="B113" s="500" t="n"/>
      <c r="C113" s="500" t="n"/>
      <c r="D113" s="500" t="n"/>
      <c r="E113" s="500" t="n"/>
      <c r="F113" s="500" t="n"/>
      <c r="G113" s="500" t="n"/>
      <c r="H113" s="500" t="n"/>
      <c r="I113" s="500" t="n"/>
      <c r="J113" s="500" t="n"/>
      <c r="K113" s="500" t="n"/>
      <c r="L113" s="500" t="n"/>
      <c r="M113" s="500" t="n"/>
      <c r="N113" s="493">
        <f>SUM(B113:M113)</f>
        <v/>
      </c>
      <c r="O113">
        <f>COUNT(B113:M113)</f>
        <v/>
      </c>
    </row>
    <row r="114">
      <c r="A114" t="inlineStr">
        <is>
          <t>FY2022</t>
        </is>
      </c>
      <c r="B114" s="500" t="n"/>
      <c r="C114" s="500" t="n"/>
      <c r="D114" s="500" t="n"/>
      <c r="E114" s="500" t="n"/>
      <c r="F114" s="500" t="n"/>
      <c r="G114" s="500" t="n"/>
      <c r="H114" s="500" t="n"/>
      <c r="I114" s="500" t="n"/>
      <c r="J114" s="500" t="n"/>
      <c r="K114" s="500" t="n"/>
      <c r="L114" s="500" t="n"/>
      <c r="M114" s="500" t="n"/>
      <c r="N114" s="493">
        <f>SUM(B114:M114)</f>
        <v/>
      </c>
      <c r="O114">
        <f>COUNT(B114:M114)</f>
        <v/>
      </c>
    </row>
    <row r="115">
      <c r="A115" t="inlineStr">
        <is>
          <t>FY2023</t>
        </is>
      </c>
      <c r="B115" s="500" t="n"/>
      <c r="C115" s="500" t="n"/>
      <c r="D115" s="500" t="n"/>
      <c r="E115" s="500" t="n"/>
      <c r="F115" s="500" t="n"/>
      <c r="G115" s="500" t="n"/>
      <c r="H115" s="500" t="n"/>
      <c r="I115" s="500" t="n"/>
      <c r="J115" s="500" t="n"/>
      <c r="K115" s="500" t="n"/>
      <c r="L115" s="500" t="n"/>
      <c r="M115" s="500" t="n"/>
      <c r="N115" s="493">
        <f>SUM(B115:M115)</f>
        <v/>
      </c>
      <c r="O115">
        <f>COUNT(B115:M115)</f>
        <v/>
      </c>
    </row>
    <row r="116">
      <c r="A116" t="inlineStr">
        <is>
          <t>FY2024</t>
        </is>
      </c>
      <c r="B116" s="500" t="n"/>
      <c r="C116" s="500" t="n"/>
      <c r="D116" s="500" t="n"/>
      <c r="E116" s="500" t="n"/>
      <c r="F116" s="500" t="n"/>
      <c r="G116" s="500" t="n"/>
      <c r="H116" s="500" t="n"/>
      <c r="I116" s="500" t="n"/>
      <c r="J116" s="500" t="n"/>
      <c r="K116" s="500" t="n"/>
      <c r="L116" s="500" t="n"/>
      <c r="M116" s="500" t="n"/>
      <c r="N116" s="493">
        <f>SUM(B116:M116)</f>
        <v/>
      </c>
      <c r="O116">
        <f>COUNT(B116:M116)</f>
        <v/>
      </c>
    </row>
    <row r="117">
      <c r="A117" t="inlineStr">
        <is>
          <t>FY2025</t>
        </is>
      </c>
      <c r="B117" s="500" t="n"/>
      <c r="C117" s="500" t="n"/>
      <c r="D117" s="500" t="n"/>
      <c r="E117" s="500" t="n"/>
      <c r="F117" s="500" t="n"/>
      <c r="G117" s="500" t="n"/>
      <c r="H117" s="500" t="n"/>
      <c r="I117" s="500" t="n"/>
      <c r="J117" s="500" t="n"/>
      <c r="K117" s="500" t="n"/>
      <c r="L117" s="500" t="n"/>
      <c r="M117" s="500" t="n"/>
      <c r="N117" s="493">
        <f>SUM(B117:M117)</f>
        <v/>
      </c>
      <c r="O117">
        <f>COUNT(B117:M117)</f>
        <v/>
      </c>
    </row>
    <row r="118">
      <c r="A118" t="inlineStr">
        <is>
          <t>FY2026</t>
        </is>
      </c>
      <c r="B118" s="529">
        <f>IFERROR(HLOOKUP("2026년 4월",원본_RAW!$H$4:$BK$20,MATCH("SVKHCT_GP",원본_RAW!$A$4:$A$20,0),FALSE),"")</f>
        <v/>
      </c>
      <c r="C118" s="529">
        <f>IFERROR(HLOOKUP("2026년 5월",원본_RAW!$H$4:$BK$20,MATCH("SVKHCT_GP",원본_RAW!$A$4:$A$20,0),FALSE),"")</f>
        <v/>
      </c>
      <c r="D118" s="529">
        <f>IFERROR(HLOOKUP("2026년 6월",원본_RAW!$H$4:$BK$20,MATCH("SVKHCT_GP",원본_RAW!$A$4:$A$20,0),FALSE),"")</f>
        <v/>
      </c>
      <c r="E118" s="529">
        <f>IFERROR(HLOOKUP("2026년 7월",원본_RAW!$H$4:$BK$20,MATCH("SVKHCT_GP",원본_RAW!$A$4:$A$20,0),FALSE),"")</f>
        <v/>
      </c>
      <c r="F118" s="529">
        <f>IFERROR(HLOOKUP("2026년 8월",원본_RAW!$H$4:$BK$20,MATCH("SVKHCT_GP",원본_RAW!$A$4:$A$20,0),FALSE),"")</f>
        <v/>
      </c>
      <c r="G118" s="529">
        <f>IFERROR(HLOOKUP("2026년 9월",원본_RAW!$H$4:$BK$20,MATCH("SVKHCT_GP",원본_RAW!$A$4:$A$20,0),FALSE),"")</f>
        <v/>
      </c>
      <c r="H118" s="529">
        <f>IFERROR(HLOOKUP("2026년 10월",원본_RAW!$H$4:$BK$20,MATCH("SVKHCT_GP",원본_RAW!$A$4:$A$20,0),FALSE),"")</f>
        <v/>
      </c>
      <c r="I118" s="529">
        <f>IFERROR(HLOOKUP("2026년 11월",원본_RAW!$H$4:$BK$20,MATCH("SVKHCT_GP",원본_RAW!$A$4:$A$20,0),FALSE),"")</f>
        <v/>
      </c>
      <c r="J118" s="529">
        <f>IFERROR(HLOOKUP("2026년 12월",원본_RAW!$H$4:$BK$20,MATCH("SVKHCT_GP",원본_RAW!$A$4:$A$20,0),FALSE),"")</f>
        <v/>
      </c>
      <c r="K118" s="529">
        <f>IFERROR(HLOOKUP("2027년 1월",원본_RAW!$H$4:$BK$20,MATCH("SVKHCT_GP",원본_RAW!$A$4:$A$20,0),FALSE),"")</f>
        <v/>
      </c>
      <c r="L118" s="529">
        <f>IFERROR(HLOOKUP("2027년 2월",원본_RAW!$H$4:$BK$20,MATCH("SVKHCT_GP",원본_RAW!$A$4:$A$20,0),FALSE),"")</f>
        <v/>
      </c>
      <c r="M118" s="529">
        <f>IFERROR(HLOOKUP("2027년 3월",원본_RAW!$H$4:$BK$20,MATCH("SVKHCT_GP",원본_RAW!$A$4:$A$20,0),FALSE),"")</f>
        <v/>
      </c>
      <c r="N118" s="493">
        <f>SUM(B118:M118)</f>
        <v/>
      </c>
      <c r="O118">
        <f>COUNT(B118:M118)</f>
        <v/>
      </c>
    </row>
    <row r="119">
      <c r="A119" t="inlineStr">
        <is>
          <t>FY2027</t>
        </is>
      </c>
      <c r="B119" s="529">
        <f>IFERROR(HLOOKUP("2027년 4월",원본_RAW!$H$4:$BK$20,MATCH("SVKHCT_GP",원본_RAW!$A$4:$A$20,0),FALSE),"")</f>
        <v/>
      </c>
      <c r="C119" s="529">
        <f>IFERROR(HLOOKUP("2027년 5월",원본_RAW!$H$4:$BK$20,MATCH("SVKHCT_GP",원본_RAW!$A$4:$A$20,0),FALSE),"")</f>
        <v/>
      </c>
      <c r="D119" s="529">
        <f>IFERROR(HLOOKUP("2027년 6월",원본_RAW!$H$4:$BK$20,MATCH("SVKHCT_GP",원본_RAW!$A$4:$A$20,0),FALSE),"")</f>
        <v/>
      </c>
      <c r="E119" s="529">
        <f>IFERROR(HLOOKUP("2027년 7월",원본_RAW!$H$4:$BK$20,MATCH("SVKHCT_GP",원본_RAW!$A$4:$A$20,0),FALSE),"")</f>
        <v/>
      </c>
      <c r="F119" s="529">
        <f>IFERROR(HLOOKUP("2027년 8월",원본_RAW!$H$4:$BK$20,MATCH("SVKHCT_GP",원본_RAW!$A$4:$A$20,0),FALSE),"")</f>
        <v/>
      </c>
      <c r="G119" s="529">
        <f>IFERROR(HLOOKUP("2027년 9월",원본_RAW!$H$4:$BK$20,MATCH("SVKHCT_GP",원본_RAW!$A$4:$A$20,0),FALSE),"")</f>
        <v/>
      </c>
      <c r="H119" s="529">
        <f>IFERROR(HLOOKUP("2027년 10월",원본_RAW!$H$4:$BK$20,MATCH("SVKHCT_GP",원본_RAW!$A$4:$A$20,0),FALSE),"")</f>
        <v/>
      </c>
      <c r="I119" s="529">
        <f>IFERROR(HLOOKUP("2027년 11월",원본_RAW!$H$4:$BK$20,MATCH("SVKHCT_GP",원본_RAW!$A$4:$A$20,0),FALSE),"")</f>
        <v/>
      </c>
      <c r="J119" s="529">
        <f>IFERROR(HLOOKUP("2027년 12월",원본_RAW!$H$4:$BK$20,MATCH("SVKHCT_GP",원본_RAW!$A$4:$A$20,0),FALSE),"")</f>
        <v/>
      </c>
      <c r="K119" s="529">
        <f>IFERROR(HLOOKUP("2028년 1월",원본_RAW!$H$4:$BK$20,MATCH("SVKHCT_GP",원본_RAW!$A$4:$A$20,0),FALSE),"")</f>
        <v/>
      </c>
      <c r="L119" s="529">
        <f>IFERROR(HLOOKUP("2028년 2월",원본_RAW!$H$4:$BK$20,MATCH("SVKHCT_GP",원본_RAW!$A$4:$A$20,0),FALSE),"")</f>
        <v/>
      </c>
      <c r="M119" s="529">
        <f>IFERROR(HLOOKUP("2028년 3월",원본_RAW!$H$4:$BK$20,MATCH("SVKHCT_GP",원본_RAW!$A$4:$A$20,0),FALSE),"")</f>
        <v/>
      </c>
      <c r="N119" s="493">
        <f>SUM(B119:M119)</f>
        <v/>
      </c>
      <c r="O119">
        <f>COUNT(B119:M119)</f>
        <v/>
      </c>
    </row>
    <row r="120">
      <c r="A120" t="inlineStr">
        <is>
          <t>FY2028</t>
        </is>
      </c>
      <c r="B120" s="529">
        <f>IFERROR(HLOOKUP("2028년 4월",원본_RAW!$H$4:$BK$20,MATCH("SVKHCT_GP",원본_RAW!$A$4:$A$20,0),FALSE),"")</f>
        <v/>
      </c>
      <c r="C120" s="529">
        <f>IFERROR(HLOOKUP("2028년 5월",원본_RAW!$H$4:$BK$20,MATCH("SVKHCT_GP",원본_RAW!$A$4:$A$20,0),FALSE),"")</f>
        <v/>
      </c>
      <c r="D120" s="529">
        <f>IFERROR(HLOOKUP("2028년 6월",원본_RAW!$H$4:$BK$20,MATCH("SVKHCT_GP",원본_RAW!$A$4:$A$20,0),FALSE),"")</f>
        <v/>
      </c>
      <c r="E120" s="529">
        <f>IFERROR(HLOOKUP("2028년 7월",원본_RAW!$H$4:$BK$20,MATCH("SVKHCT_GP",원본_RAW!$A$4:$A$20,0),FALSE),"")</f>
        <v/>
      </c>
      <c r="F120" s="529">
        <f>IFERROR(HLOOKUP("2028년 8월",원본_RAW!$H$4:$BK$20,MATCH("SVKHCT_GP",원본_RAW!$A$4:$A$20,0),FALSE),"")</f>
        <v/>
      </c>
      <c r="G120" s="529">
        <f>IFERROR(HLOOKUP("2028년 9월",원본_RAW!$H$4:$BK$20,MATCH("SVKHCT_GP",원본_RAW!$A$4:$A$20,0),FALSE),"")</f>
        <v/>
      </c>
      <c r="H120" s="529">
        <f>IFERROR(HLOOKUP("2028년 10월",원본_RAW!$H$4:$BK$20,MATCH("SVKHCT_GP",원본_RAW!$A$4:$A$20,0),FALSE),"")</f>
        <v/>
      </c>
      <c r="I120" s="529">
        <f>IFERROR(HLOOKUP("2028년 11월",원본_RAW!$H$4:$BK$20,MATCH("SVKHCT_GP",원본_RAW!$A$4:$A$20,0),FALSE),"")</f>
        <v/>
      </c>
      <c r="J120" s="529">
        <f>IFERROR(HLOOKUP("2028년 12월",원본_RAW!$H$4:$BK$20,MATCH("SVKHCT_GP",원본_RAW!$A$4:$A$20,0),FALSE),"")</f>
        <v/>
      </c>
      <c r="K120" s="529">
        <f>IFERROR(HLOOKUP("2029년 1월",원본_RAW!$H$4:$BK$20,MATCH("SVKHCT_GP",원본_RAW!$A$4:$A$20,0),FALSE),"")</f>
        <v/>
      </c>
      <c r="L120" s="529">
        <f>IFERROR(HLOOKUP("2029년 2월",원본_RAW!$H$4:$BK$20,MATCH("SVKHCT_GP",원본_RAW!$A$4:$A$20,0),FALSE),"")</f>
        <v/>
      </c>
      <c r="M120" s="529">
        <f>IFERROR(HLOOKUP("2029년 3월",원본_RAW!$H$4:$BK$20,MATCH("SVKHCT_GP",원본_RAW!$A$4:$A$20,0),FALSE),"")</f>
        <v/>
      </c>
      <c r="N120" s="493">
        <f>SUM(B120:M120)</f>
        <v/>
      </c>
      <c r="O120">
        <f>COUNT(B120:M120)</f>
        <v/>
      </c>
    </row>
    <row r="121">
      <c r="A121" t="inlineStr">
        <is>
          <t>FY2029</t>
        </is>
      </c>
      <c r="B121" s="529">
        <f>IFERROR(HLOOKUP("2029년 4월",원본_RAW!$H$4:$BK$20,MATCH("SVKHCT_GP",원본_RAW!$A$4:$A$20,0),FALSE),"")</f>
        <v/>
      </c>
      <c r="C121" s="529">
        <f>IFERROR(HLOOKUP("2029년 5월",원본_RAW!$H$4:$BK$20,MATCH("SVKHCT_GP",원본_RAW!$A$4:$A$20,0),FALSE),"")</f>
        <v/>
      </c>
      <c r="D121" s="529">
        <f>IFERROR(HLOOKUP("2029년 6월",원본_RAW!$H$4:$BK$20,MATCH("SVKHCT_GP",원본_RAW!$A$4:$A$20,0),FALSE),"")</f>
        <v/>
      </c>
      <c r="E121" s="529">
        <f>IFERROR(HLOOKUP("2029년 7월",원본_RAW!$H$4:$BK$20,MATCH("SVKHCT_GP",원본_RAW!$A$4:$A$20,0),FALSE),"")</f>
        <v/>
      </c>
      <c r="F121" s="529">
        <f>IFERROR(HLOOKUP("2029년 8월",원본_RAW!$H$4:$BK$20,MATCH("SVKHCT_GP",원본_RAW!$A$4:$A$20,0),FALSE),"")</f>
        <v/>
      </c>
      <c r="G121" s="529">
        <f>IFERROR(HLOOKUP("2029년 9월",원본_RAW!$H$4:$BK$20,MATCH("SVKHCT_GP",원본_RAW!$A$4:$A$20,0),FALSE),"")</f>
        <v/>
      </c>
      <c r="H121" s="529">
        <f>IFERROR(HLOOKUP("2029년 10월",원본_RAW!$H$4:$BK$20,MATCH("SVKHCT_GP",원본_RAW!$A$4:$A$20,0),FALSE),"")</f>
        <v/>
      </c>
      <c r="I121" s="529">
        <f>IFERROR(HLOOKUP("2029년 11월",원본_RAW!$H$4:$BK$20,MATCH("SVKHCT_GP",원본_RAW!$A$4:$A$20,0),FALSE),"")</f>
        <v/>
      </c>
      <c r="J121" s="529">
        <f>IFERROR(HLOOKUP("2029년 12월",원본_RAW!$H$4:$BK$20,MATCH("SVKHCT_GP",원본_RAW!$A$4:$A$20,0),FALSE),"")</f>
        <v/>
      </c>
      <c r="K121" s="529">
        <f>IFERROR(HLOOKUP("2030년 1월",원본_RAW!$H$4:$BK$20,MATCH("SVKHCT_GP",원본_RAW!$A$4:$A$20,0),FALSE),"")</f>
        <v/>
      </c>
      <c r="L121" s="529">
        <f>IFERROR(HLOOKUP("2030년 2월",원본_RAW!$H$4:$BK$20,MATCH("SVKHCT_GP",원본_RAW!$A$4:$A$20,0),FALSE),"")</f>
        <v/>
      </c>
      <c r="M121" s="529">
        <f>IFERROR(HLOOKUP("2030년 3월",원본_RAW!$H$4:$BK$20,MATCH("SVKHCT_GP",원본_RAW!$A$4:$A$20,0),FALSE),"")</f>
        <v/>
      </c>
      <c r="N121" s="493">
        <f>SUM(B121:M121)</f>
        <v/>
      </c>
      <c r="O121">
        <f>COUNT(B121:M121)</f>
        <v/>
      </c>
    </row>
    <row r="122">
      <c r="A122" t="inlineStr">
        <is>
          <t>FY2030</t>
        </is>
      </c>
      <c r="B122" s="529">
        <f>IFERROR(HLOOKUP("2030년 4월",원본_RAW!$H$4:$BK$20,MATCH("SVKHCT_GP",원본_RAW!$A$4:$A$20,0),FALSE),"")</f>
        <v/>
      </c>
      <c r="C122" s="529">
        <f>IFERROR(HLOOKUP("2030년 5월",원본_RAW!$H$4:$BK$20,MATCH("SVKHCT_GP",원본_RAW!$A$4:$A$20,0),FALSE),"")</f>
        <v/>
      </c>
      <c r="D122" s="529">
        <f>IFERROR(HLOOKUP("2030년 6월",원본_RAW!$H$4:$BK$20,MATCH("SVKHCT_GP",원본_RAW!$A$4:$A$20,0),FALSE),"")</f>
        <v/>
      </c>
      <c r="E122" s="529">
        <f>IFERROR(HLOOKUP("2030년 7월",원본_RAW!$H$4:$BK$20,MATCH("SVKHCT_GP",원본_RAW!$A$4:$A$20,0),FALSE),"")</f>
        <v/>
      </c>
      <c r="F122" s="529">
        <f>IFERROR(HLOOKUP("2030년 8월",원본_RAW!$H$4:$BK$20,MATCH("SVKHCT_GP",원본_RAW!$A$4:$A$20,0),FALSE),"")</f>
        <v/>
      </c>
      <c r="G122" s="529">
        <f>IFERROR(HLOOKUP("2030년 9월",원본_RAW!$H$4:$BK$20,MATCH("SVKHCT_GP",원본_RAW!$A$4:$A$20,0),FALSE),"")</f>
        <v/>
      </c>
      <c r="H122" s="529">
        <f>IFERROR(HLOOKUP("2030년 10월",원본_RAW!$H$4:$BK$20,MATCH("SVKHCT_GP",원본_RAW!$A$4:$A$20,0),FALSE),"")</f>
        <v/>
      </c>
      <c r="I122" s="529">
        <f>IFERROR(HLOOKUP("2030년 11월",원본_RAW!$H$4:$BK$20,MATCH("SVKHCT_GP",원본_RAW!$A$4:$A$20,0),FALSE),"")</f>
        <v/>
      </c>
      <c r="J122" s="529">
        <f>IFERROR(HLOOKUP("2030년 12월",원본_RAW!$H$4:$BK$20,MATCH("SVKHCT_GP",원본_RAW!$A$4:$A$20,0),FALSE),"")</f>
        <v/>
      </c>
      <c r="K122" s="529">
        <f>IFERROR(HLOOKUP("2031년 1월",원본_RAW!$H$4:$BK$20,MATCH("SVKHCT_GP",원본_RAW!$A$4:$A$20,0),FALSE),"")</f>
        <v/>
      </c>
      <c r="L122" s="529">
        <f>IFERROR(HLOOKUP("2031년 2월",원본_RAW!$H$4:$BK$20,MATCH("SVKHCT_GP",원본_RAW!$A$4:$A$20,0),FALSE),"")</f>
        <v/>
      </c>
      <c r="M122" s="529">
        <f>IFERROR(HLOOKUP("2031년 3월",원본_RAW!$H$4:$BK$20,MATCH("SVKHCT_GP",원본_RAW!$A$4:$A$20,0),FALSE),"")</f>
        <v/>
      </c>
      <c r="N122" s="493">
        <f>SUM(B122:M122)</f>
        <v/>
      </c>
      <c r="O122">
        <f>COUNT(B122:M122)</f>
        <v/>
      </c>
    </row>
    <row r="124">
      <c r="A124" s="526" t="inlineStr">
        <is>
          <t>■ E. 세비카HCT 오리지널 조제액 (원)  — 별도 금액 파일 붙여넣기 시 사용 (원본_RAW 헬퍼 AMT_HP/AMT_GP)</t>
        </is>
      </c>
    </row>
    <row r="125">
      <c r="A125" s="527" t="inlineStr">
        <is>
          <t>[HP] FY ＼ 월</t>
        </is>
      </c>
      <c r="B125" s="528" t="inlineStr">
        <is>
          <t>4월</t>
        </is>
      </c>
      <c r="C125" s="528" t="inlineStr">
        <is>
          <t>5월</t>
        </is>
      </c>
      <c r="D125" s="528" t="inlineStr">
        <is>
          <t>6월</t>
        </is>
      </c>
      <c r="E125" s="528" t="inlineStr">
        <is>
          <t>7월</t>
        </is>
      </c>
      <c r="F125" s="528" t="inlineStr">
        <is>
          <t>8월</t>
        </is>
      </c>
      <c r="G125" s="528" t="inlineStr">
        <is>
          <t>9월</t>
        </is>
      </c>
      <c r="H125" s="528" t="inlineStr">
        <is>
          <t>10월</t>
        </is>
      </c>
      <c r="I125" s="528" t="inlineStr">
        <is>
          <t>11월</t>
        </is>
      </c>
      <c r="J125" s="528" t="inlineStr">
        <is>
          <t>12월</t>
        </is>
      </c>
      <c r="K125" s="528" t="inlineStr">
        <is>
          <t>1월</t>
        </is>
      </c>
      <c r="L125" s="528" t="inlineStr">
        <is>
          <t>2월</t>
        </is>
      </c>
      <c r="M125" s="528" t="inlineStr">
        <is>
          <t>3월</t>
        </is>
      </c>
      <c r="N125" s="527" t="inlineStr">
        <is>
          <t>FY 합계</t>
        </is>
      </c>
      <c r="O125" s="527" t="inlineStr">
        <is>
          <t>실측월수</t>
        </is>
      </c>
    </row>
    <row r="126">
      <c r="A126" t="inlineStr">
        <is>
          <t>FY2018</t>
        </is>
      </c>
      <c r="B126" s="500" t="n"/>
      <c r="C126" s="500" t="n"/>
      <c r="D126" s="500" t="n"/>
      <c r="E126" s="500" t="n"/>
      <c r="F126" s="500" t="n"/>
      <c r="G126" s="500" t="n"/>
      <c r="H126" s="500" t="n"/>
      <c r="I126" s="500" t="n"/>
      <c r="J126" s="500" t="n"/>
      <c r="K126" s="500" t="n"/>
      <c r="L126" s="500" t="n"/>
      <c r="M126" s="500" t="n"/>
      <c r="N126" s="493">
        <f>SUM(B126:M126)</f>
        <v/>
      </c>
      <c r="O126">
        <f>COUNT(B126:M126)</f>
        <v/>
      </c>
    </row>
    <row r="127">
      <c r="A127" t="inlineStr">
        <is>
          <t>FY2019</t>
        </is>
      </c>
      <c r="B127" s="500" t="n"/>
      <c r="C127" s="500" t="n"/>
      <c r="D127" s="500" t="n"/>
      <c r="E127" s="500" t="n"/>
      <c r="F127" s="500" t="n"/>
      <c r="G127" s="500" t="n"/>
      <c r="H127" s="500" t="n"/>
      <c r="I127" s="500" t="n"/>
      <c r="J127" s="500" t="n"/>
      <c r="K127" s="500" t="n"/>
      <c r="L127" s="500" t="n"/>
      <c r="M127" s="500" t="n"/>
      <c r="N127" s="493">
        <f>SUM(B127:M127)</f>
        <v/>
      </c>
      <c r="O127">
        <f>COUNT(B127:M127)</f>
        <v/>
      </c>
    </row>
    <row r="128">
      <c r="A128" t="inlineStr">
        <is>
          <t>FY2020</t>
        </is>
      </c>
      <c r="B128" s="500" t="n"/>
      <c r="C128" s="500" t="n"/>
      <c r="D128" s="500" t="n"/>
      <c r="E128" s="500" t="n"/>
      <c r="F128" s="500" t="n"/>
      <c r="G128" s="500" t="n"/>
      <c r="H128" s="500" t="n"/>
      <c r="I128" s="500" t="n"/>
      <c r="J128" s="500" t="n"/>
      <c r="K128" s="500" t="n"/>
      <c r="L128" s="500" t="n"/>
      <c r="M128" s="500" t="n"/>
      <c r="N128" s="493">
        <f>SUM(B128:M128)</f>
        <v/>
      </c>
      <c r="O128">
        <f>COUNT(B128:M128)</f>
        <v/>
      </c>
    </row>
    <row r="129">
      <c r="A129" t="inlineStr">
        <is>
          <t>FY2021</t>
        </is>
      </c>
      <c r="B129" s="500" t="n"/>
      <c r="C129" s="500" t="n"/>
      <c r="D129" s="500" t="n"/>
      <c r="E129" s="500" t="n"/>
      <c r="F129" s="500" t="n"/>
      <c r="G129" s="500" t="n"/>
      <c r="H129" s="500" t="n"/>
      <c r="I129" s="500" t="n"/>
      <c r="J129" s="500" t="n"/>
      <c r="K129" s="500" t="n"/>
      <c r="L129" s="500" t="n"/>
      <c r="M129" s="500" t="n"/>
      <c r="N129" s="493">
        <f>SUM(B129:M129)</f>
        <v/>
      </c>
      <c r="O129">
        <f>COUNT(B129:M129)</f>
        <v/>
      </c>
    </row>
    <row r="130">
      <c r="A130" t="inlineStr">
        <is>
          <t>FY2022</t>
        </is>
      </c>
      <c r="B130" s="500" t="n"/>
      <c r="C130" s="500" t="n"/>
      <c r="D130" s="500" t="n"/>
      <c r="E130" s="500" t="n"/>
      <c r="F130" s="500" t="n"/>
      <c r="G130" s="500" t="n"/>
      <c r="H130" s="500" t="n"/>
      <c r="I130" s="500" t="n"/>
      <c r="J130" s="500" t="n"/>
      <c r="K130" s="500" t="n"/>
      <c r="L130" s="500" t="n"/>
      <c r="M130" s="500" t="n"/>
      <c r="N130" s="493">
        <f>SUM(B130:M130)</f>
        <v/>
      </c>
      <c r="O130">
        <f>COUNT(B130:M130)</f>
        <v/>
      </c>
    </row>
    <row r="131">
      <c r="A131" t="inlineStr">
        <is>
          <t>FY2023</t>
        </is>
      </c>
      <c r="B131" s="500" t="n"/>
      <c r="C131" s="500" t="n"/>
      <c r="D131" s="500" t="n"/>
      <c r="E131" s="500" t="n"/>
      <c r="F131" s="500" t="n"/>
      <c r="G131" s="500" t="n"/>
      <c r="H131" s="500" t="n"/>
      <c r="I131" s="500" t="n"/>
      <c r="J131" s="500" t="n"/>
      <c r="K131" s="500" t="n"/>
      <c r="L131" s="500" t="n"/>
      <c r="M131" s="500" t="n"/>
      <c r="N131" s="493">
        <f>SUM(B131:M131)</f>
        <v/>
      </c>
      <c r="O131">
        <f>COUNT(B131:M131)</f>
        <v/>
      </c>
    </row>
    <row r="132">
      <c r="A132" t="inlineStr">
        <is>
          <t>FY2024</t>
        </is>
      </c>
      <c r="B132" s="500" t="n"/>
      <c r="C132" s="500" t="n"/>
      <c r="D132" s="500" t="n"/>
      <c r="E132" s="500" t="n"/>
      <c r="F132" s="500" t="n"/>
      <c r="G132" s="500" t="n"/>
      <c r="H132" s="500" t="n"/>
      <c r="I132" s="500" t="n"/>
      <c r="J132" s="500" t="n"/>
      <c r="K132" s="500" t="n"/>
      <c r="L132" s="500" t="n"/>
      <c r="M132" s="500" t="n"/>
      <c r="N132" s="493">
        <f>SUM(B132:M132)</f>
        <v/>
      </c>
      <c r="O132">
        <f>COUNT(B132:M132)</f>
        <v/>
      </c>
    </row>
    <row r="133">
      <c r="A133" t="inlineStr">
        <is>
          <t>FY2025</t>
        </is>
      </c>
      <c r="B133" s="500" t="n"/>
      <c r="C133" s="500" t="n"/>
      <c r="D133" s="500" t="n"/>
      <c r="E133" s="500" t="n"/>
      <c r="F133" s="500" t="n"/>
      <c r="G133" s="500" t="n"/>
      <c r="H133" s="500" t="n"/>
      <c r="I133" s="500" t="n"/>
      <c r="J133" s="500" t="n"/>
      <c r="K133" s="500" t="n"/>
      <c r="L133" s="500" t="n"/>
      <c r="M133" s="500" t="n"/>
      <c r="N133" s="493">
        <f>SUM(B133:M133)</f>
        <v/>
      </c>
      <c r="O133">
        <f>COUNT(B133:M133)</f>
        <v/>
      </c>
    </row>
    <row r="134">
      <c r="A134" t="inlineStr">
        <is>
          <t>FY2026</t>
        </is>
      </c>
      <c r="B134" s="529">
        <f>IFERROR(HLOOKUP("2026년 4월",원본_RAW!$H$4:$BK$20,MATCH("AMT_HP",원본_RAW!$A$4:$A$20,0),FALSE),"")</f>
        <v/>
      </c>
      <c r="C134" s="529">
        <f>IFERROR(HLOOKUP("2026년 5월",원본_RAW!$H$4:$BK$20,MATCH("AMT_HP",원본_RAW!$A$4:$A$20,0),FALSE),"")</f>
        <v/>
      </c>
      <c r="D134" s="529">
        <f>IFERROR(HLOOKUP("2026년 6월",원본_RAW!$H$4:$BK$20,MATCH("AMT_HP",원본_RAW!$A$4:$A$20,0),FALSE),"")</f>
        <v/>
      </c>
      <c r="E134" s="529">
        <f>IFERROR(HLOOKUP("2026년 7월",원본_RAW!$H$4:$BK$20,MATCH("AMT_HP",원본_RAW!$A$4:$A$20,0),FALSE),"")</f>
        <v/>
      </c>
      <c r="F134" s="529">
        <f>IFERROR(HLOOKUP("2026년 8월",원본_RAW!$H$4:$BK$20,MATCH("AMT_HP",원본_RAW!$A$4:$A$20,0),FALSE),"")</f>
        <v/>
      </c>
      <c r="G134" s="529">
        <f>IFERROR(HLOOKUP("2026년 9월",원본_RAW!$H$4:$BK$20,MATCH("AMT_HP",원본_RAW!$A$4:$A$20,0),FALSE),"")</f>
        <v/>
      </c>
      <c r="H134" s="529">
        <f>IFERROR(HLOOKUP("2026년 10월",원본_RAW!$H$4:$BK$20,MATCH("AMT_HP",원본_RAW!$A$4:$A$20,0),FALSE),"")</f>
        <v/>
      </c>
      <c r="I134" s="529">
        <f>IFERROR(HLOOKUP("2026년 11월",원본_RAW!$H$4:$BK$20,MATCH("AMT_HP",원본_RAW!$A$4:$A$20,0),FALSE),"")</f>
        <v/>
      </c>
      <c r="J134" s="529">
        <f>IFERROR(HLOOKUP("2026년 12월",원본_RAW!$H$4:$BK$20,MATCH("AMT_HP",원본_RAW!$A$4:$A$20,0),FALSE),"")</f>
        <v/>
      </c>
      <c r="K134" s="529">
        <f>IFERROR(HLOOKUP("2027년 1월",원본_RAW!$H$4:$BK$20,MATCH("AMT_HP",원본_RAW!$A$4:$A$20,0),FALSE),"")</f>
        <v/>
      </c>
      <c r="L134" s="529">
        <f>IFERROR(HLOOKUP("2027년 2월",원본_RAW!$H$4:$BK$20,MATCH("AMT_HP",원본_RAW!$A$4:$A$20,0),FALSE),"")</f>
        <v/>
      </c>
      <c r="M134" s="529">
        <f>IFERROR(HLOOKUP("2027년 3월",원본_RAW!$H$4:$BK$20,MATCH("AMT_HP",원본_RAW!$A$4:$A$20,0),FALSE),"")</f>
        <v/>
      </c>
      <c r="N134" s="493">
        <f>SUM(B134:M134)</f>
        <v/>
      </c>
      <c r="O134">
        <f>COUNT(B134:M134)</f>
        <v/>
      </c>
    </row>
    <row r="135">
      <c r="A135" t="inlineStr">
        <is>
          <t>FY2027</t>
        </is>
      </c>
      <c r="B135" s="529">
        <f>IFERROR(HLOOKUP("2027년 4월",원본_RAW!$H$4:$BK$20,MATCH("AMT_HP",원본_RAW!$A$4:$A$20,0),FALSE),"")</f>
        <v/>
      </c>
      <c r="C135" s="529">
        <f>IFERROR(HLOOKUP("2027년 5월",원본_RAW!$H$4:$BK$20,MATCH("AMT_HP",원본_RAW!$A$4:$A$20,0),FALSE),"")</f>
        <v/>
      </c>
      <c r="D135" s="529">
        <f>IFERROR(HLOOKUP("2027년 6월",원본_RAW!$H$4:$BK$20,MATCH("AMT_HP",원본_RAW!$A$4:$A$20,0),FALSE),"")</f>
        <v/>
      </c>
      <c r="E135" s="529">
        <f>IFERROR(HLOOKUP("2027년 7월",원본_RAW!$H$4:$BK$20,MATCH("AMT_HP",원본_RAW!$A$4:$A$20,0),FALSE),"")</f>
        <v/>
      </c>
      <c r="F135" s="529">
        <f>IFERROR(HLOOKUP("2027년 8월",원본_RAW!$H$4:$BK$20,MATCH("AMT_HP",원본_RAW!$A$4:$A$20,0),FALSE),"")</f>
        <v/>
      </c>
      <c r="G135" s="529">
        <f>IFERROR(HLOOKUP("2027년 9월",원본_RAW!$H$4:$BK$20,MATCH("AMT_HP",원본_RAW!$A$4:$A$20,0),FALSE),"")</f>
        <v/>
      </c>
      <c r="H135" s="529">
        <f>IFERROR(HLOOKUP("2027년 10월",원본_RAW!$H$4:$BK$20,MATCH("AMT_HP",원본_RAW!$A$4:$A$20,0),FALSE),"")</f>
        <v/>
      </c>
      <c r="I135" s="529">
        <f>IFERROR(HLOOKUP("2027년 11월",원본_RAW!$H$4:$BK$20,MATCH("AMT_HP",원본_RAW!$A$4:$A$20,0),FALSE),"")</f>
        <v/>
      </c>
      <c r="J135" s="529">
        <f>IFERROR(HLOOKUP("2027년 12월",원본_RAW!$H$4:$BK$20,MATCH("AMT_HP",원본_RAW!$A$4:$A$20,0),FALSE),"")</f>
        <v/>
      </c>
      <c r="K135" s="529">
        <f>IFERROR(HLOOKUP("2028년 1월",원본_RAW!$H$4:$BK$20,MATCH("AMT_HP",원본_RAW!$A$4:$A$20,0),FALSE),"")</f>
        <v/>
      </c>
      <c r="L135" s="529">
        <f>IFERROR(HLOOKUP("2028년 2월",원본_RAW!$H$4:$BK$20,MATCH("AMT_HP",원본_RAW!$A$4:$A$20,0),FALSE),"")</f>
        <v/>
      </c>
      <c r="M135" s="529">
        <f>IFERROR(HLOOKUP("2028년 3월",원본_RAW!$H$4:$BK$20,MATCH("AMT_HP",원본_RAW!$A$4:$A$20,0),FALSE),"")</f>
        <v/>
      </c>
      <c r="N135" s="493">
        <f>SUM(B135:M135)</f>
        <v/>
      </c>
      <c r="O135">
        <f>COUNT(B135:M135)</f>
        <v/>
      </c>
    </row>
    <row r="136">
      <c r="A136" t="inlineStr">
        <is>
          <t>FY2028</t>
        </is>
      </c>
      <c r="B136" s="529">
        <f>IFERROR(HLOOKUP("2028년 4월",원본_RAW!$H$4:$BK$20,MATCH("AMT_HP",원본_RAW!$A$4:$A$20,0),FALSE),"")</f>
        <v/>
      </c>
      <c r="C136" s="529">
        <f>IFERROR(HLOOKUP("2028년 5월",원본_RAW!$H$4:$BK$20,MATCH("AMT_HP",원본_RAW!$A$4:$A$20,0),FALSE),"")</f>
        <v/>
      </c>
      <c r="D136" s="529">
        <f>IFERROR(HLOOKUP("2028년 6월",원본_RAW!$H$4:$BK$20,MATCH("AMT_HP",원본_RAW!$A$4:$A$20,0),FALSE),"")</f>
        <v/>
      </c>
      <c r="E136" s="529">
        <f>IFERROR(HLOOKUP("2028년 7월",원본_RAW!$H$4:$BK$20,MATCH("AMT_HP",원본_RAW!$A$4:$A$20,0),FALSE),"")</f>
        <v/>
      </c>
      <c r="F136" s="529">
        <f>IFERROR(HLOOKUP("2028년 8월",원본_RAW!$H$4:$BK$20,MATCH("AMT_HP",원본_RAW!$A$4:$A$20,0),FALSE),"")</f>
        <v/>
      </c>
      <c r="G136" s="529">
        <f>IFERROR(HLOOKUP("2028년 9월",원본_RAW!$H$4:$BK$20,MATCH("AMT_HP",원본_RAW!$A$4:$A$20,0),FALSE),"")</f>
        <v/>
      </c>
      <c r="H136" s="529">
        <f>IFERROR(HLOOKUP("2028년 10월",원본_RAW!$H$4:$BK$20,MATCH("AMT_HP",원본_RAW!$A$4:$A$20,0),FALSE),"")</f>
        <v/>
      </c>
      <c r="I136" s="529">
        <f>IFERROR(HLOOKUP("2028년 11월",원본_RAW!$H$4:$BK$20,MATCH("AMT_HP",원본_RAW!$A$4:$A$20,0),FALSE),"")</f>
        <v/>
      </c>
      <c r="J136" s="529">
        <f>IFERROR(HLOOKUP("2028년 12월",원본_RAW!$H$4:$BK$20,MATCH("AMT_HP",원본_RAW!$A$4:$A$20,0),FALSE),"")</f>
        <v/>
      </c>
      <c r="K136" s="529">
        <f>IFERROR(HLOOKUP("2029년 1월",원본_RAW!$H$4:$BK$20,MATCH("AMT_HP",원본_RAW!$A$4:$A$20,0),FALSE),"")</f>
        <v/>
      </c>
      <c r="L136" s="529">
        <f>IFERROR(HLOOKUP("2029년 2월",원본_RAW!$H$4:$BK$20,MATCH("AMT_HP",원본_RAW!$A$4:$A$20,0),FALSE),"")</f>
        <v/>
      </c>
      <c r="M136" s="529">
        <f>IFERROR(HLOOKUP("2029년 3월",원본_RAW!$H$4:$BK$20,MATCH("AMT_HP",원본_RAW!$A$4:$A$20,0),FALSE),"")</f>
        <v/>
      </c>
      <c r="N136" s="493">
        <f>SUM(B136:M136)</f>
        <v/>
      </c>
      <c r="O136">
        <f>COUNT(B136:M136)</f>
        <v/>
      </c>
    </row>
    <row r="137">
      <c r="A137" t="inlineStr">
        <is>
          <t>FY2029</t>
        </is>
      </c>
      <c r="B137" s="529">
        <f>IFERROR(HLOOKUP("2029년 4월",원본_RAW!$H$4:$BK$20,MATCH("AMT_HP",원본_RAW!$A$4:$A$20,0),FALSE),"")</f>
        <v/>
      </c>
      <c r="C137" s="529">
        <f>IFERROR(HLOOKUP("2029년 5월",원본_RAW!$H$4:$BK$20,MATCH("AMT_HP",원본_RAW!$A$4:$A$20,0),FALSE),"")</f>
        <v/>
      </c>
      <c r="D137" s="529">
        <f>IFERROR(HLOOKUP("2029년 6월",원본_RAW!$H$4:$BK$20,MATCH("AMT_HP",원본_RAW!$A$4:$A$20,0),FALSE),"")</f>
        <v/>
      </c>
      <c r="E137" s="529">
        <f>IFERROR(HLOOKUP("2029년 7월",원본_RAW!$H$4:$BK$20,MATCH("AMT_HP",원본_RAW!$A$4:$A$20,0),FALSE),"")</f>
        <v/>
      </c>
      <c r="F137" s="529">
        <f>IFERROR(HLOOKUP("2029년 8월",원본_RAW!$H$4:$BK$20,MATCH("AMT_HP",원본_RAW!$A$4:$A$20,0),FALSE),"")</f>
        <v/>
      </c>
      <c r="G137" s="529">
        <f>IFERROR(HLOOKUP("2029년 9월",원본_RAW!$H$4:$BK$20,MATCH("AMT_HP",원본_RAW!$A$4:$A$20,0),FALSE),"")</f>
        <v/>
      </c>
      <c r="H137" s="529">
        <f>IFERROR(HLOOKUP("2029년 10월",원본_RAW!$H$4:$BK$20,MATCH("AMT_HP",원본_RAW!$A$4:$A$20,0),FALSE),"")</f>
        <v/>
      </c>
      <c r="I137" s="529">
        <f>IFERROR(HLOOKUP("2029년 11월",원본_RAW!$H$4:$BK$20,MATCH("AMT_HP",원본_RAW!$A$4:$A$20,0),FALSE),"")</f>
        <v/>
      </c>
      <c r="J137" s="529">
        <f>IFERROR(HLOOKUP("2029년 12월",원본_RAW!$H$4:$BK$20,MATCH("AMT_HP",원본_RAW!$A$4:$A$20,0),FALSE),"")</f>
        <v/>
      </c>
      <c r="K137" s="529">
        <f>IFERROR(HLOOKUP("2030년 1월",원본_RAW!$H$4:$BK$20,MATCH("AMT_HP",원본_RAW!$A$4:$A$20,0),FALSE),"")</f>
        <v/>
      </c>
      <c r="L137" s="529">
        <f>IFERROR(HLOOKUP("2030년 2월",원본_RAW!$H$4:$BK$20,MATCH("AMT_HP",원본_RAW!$A$4:$A$20,0),FALSE),"")</f>
        <v/>
      </c>
      <c r="M137" s="529">
        <f>IFERROR(HLOOKUP("2030년 3월",원본_RAW!$H$4:$BK$20,MATCH("AMT_HP",원본_RAW!$A$4:$A$20,0),FALSE),"")</f>
        <v/>
      </c>
      <c r="N137" s="493">
        <f>SUM(B137:M137)</f>
        <v/>
      </c>
      <c r="O137">
        <f>COUNT(B137:M137)</f>
        <v/>
      </c>
    </row>
    <row r="138">
      <c r="A138" t="inlineStr">
        <is>
          <t>FY2030</t>
        </is>
      </c>
      <c r="B138" s="529">
        <f>IFERROR(HLOOKUP("2030년 4월",원본_RAW!$H$4:$BK$20,MATCH("AMT_HP",원본_RAW!$A$4:$A$20,0),FALSE),"")</f>
        <v/>
      </c>
      <c r="C138" s="529">
        <f>IFERROR(HLOOKUP("2030년 5월",원본_RAW!$H$4:$BK$20,MATCH("AMT_HP",원본_RAW!$A$4:$A$20,0),FALSE),"")</f>
        <v/>
      </c>
      <c r="D138" s="529">
        <f>IFERROR(HLOOKUP("2030년 6월",원본_RAW!$H$4:$BK$20,MATCH("AMT_HP",원본_RAW!$A$4:$A$20,0),FALSE),"")</f>
        <v/>
      </c>
      <c r="E138" s="529">
        <f>IFERROR(HLOOKUP("2030년 7월",원본_RAW!$H$4:$BK$20,MATCH("AMT_HP",원본_RAW!$A$4:$A$20,0),FALSE),"")</f>
        <v/>
      </c>
      <c r="F138" s="529">
        <f>IFERROR(HLOOKUP("2030년 8월",원본_RAW!$H$4:$BK$20,MATCH("AMT_HP",원본_RAW!$A$4:$A$20,0),FALSE),"")</f>
        <v/>
      </c>
      <c r="G138" s="529">
        <f>IFERROR(HLOOKUP("2030년 9월",원본_RAW!$H$4:$BK$20,MATCH("AMT_HP",원본_RAW!$A$4:$A$20,0),FALSE),"")</f>
        <v/>
      </c>
      <c r="H138" s="529">
        <f>IFERROR(HLOOKUP("2030년 10월",원본_RAW!$H$4:$BK$20,MATCH("AMT_HP",원본_RAW!$A$4:$A$20,0),FALSE),"")</f>
        <v/>
      </c>
      <c r="I138" s="529">
        <f>IFERROR(HLOOKUP("2030년 11월",원본_RAW!$H$4:$BK$20,MATCH("AMT_HP",원본_RAW!$A$4:$A$20,0),FALSE),"")</f>
        <v/>
      </c>
      <c r="J138" s="529">
        <f>IFERROR(HLOOKUP("2030년 12월",원본_RAW!$H$4:$BK$20,MATCH("AMT_HP",원본_RAW!$A$4:$A$20,0),FALSE),"")</f>
        <v/>
      </c>
      <c r="K138" s="529">
        <f>IFERROR(HLOOKUP("2031년 1월",원본_RAW!$H$4:$BK$20,MATCH("AMT_HP",원본_RAW!$A$4:$A$20,0),FALSE),"")</f>
        <v/>
      </c>
      <c r="L138" s="529">
        <f>IFERROR(HLOOKUP("2031년 2월",원본_RAW!$H$4:$BK$20,MATCH("AMT_HP",원본_RAW!$A$4:$A$20,0),FALSE),"")</f>
        <v/>
      </c>
      <c r="M138" s="529">
        <f>IFERROR(HLOOKUP("2031년 3월",원본_RAW!$H$4:$BK$20,MATCH("AMT_HP",원본_RAW!$A$4:$A$20,0),FALSE),"")</f>
        <v/>
      </c>
      <c r="N138" s="493">
        <f>SUM(B138:M138)</f>
        <v/>
      </c>
      <c r="O138">
        <f>COUNT(B138:M138)</f>
        <v/>
      </c>
    </row>
    <row r="140">
      <c r="A140" s="527" t="inlineStr">
        <is>
          <t>[GP] FY ＼ 월</t>
        </is>
      </c>
      <c r="B140" s="528" t="inlineStr">
        <is>
          <t>4월</t>
        </is>
      </c>
      <c r="C140" s="528" t="inlineStr">
        <is>
          <t>5월</t>
        </is>
      </c>
      <c r="D140" s="528" t="inlineStr">
        <is>
          <t>6월</t>
        </is>
      </c>
      <c r="E140" s="528" t="inlineStr">
        <is>
          <t>7월</t>
        </is>
      </c>
      <c r="F140" s="528" t="inlineStr">
        <is>
          <t>8월</t>
        </is>
      </c>
      <c r="G140" s="528" t="inlineStr">
        <is>
          <t>9월</t>
        </is>
      </c>
      <c r="H140" s="528" t="inlineStr">
        <is>
          <t>10월</t>
        </is>
      </c>
      <c r="I140" s="528" t="inlineStr">
        <is>
          <t>11월</t>
        </is>
      </c>
      <c r="J140" s="528" t="inlineStr">
        <is>
          <t>12월</t>
        </is>
      </c>
      <c r="K140" s="528" t="inlineStr">
        <is>
          <t>1월</t>
        </is>
      </c>
      <c r="L140" s="528" t="inlineStr">
        <is>
          <t>2월</t>
        </is>
      </c>
      <c r="M140" s="528" t="inlineStr">
        <is>
          <t>3월</t>
        </is>
      </c>
      <c r="N140" s="527" t="inlineStr">
        <is>
          <t>FY 합계</t>
        </is>
      </c>
      <c r="O140" s="527" t="inlineStr">
        <is>
          <t>실측월수</t>
        </is>
      </c>
    </row>
    <row r="141">
      <c r="A141" t="inlineStr">
        <is>
          <t>FY2018</t>
        </is>
      </c>
      <c r="B141" s="500" t="n"/>
      <c r="C141" s="500" t="n"/>
      <c r="D141" s="500" t="n"/>
      <c r="E141" s="500" t="n"/>
      <c r="F141" s="500" t="n"/>
      <c r="G141" s="500" t="n"/>
      <c r="H141" s="500" t="n"/>
      <c r="I141" s="500" t="n"/>
      <c r="J141" s="500" t="n"/>
      <c r="K141" s="500" t="n"/>
      <c r="L141" s="500" t="n"/>
      <c r="M141" s="500" t="n"/>
      <c r="N141" s="493">
        <f>SUM(B141:M141)</f>
        <v/>
      </c>
      <c r="O141">
        <f>COUNT(B141:M141)</f>
        <v/>
      </c>
    </row>
    <row r="142">
      <c r="A142" t="inlineStr">
        <is>
          <t>FY2019</t>
        </is>
      </c>
      <c r="B142" s="500" t="n"/>
      <c r="C142" s="500" t="n"/>
      <c r="D142" s="500" t="n"/>
      <c r="E142" s="500" t="n"/>
      <c r="F142" s="500" t="n"/>
      <c r="G142" s="500" t="n"/>
      <c r="H142" s="500" t="n"/>
      <c r="I142" s="500" t="n"/>
      <c r="J142" s="500" t="n"/>
      <c r="K142" s="500" t="n"/>
      <c r="L142" s="500" t="n"/>
      <c r="M142" s="500" t="n"/>
      <c r="N142" s="493">
        <f>SUM(B142:M142)</f>
        <v/>
      </c>
      <c r="O142">
        <f>COUNT(B142:M142)</f>
        <v/>
      </c>
    </row>
    <row r="143">
      <c r="A143" t="inlineStr">
        <is>
          <t>FY2020</t>
        </is>
      </c>
      <c r="B143" s="500" t="n"/>
      <c r="C143" s="500" t="n"/>
      <c r="D143" s="500" t="n"/>
      <c r="E143" s="500" t="n"/>
      <c r="F143" s="500" t="n"/>
      <c r="G143" s="500" t="n"/>
      <c r="H143" s="500" t="n"/>
      <c r="I143" s="500" t="n"/>
      <c r="J143" s="500" t="n"/>
      <c r="K143" s="500" t="n"/>
      <c r="L143" s="500" t="n"/>
      <c r="M143" s="500" t="n"/>
      <c r="N143" s="493">
        <f>SUM(B143:M143)</f>
        <v/>
      </c>
      <c r="O143">
        <f>COUNT(B143:M143)</f>
        <v/>
      </c>
    </row>
    <row r="144">
      <c r="A144" t="inlineStr">
        <is>
          <t>FY2021</t>
        </is>
      </c>
      <c r="B144" s="500" t="n"/>
      <c r="C144" s="500" t="n"/>
      <c r="D144" s="500" t="n"/>
      <c r="E144" s="500" t="n"/>
      <c r="F144" s="500" t="n"/>
      <c r="G144" s="500" t="n"/>
      <c r="H144" s="500" t="n"/>
      <c r="I144" s="500" t="n"/>
      <c r="J144" s="500" t="n"/>
      <c r="K144" s="500" t="n"/>
      <c r="L144" s="500" t="n"/>
      <c r="M144" s="500" t="n"/>
      <c r="N144" s="493">
        <f>SUM(B144:M144)</f>
        <v/>
      </c>
      <c r="O144">
        <f>COUNT(B144:M144)</f>
        <v/>
      </c>
    </row>
    <row r="145">
      <c r="A145" t="inlineStr">
        <is>
          <t>FY2022</t>
        </is>
      </c>
      <c r="B145" s="500" t="n"/>
      <c r="C145" s="500" t="n"/>
      <c r="D145" s="500" t="n"/>
      <c r="E145" s="500" t="n"/>
      <c r="F145" s="500" t="n"/>
      <c r="G145" s="500" t="n"/>
      <c r="H145" s="500" t="n"/>
      <c r="I145" s="500" t="n"/>
      <c r="J145" s="500" t="n"/>
      <c r="K145" s="500" t="n"/>
      <c r="L145" s="500" t="n"/>
      <c r="M145" s="500" t="n"/>
      <c r="N145" s="493">
        <f>SUM(B145:M145)</f>
        <v/>
      </c>
      <c r="O145">
        <f>COUNT(B145:M145)</f>
        <v/>
      </c>
    </row>
    <row r="146">
      <c r="A146" t="inlineStr">
        <is>
          <t>FY2023</t>
        </is>
      </c>
      <c r="B146" s="500" t="n"/>
      <c r="C146" s="500" t="n"/>
      <c r="D146" s="500" t="n"/>
      <c r="E146" s="500" t="n"/>
      <c r="F146" s="500" t="n"/>
      <c r="G146" s="500" t="n"/>
      <c r="H146" s="500" t="n"/>
      <c r="I146" s="500" t="n"/>
      <c r="J146" s="500" t="n"/>
      <c r="K146" s="500" t="n"/>
      <c r="L146" s="500" t="n"/>
      <c r="M146" s="500" t="n"/>
      <c r="N146" s="493">
        <f>SUM(B146:M146)</f>
        <v/>
      </c>
      <c r="O146">
        <f>COUNT(B146:M146)</f>
        <v/>
      </c>
    </row>
    <row r="147">
      <c r="A147" t="inlineStr">
        <is>
          <t>FY2024</t>
        </is>
      </c>
      <c r="B147" s="500" t="n"/>
      <c r="C147" s="500" t="n"/>
      <c r="D147" s="500" t="n"/>
      <c r="E147" s="500" t="n"/>
      <c r="F147" s="500" t="n"/>
      <c r="G147" s="500" t="n"/>
      <c r="H147" s="500" t="n"/>
      <c r="I147" s="500" t="n"/>
      <c r="J147" s="500" t="n"/>
      <c r="K147" s="500" t="n"/>
      <c r="L147" s="500" t="n"/>
      <c r="M147" s="500" t="n"/>
      <c r="N147" s="493">
        <f>SUM(B147:M147)</f>
        <v/>
      </c>
      <c r="O147">
        <f>COUNT(B147:M147)</f>
        <v/>
      </c>
    </row>
    <row r="148">
      <c r="A148" t="inlineStr">
        <is>
          <t>FY2025</t>
        </is>
      </c>
      <c r="B148" s="500" t="n"/>
      <c r="C148" s="500" t="n"/>
      <c r="D148" s="500" t="n"/>
      <c r="E148" s="500" t="n"/>
      <c r="F148" s="500" t="n"/>
      <c r="G148" s="500" t="n"/>
      <c r="H148" s="500" t="n"/>
      <c r="I148" s="500" t="n"/>
      <c r="J148" s="500" t="n"/>
      <c r="K148" s="500" t="n"/>
      <c r="L148" s="500" t="n"/>
      <c r="M148" s="500" t="n"/>
      <c r="N148" s="493">
        <f>SUM(B148:M148)</f>
        <v/>
      </c>
      <c r="O148">
        <f>COUNT(B148:M148)</f>
        <v/>
      </c>
    </row>
    <row r="149">
      <c r="A149" t="inlineStr">
        <is>
          <t>FY2026</t>
        </is>
      </c>
      <c r="B149" s="529">
        <f>IFERROR(HLOOKUP("2026년 4월",원본_RAW!$H$4:$BK$20,MATCH("AMT_GP",원본_RAW!$A$4:$A$20,0),FALSE),"")</f>
        <v/>
      </c>
      <c r="C149" s="529">
        <f>IFERROR(HLOOKUP("2026년 5월",원본_RAW!$H$4:$BK$20,MATCH("AMT_GP",원본_RAW!$A$4:$A$20,0),FALSE),"")</f>
        <v/>
      </c>
      <c r="D149" s="529">
        <f>IFERROR(HLOOKUP("2026년 6월",원본_RAW!$H$4:$BK$20,MATCH("AMT_GP",원본_RAW!$A$4:$A$20,0),FALSE),"")</f>
        <v/>
      </c>
      <c r="E149" s="529">
        <f>IFERROR(HLOOKUP("2026년 7월",원본_RAW!$H$4:$BK$20,MATCH("AMT_GP",원본_RAW!$A$4:$A$20,0),FALSE),"")</f>
        <v/>
      </c>
      <c r="F149" s="529">
        <f>IFERROR(HLOOKUP("2026년 8월",원본_RAW!$H$4:$BK$20,MATCH("AMT_GP",원본_RAW!$A$4:$A$20,0),FALSE),"")</f>
        <v/>
      </c>
      <c r="G149" s="529">
        <f>IFERROR(HLOOKUP("2026년 9월",원본_RAW!$H$4:$BK$20,MATCH("AMT_GP",원본_RAW!$A$4:$A$20,0),FALSE),"")</f>
        <v/>
      </c>
      <c r="H149" s="529">
        <f>IFERROR(HLOOKUP("2026년 10월",원본_RAW!$H$4:$BK$20,MATCH("AMT_GP",원본_RAW!$A$4:$A$20,0),FALSE),"")</f>
        <v/>
      </c>
      <c r="I149" s="529">
        <f>IFERROR(HLOOKUP("2026년 11월",원본_RAW!$H$4:$BK$20,MATCH("AMT_GP",원본_RAW!$A$4:$A$20,0),FALSE),"")</f>
        <v/>
      </c>
      <c r="J149" s="529">
        <f>IFERROR(HLOOKUP("2026년 12월",원본_RAW!$H$4:$BK$20,MATCH("AMT_GP",원본_RAW!$A$4:$A$20,0),FALSE),"")</f>
        <v/>
      </c>
      <c r="K149" s="529">
        <f>IFERROR(HLOOKUP("2027년 1월",원본_RAW!$H$4:$BK$20,MATCH("AMT_GP",원본_RAW!$A$4:$A$20,0),FALSE),"")</f>
        <v/>
      </c>
      <c r="L149" s="529">
        <f>IFERROR(HLOOKUP("2027년 2월",원본_RAW!$H$4:$BK$20,MATCH("AMT_GP",원본_RAW!$A$4:$A$20,0),FALSE),"")</f>
        <v/>
      </c>
      <c r="M149" s="529">
        <f>IFERROR(HLOOKUP("2027년 3월",원본_RAW!$H$4:$BK$20,MATCH("AMT_GP",원본_RAW!$A$4:$A$20,0),FALSE),"")</f>
        <v/>
      </c>
      <c r="N149" s="493">
        <f>SUM(B149:M149)</f>
        <v/>
      </c>
      <c r="O149">
        <f>COUNT(B149:M149)</f>
        <v/>
      </c>
    </row>
    <row r="150">
      <c r="A150" t="inlineStr">
        <is>
          <t>FY2027</t>
        </is>
      </c>
      <c r="B150" s="529">
        <f>IFERROR(HLOOKUP("2027년 4월",원본_RAW!$H$4:$BK$20,MATCH("AMT_GP",원본_RAW!$A$4:$A$20,0),FALSE),"")</f>
        <v/>
      </c>
      <c r="C150" s="529">
        <f>IFERROR(HLOOKUP("2027년 5월",원본_RAW!$H$4:$BK$20,MATCH("AMT_GP",원본_RAW!$A$4:$A$20,0),FALSE),"")</f>
        <v/>
      </c>
      <c r="D150" s="529">
        <f>IFERROR(HLOOKUP("2027년 6월",원본_RAW!$H$4:$BK$20,MATCH("AMT_GP",원본_RAW!$A$4:$A$20,0),FALSE),"")</f>
        <v/>
      </c>
      <c r="E150" s="529">
        <f>IFERROR(HLOOKUP("2027년 7월",원본_RAW!$H$4:$BK$20,MATCH("AMT_GP",원본_RAW!$A$4:$A$20,0),FALSE),"")</f>
        <v/>
      </c>
      <c r="F150" s="529">
        <f>IFERROR(HLOOKUP("2027년 8월",원본_RAW!$H$4:$BK$20,MATCH("AMT_GP",원본_RAW!$A$4:$A$20,0),FALSE),"")</f>
        <v/>
      </c>
      <c r="G150" s="529">
        <f>IFERROR(HLOOKUP("2027년 9월",원본_RAW!$H$4:$BK$20,MATCH("AMT_GP",원본_RAW!$A$4:$A$20,0),FALSE),"")</f>
        <v/>
      </c>
      <c r="H150" s="529">
        <f>IFERROR(HLOOKUP("2027년 10월",원본_RAW!$H$4:$BK$20,MATCH("AMT_GP",원본_RAW!$A$4:$A$20,0),FALSE),"")</f>
        <v/>
      </c>
      <c r="I150" s="529">
        <f>IFERROR(HLOOKUP("2027년 11월",원본_RAW!$H$4:$BK$20,MATCH("AMT_GP",원본_RAW!$A$4:$A$20,0),FALSE),"")</f>
        <v/>
      </c>
      <c r="J150" s="529">
        <f>IFERROR(HLOOKUP("2027년 12월",원본_RAW!$H$4:$BK$20,MATCH("AMT_GP",원본_RAW!$A$4:$A$20,0),FALSE),"")</f>
        <v/>
      </c>
      <c r="K150" s="529">
        <f>IFERROR(HLOOKUP("2028년 1월",원본_RAW!$H$4:$BK$20,MATCH("AMT_GP",원본_RAW!$A$4:$A$20,0),FALSE),"")</f>
        <v/>
      </c>
      <c r="L150" s="529">
        <f>IFERROR(HLOOKUP("2028년 2월",원본_RAW!$H$4:$BK$20,MATCH("AMT_GP",원본_RAW!$A$4:$A$20,0),FALSE),"")</f>
        <v/>
      </c>
      <c r="M150" s="529">
        <f>IFERROR(HLOOKUP("2028년 3월",원본_RAW!$H$4:$BK$20,MATCH("AMT_GP",원본_RAW!$A$4:$A$20,0),FALSE),"")</f>
        <v/>
      </c>
      <c r="N150" s="493">
        <f>SUM(B150:M150)</f>
        <v/>
      </c>
      <c r="O150">
        <f>COUNT(B150:M150)</f>
        <v/>
      </c>
    </row>
    <row r="151">
      <c r="A151" t="inlineStr">
        <is>
          <t>FY2028</t>
        </is>
      </c>
      <c r="B151" s="529">
        <f>IFERROR(HLOOKUP("2028년 4월",원본_RAW!$H$4:$BK$20,MATCH("AMT_GP",원본_RAW!$A$4:$A$20,0),FALSE),"")</f>
        <v/>
      </c>
      <c r="C151" s="529">
        <f>IFERROR(HLOOKUP("2028년 5월",원본_RAW!$H$4:$BK$20,MATCH("AMT_GP",원본_RAW!$A$4:$A$20,0),FALSE),"")</f>
        <v/>
      </c>
      <c r="D151" s="529">
        <f>IFERROR(HLOOKUP("2028년 6월",원본_RAW!$H$4:$BK$20,MATCH("AMT_GP",원본_RAW!$A$4:$A$20,0),FALSE),"")</f>
        <v/>
      </c>
      <c r="E151" s="529">
        <f>IFERROR(HLOOKUP("2028년 7월",원본_RAW!$H$4:$BK$20,MATCH("AMT_GP",원본_RAW!$A$4:$A$20,0),FALSE),"")</f>
        <v/>
      </c>
      <c r="F151" s="529">
        <f>IFERROR(HLOOKUP("2028년 8월",원본_RAW!$H$4:$BK$20,MATCH("AMT_GP",원본_RAW!$A$4:$A$20,0),FALSE),"")</f>
        <v/>
      </c>
      <c r="G151" s="529">
        <f>IFERROR(HLOOKUP("2028년 9월",원본_RAW!$H$4:$BK$20,MATCH("AMT_GP",원본_RAW!$A$4:$A$20,0),FALSE),"")</f>
        <v/>
      </c>
      <c r="H151" s="529">
        <f>IFERROR(HLOOKUP("2028년 10월",원본_RAW!$H$4:$BK$20,MATCH("AMT_GP",원본_RAW!$A$4:$A$20,0),FALSE),"")</f>
        <v/>
      </c>
      <c r="I151" s="529">
        <f>IFERROR(HLOOKUP("2028년 11월",원본_RAW!$H$4:$BK$20,MATCH("AMT_GP",원본_RAW!$A$4:$A$20,0),FALSE),"")</f>
        <v/>
      </c>
      <c r="J151" s="529">
        <f>IFERROR(HLOOKUP("2028년 12월",원본_RAW!$H$4:$BK$20,MATCH("AMT_GP",원본_RAW!$A$4:$A$20,0),FALSE),"")</f>
        <v/>
      </c>
      <c r="K151" s="529">
        <f>IFERROR(HLOOKUP("2029년 1월",원본_RAW!$H$4:$BK$20,MATCH("AMT_GP",원본_RAW!$A$4:$A$20,0),FALSE),"")</f>
        <v/>
      </c>
      <c r="L151" s="529">
        <f>IFERROR(HLOOKUP("2029년 2월",원본_RAW!$H$4:$BK$20,MATCH("AMT_GP",원본_RAW!$A$4:$A$20,0),FALSE),"")</f>
        <v/>
      </c>
      <c r="M151" s="529">
        <f>IFERROR(HLOOKUP("2029년 3월",원본_RAW!$H$4:$BK$20,MATCH("AMT_GP",원본_RAW!$A$4:$A$20,0),FALSE),"")</f>
        <v/>
      </c>
      <c r="N151" s="493">
        <f>SUM(B151:M151)</f>
        <v/>
      </c>
      <c r="O151">
        <f>COUNT(B151:M151)</f>
        <v/>
      </c>
    </row>
    <row r="152">
      <c r="A152" t="inlineStr">
        <is>
          <t>FY2029</t>
        </is>
      </c>
      <c r="B152" s="529">
        <f>IFERROR(HLOOKUP("2029년 4월",원본_RAW!$H$4:$BK$20,MATCH("AMT_GP",원본_RAW!$A$4:$A$20,0),FALSE),"")</f>
        <v/>
      </c>
      <c r="C152" s="529">
        <f>IFERROR(HLOOKUP("2029년 5월",원본_RAW!$H$4:$BK$20,MATCH("AMT_GP",원본_RAW!$A$4:$A$20,0),FALSE),"")</f>
        <v/>
      </c>
      <c r="D152" s="529">
        <f>IFERROR(HLOOKUP("2029년 6월",원본_RAW!$H$4:$BK$20,MATCH("AMT_GP",원본_RAW!$A$4:$A$20,0),FALSE),"")</f>
        <v/>
      </c>
      <c r="E152" s="529">
        <f>IFERROR(HLOOKUP("2029년 7월",원본_RAW!$H$4:$BK$20,MATCH("AMT_GP",원본_RAW!$A$4:$A$20,0),FALSE),"")</f>
        <v/>
      </c>
      <c r="F152" s="529">
        <f>IFERROR(HLOOKUP("2029년 8월",원본_RAW!$H$4:$BK$20,MATCH("AMT_GP",원본_RAW!$A$4:$A$20,0),FALSE),"")</f>
        <v/>
      </c>
      <c r="G152" s="529">
        <f>IFERROR(HLOOKUP("2029년 9월",원본_RAW!$H$4:$BK$20,MATCH("AMT_GP",원본_RAW!$A$4:$A$20,0),FALSE),"")</f>
        <v/>
      </c>
      <c r="H152" s="529">
        <f>IFERROR(HLOOKUP("2029년 10월",원본_RAW!$H$4:$BK$20,MATCH("AMT_GP",원본_RAW!$A$4:$A$20,0),FALSE),"")</f>
        <v/>
      </c>
      <c r="I152" s="529">
        <f>IFERROR(HLOOKUP("2029년 11월",원본_RAW!$H$4:$BK$20,MATCH("AMT_GP",원본_RAW!$A$4:$A$20,0),FALSE),"")</f>
        <v/>
      </c>
      <c r="J152" s="529">
        <f>IFERROR(HLOOKUP("2029년 12월",원본_RAW!$H$4:$BK$20,MATCH("AMT_GP",원본_RAW!$A$4:$A$20,0),FALSE),"")</f>
        <v/>
      </c>
      <c r="K152" s="529">
        <f>IFERROR(HLOOKUP("2030년 1월",원본_RAW!$H$4:$BK$20,MATCH("AMT_GP",원본_RAW!$A$4:$A$20,0),FALSE),"")</f>
        <v/>
      </c>
      <c r="L152" s="529">
        <f>IFERROR(HLOOKUP("2030년 2월",원본_RAW!$H$4:$BK$20,MATCH("AMT_GP",원본_RAW!$A$4:$A$20,0),FALSE),"")</f>
        <v/>
      </c>
      <c r="M152" s="529">
        <f>IFERROR(HLOOKUP("2030년 3월",원본_RAW!$H$4:$BK$20,MATCH("AMT_GP",원본_RAW!$A$4:$A$20,0),FALSE),"")</f>
        <v/>
      </c>
      <c r="N152" s="493">
        <f>SUM(B152:M152)</f>
        <v/>
      </c>
      <c r="O152">
        <f>COUNT(B152:M152)</f>
        <v/>
      </c>
    </row>
    <row r="153">
      <c r="A153" t="inlineStr">
        <is>
          <t>FY2030</t>
        </is>
      </c>
      <c r="B153" s="529">
        <f>IFERROR(HLOOKUP("2030년 4월",원본_RAW!$H$4:$BK$20,MATCH("AMT_GP",원본_RAW!$A$4:$A$20,0),FALSE),"")</f>
        <v/>
      </c>
      <c r="C153" s="529">
        <f>IFERROR(HLOOKUP("2030년 5월",원본_RAW!$H$4:$BK$20,MATCH("AMT_GP",원본_RAW!$A$4:$A$20,0),FALSE),"")</f>
        <v/>
      </c>
      <c r="D153" s="529">
        <f>IFERROR(HLOOKUP("2030년 6월",원본_RAW!$H$4:$BK$20,MATCH("AMT_GP",원본_RAW!$A$4:$A$20,0),FALSE),"")</f>
        <v/>
      </c>
      <c r="E153" s="529">
        <f>IFERROR(HLOOKUP("2030년 7월",원본_RAW!$H$4:$BK$20,MATCH("AMT_GP",원본_RAW!$A$4:$A$20,0),FALSE),"")</f>
        <v/>
      </c>
      <c r="F153" s="529">
        <f>IFERROR(HLOOKUP("2030년 8월",원본_RAW!$H$4:$BK$20,MATCH("AMT_GP",원본_RAW!$A$4:$A$20,0),FALSE),"")</f>
        <v/>
      </c>
      <c r="G153" s="529">
        <f>IFERROR(HLOOKUP("2030년 9월",원본_RAW!$H$4:$BK$20,MATCH("AMT_GP",원본_RAW!$A$4:$A$20,0),FALSE),"")</f>
        <v/>
      </c>
      <c r="H153" s="529">
        <f>IFERROR(HLOOKUP("2030년 10월",원본_RAW!$H$4:$BK$20,MATCH("AMT_GP",원본_RAW!$A$4:$A$20,0),FALSE),"")</f>
        <v/>
      </c>
      <c r="I153" s="529">
        <f>IFERROR(HLOOKUP("2030년 11월",원본_RAW!$H$4:$BK$20,MATCH("AMT_GP",원본_RAW!$A$4:$A$20,0),FALSE),"")</f>
        <v/>
      </c>
      <c r="J153" s="529">
        <f>IFERROR(HLOOKUP("2030년 12월",원본_RAW!$H$4:$BK$20,MATCH("AMT_GP",원본_RAW!$A$4:$A$20,0),FALSE),"")</f>
        <v/>
      </c>
      <c r="K153" s="529">
        <f>IFERROR(HLOOKUP("2031년 1월",원본_RAW!$H$4:$BK$20,MATCH("AMT_GP",원본_RAW!$A$4:$A$20,0),FALSE),"")</f>
        <v/>
      </c>
      <c r="L153" s="529">
        <f>IFERROR(HLOOKUP("2031년 2월",원본_RAW!$H$4:$BK$20,MATCH("AMT_GP",원본_RAW!$A$4:$A$20,0),FALSE),"")</f>
        <v/>
      </c>
      <c r="M153" s="529">
        <f>IFERROR(HLOOKUP("2031년 3월",원본_RAW!$H$4:$BK$20,MATCH("AMT_GP",원본_RAW!$A$4:$A$20,0),FALSE),"")</f>
        <v/>
      </c>
      <c r="N153" s="493">
        <f>SUM(B153:M153)</f>
        <v/>
      </c>
      <c r="O153">
        <f>COUNT(B153:M153)</f>
        <v/>
      </c>
    </row>
    <row r="155">
      <c r="A155" s="526" t="inlineStr">
        <is>
          <t>■ F. 파생지표 (수식 — 위 A~E에서 자동 계산. 여기는 수정하지 마십시오)</t>
        </is>
      </c>
    </row>
    <row r="156">
      <c r="A156" s="527" t="inlineStr">
        <is>
          <t>HP 채널 비중 (ARB+CCB+DU 복합제)</t>
        </is>
      </c>
      <c r="B156" s="528" t="inlineStr">
        <is>
          <t>4월</t>
        </is>
      </c>
      <c r="C156" s="528" t="inlineStr">
        <is>
          <t>5월</t>
        </is>
      </c>
      <c r="D156" s="528" t="inlineStr">
        <is>
          <t>6월</t>
        </is>
      </c>
      <c r="E156" s="528" t="inlineStr">
        <is>
          <t>7월</t>
        </is>
      </c>
      <c r="F156" s="528" t="inlineStr">
        <is>
          <t>8월</t>
        </is>
      </c>
      <c r="G156" s="528" t="inlineStr">
        <is>
          <t>9월</t>
        </is>
      </c>
      <c r="H156" s="528" t="inlineStr">
        <is>
          <t>10월</t>
        </is>
      </c>
      <c r="I156" s="528" t="inlineStr">
        <is>
          <t>11월</t>
        </is>
      </c>
      <c r="J156" s="528" t="inlineStr">
        <is>
          <t>12월</t>
        </is>
      </c>
      <c r="K156" s="528" t="inlineStr">
        <is>
          <t>1월</t>
        </is>
      </c>
      <c r="L156" s="528" t="inlineStr">
        <is>
          <t>2월</t>
        </is>
      </c>
      <c r="M156" s="528" t="inlineStr">
        <is>
          <t>3월</t>
        </is>
      </c>
      <c r="N156" s="527" t="inlineStr">
        <is>
          <t>FY 합계 기준</t>
        </is>
      </c>
    </row>
    <row r="157">
      <c r="A157" t="inlineStr">
        <is>
          <t>FY2018</t>
        </is>
      </c>
      <c r="B157" s="507">
        <f>IFERROR(B33/(B33+B48),"")</f>
        <v/>
      </c>
      <c r="C157" s="507">
        <f>IFERROR(C33/(C33+C48),"")</f>
        <v/>
      </c>
      <c r="D157" s="507">
        <f>IFERROR(D33/(D33+D48),"")</f>
        <v/>
      </c>
      <c r="E157" s="507">
        <f>IFERROR(E33/(E33+E48),"")</f>
        <v/>
      </c>
      <c r="F157" s="507">
        <f>IFERROR(F33/(F33+F48),"")</f>
        <v/>
      </c>
      <c r="G157" s="507">
        <f>IFERROR(G33/(G33+G48),"")</f>
        <v/>
      </c>
      <c r="H157" s="507">
        <f>IFERROR(H33/(H33+H48),"")</f>
        <v/>
      </c>
      <c r="I157" s="507">
        <f>IFERROR(I33/(I33+I48),"")</f>
        <v/>
      </c>
      <c r="J157" s="507">
        <f>IFERROR(J33/(J33+J48),"")</f>
        <v/>
      </c>
      <c r="K157" s="507">
        <f>IFERROR(K33/(K33+K48),"")</f>
        <v/>
      </c>
      <c r="L157" s="507">
        <f>IFERROR(L33/(L33+L48),"")</f>
        <v/>
      </c>
      <c r="M157" s="507">
        <f>IFERROR(M33/(M33+M48),"")</f>
        <v/>
      </c>
      <c r="N157" s="507">
        <f>IFERROR(N33/(N33+N48),"")</f>
        <v/>
      </c>
    </row>
    <row r="158">
      <c r="A158" t="inlineStr">
        <is>
          <t>FY2019</t>
        </is>
      </c>
      <c r="B158" s="507">
        <f>IFERROR(B34/(B34+B49),"")</f>
        <v/>
      </c>
      <c r="C158" s="507">
        <f>IFERROR(C34/(C34+C49),"")</f>
        <v/>
      </c>
      <c r="D158" s="507">
        <f>IFERROR(D34/(D34+D49),"")</f>
        <v/>
      </c>
      <c r="E158" s="507">
        <f>IFERROR(E34/(E34+E49),"")</f>
        <v/>
      </c>
      <c r="F158" s="507">
        <f>IFERROR(F34/(F34+F49),"")</f>
        <v/>
      </c>
      <c r="G158" s="507">
        <f>IFERROR(G34/(G34+G49),"")</f>
        <v/>
      </c>
      <c r="H158" s="507">
        <f>IFERROR(H34/(H34+H49),"")</f>
        <v/>
      </c>
      <c r="I158" s="507">
        <f>IFERROR(I34/(I34+I49),"")</f>
        <v/>
      </c>
      <c r="J158" s="507">
        <f>IFERROR(J34/(J34+J49),"")</f>
        <v/>
      </c>
      <c r="K158" s="507">
        <f>IFERROR(K34/(K34+K49),"")</f>
        <v/>
      </c>
      <c r="L158" s="507">
        <f>IFERROR(L34/(L34+L49),"")</f>
        <v/>
      </c>
      <c r="M158" s="507">
        <f>IFERROR(M34/(M34+M49),"")</f>
        <v/>
      </c>
      <c r="N158" s="507">
        <f>IFERROR(N34/(N34+N49),"")</f>
        <v/>
      </c>
    </row>
    <row r="159">
      <c r="A159" t="inlineStr">
        <is>
          <t>FY2020</t>
        </is>
      </c>
      <c r="B159" s="507">
        <f>IFERROR(B35/(B35+B50),"")</f>
        <v/>
      </c>
      <c r="C159" s="507">
        <f>IFERROR(C35/(C35+C50),"")</f>
        <v/>
      </c>
      <c r="D159" s="507">
        <f>IFERROR(D35/(D35+D50),"")</f>
        <v/>
      </c>
      <c r="E159" s="507">
        <f>IFERROR(E35/(E35+E50),"")</f>
        <v/>
      </c>
      <c r="F159" s="507">
        <f>IFERROR(F35/(F35+F50),"")</f>
        <v/>
      </c>
      <c r="G159" s="507">
        <f>IFERROR(G35/(G35+G50),"")</f>
        <v/>
      </c>
      <c r="H159" s="507">
        <f>IFERROR(H35/(H35+H50),"")</f>
        <v/>
      </c>
      <c r="I159" s="507">
        <f>IFERROR(I35/(I35+I50),"")</f>
        <v/>
      </c>
      <c r="J159" s="507">
        <f>IFERROR(J35/(J35+J50),"")</f>
        <v/>
      </c>
      <c r="K159" s="507">
        <f>IFERROR(K35/(K35+K50),"")</f>
        <v/>
      </c>
      <c r="L159" s="507">
        <f>IFERROR(L35/(L35+L50),"")</f>
        <v/>
      </c>
      <c r="M159" s="507">
        <f>IFERROR(M35/(M35+M50),"")</f>
        <v/>
      </c>
      <c r="N159" s="507">
        <f>IFERROR(N35/(N35+N50),"")</f>
        <v/>
      </c>
    </row>
    <row r="160">
      <c r="A160" t="inlineStr">
        <is>
          <t>FY2021</t>
        </is>
      </c>
      <c r="B160" s="507">
        <f>IFERROR(B36/(B36+B51),"")</f>
        <v/>
      </c>
      <c r="C160" s="507">
        <f>IFERROR(C36/(C36+C51),"")</f>
        <v/>
      </c>
      <c r="D160" s="507">
        <f>IFERROR(D36/(D36+D51),"")</f>
        <v/>
      </c>
      <c r="E160" s="507">
        <f>IFERROR(E36/(E36+E51),"")</f>
        <v/>
      </c>
      <c r="F160" s="507">
        <f>IFERROR(F36/(F36+F51),"")</f>
        <v/>
      </c>
      <c r="G160" s="507">
        <f>IFERROR(G36/(G36+G51),"")</f>
        <v/>
      </c>
      <c r="H160" s="507">
        <f>IFERROR(H36/(H36+H51),"")</f>
        <v/>
      </c>
      <c r="I160" s="507">
        <f>IFERROR(I36/(I36+I51),"")</f>
        <v/>
      </c>
      <c r="J160" s="507">
        <f>IFERROR(J36/(J36+J51),"")</f>
        <v/>
      </c>
      <c r="K160" s="507">
        <f>IFERROR(K36/(K36+K51),"")</f>
        <v/>
      </c>
      <c r="L160" s="507">
        <f>IFERROR(L36/(L36+L51),"")</f>
        <v/>
      </c>
      <c r="M160" s="507">
        <f>IFERROR(M36/(M36+M51),"")</f>
        <v/>
      </c>
      <c r="N160" s="507">
        <f>IFERROR(N36/(N36+N51),"")</f>
        <v/>
      </c>
    </row>
    <row r="161">
      <c r="A161" t="inlineStr">
        <is>
          <t>FY2022</t>
        </is>
      </c>
      <c r="B161" s="507">
        <f>IFERROR(B37/(B37+B52),"")</f>
        <v/>
      </c>
      <c r="C161" s="507">
        <f>IFERROR(C37/(C37+C52),"")</f>
        <v/>
      </c>
      <c r="D161" s="507">
        <f>IFERROR(D37/(D37+D52),"")</f>
        <v/>
      </c>
      <c r="E161" s="507">
        <f>IFERROR(E37/(E37+E52),"")</f>
        <v/>
      </c>
      <c r="F161" s="507">
        <f>IFERROR(F37/(F37+F52),"")</f>
        <v/>
      </c>
      <c r="G161" s="507">
        <f>IFERROR(G37/(G37+G52),"")</f>
        <v/>
      </c>
      <c r="H161" s="507">
        <f>IFERROR(H37/(H37+H52),"")</f>
        <v/>
      </c>
      <c r="I161" s="507">
        <f>IFERROR(I37/(I37+I52),"")</f>
        <v/>
      </c>
      <c r="J161" s="507">
        <f>IFERROR(J37/(J37+J52),"")</f>
        <v/>
      </c>
      <c r="K161" s="507">
        <f>IFERROR(K37/(K37+K52),"")</f>
        <v/>
      </c>
      <c r="L161" s="507">
        <f>IFERROR(L37/(L37+L52),"")</f>
        <v/>
      </c>
      <c r="M161" s="507">
        <f>IFERROR(M37/(M37+M52),"")</f>
        <v/>
      </c>
      <c r="N161" s="507">
        <f>IFERROR(N37/(N37+N52),"")</f>
        <v/>
      </c>
    </row>
    <row r="162">
      <c r="A162" t="inlineStr">
        <is>
          <t>FY2023</t>
        </is>
      </c>
      <c r="B162" s="507">
        <f>IFERROR(B38/(B38+B53),"")</f>
        <v/>
      </c>
      <c r="C162" s="507">
        <f>IFERROR(C38/(C38+C53),"")</f>
        <v/>
      </c>
      <c r="D162" s="507">
        <f>IFERROR(D38/(D38+D53),"")</f>
        <v/>
      </c>
      <c r="E162" s="507">
        <f>IFERROR(E38/(E38+E53),"")</f>
        <v/>
      </c>
      <c r="F162" s="507">
        <f>IFERROR(F38/(F38+F53),"")</f>
        <v/>
      </c>
      <c r="G162" s="507">
        <f>IFERROR(G38/(G38+G53),"")</f>
        <v/>
      </c>
      <c r="H162" s="507">
        <f>IFERROR(H38/(H38+H53),"")</f>
        <v/>
      </c>
      <c r="I162" s="507">
        <f>IFERROR(I38/(I38+I53),"")</f>
        <v/>
      </c>
      <c r="J162" s="507">
        <f>IFERROR(J38/(J38+J53),"")</f>
        <v/>
      </c>
      <c r="K162" s="507">
        <f>IFERROR(K38/(K38+K53),"")</f>
        <v/>
      </c>
      <c r="L162" s="507">
        <f>IFERROR(L38/(L38+L53),"")</f>
        <v/>
      </c>
      <c r="M162" s="507">
        <f>IFERROR(M38/(M38+M53),"")</f>
        <v/>
      </c>
      <c r="N162" s="507">
        <f>IFERROR(N38/(N38+N53),"")</f>
        <v/>
      </c>
    </row>
    <row r="163">
      <c r="A163" t="inlineStr">
        <is>
          <t>FY2024</t>
        </is>
      </c>
      <c r="B163" s="507">
        <f>IFERROR(B39/(B39+B54),"")</f>
        <v/>
      </c>
      <c r="C163" s="507">
        <f>IFERROR(C39/(C39+C54),"")</f>
        <v/>
      </c>
      <c r="D163" s="507">
        <f>IFERROR(D39/(D39+D54),"")</f>
        <v/>
      </c>
      <c r="E163" s="507">
        <f>IFERROR(E39/(E39+E54),"")</f>
        <v/>
      </c>
      <c r="F163" s="507">
        <f>IFERROR(F39/(F39+F54),"")</f>
        <v/>
      </c>
      <c r="G163" s="507">
        <f>IFERROR(G39/(G39+G54),"")</f>
        <v/>
      </c>
      <c r="H163" s="507">
        <f>IFERROR(H39/(H39+H54),"")</f>
        <v/>
      </c>
      <c r="I163" s="507">
        <f>IFERROR(I39/(I39+I54),"")</f>
        <v/>
      </c>
      <c r="J163" s="507">
        <f>IFERROR(J39/(J39+J54),"")</f>
        <v/>
      </c>
      <c r="K163" s="507">
        <f>IFERROR(K39/(K39+K54),"")</f>
        <v/>
      </c>
      <c r="L163" s="507">
        <f>IFERROR(L39/(L39+L54),"")</f>
        <v/>
      </c>
      <c r="M163" s="507">
        <f>IFERROR(M39/(M39+M54),"")</f>
        <v/>
      </c>
      <c r="N163" s="507">
        <f>IFERROR(N39/(N39+N54),"")</f>
        <v/>
      </c>
    </row>
    <row r="164">
      <c r="A164" t="inlineStr">
        <is>
          <t>FY2025</t>
        </is>
      </c>
      <c r="B164" s="507">
        <f>IFERROR(B40/(B40+B55),"")</f>
        <v/>
      </c>
      <c r="C164" s="507">
        <f>IFERROR(C40/(C40+C55),"")</f>
        <v/>
      </c>
      <c r="D164" s="507">
        <f>IFERROR(D40/(D40+D55),"")</f>
        <v/>
      </c>
      <c r="E164" s="507">
        <f>IFERROR(E40/(E40+E55),"")</f>
        <v/>
      </c>
      <c r="F164" s="507">
        <f>IFERROR(F40/(F40+F55),"")</f>
        <v/>
      </c>
      <c r="G164" s="507">
        <f>IFERROR(G40/(G40+G55),"")</f>
        <v/>
      </c>
      <c r="H164" s="507">
        <f>IFERROR(H40/(H40+H55),"")</f>
        <v/>
      </c>
      <c r="I164" s="507">
        <f>IFERROR(I40/(I40+I55),"")</f>
        <v/>
      </c>
      <c r="J164" s="507">
        <f>IFERROR(J40/(J40+J55),"")</f>
        <v/>
      </c>
      <c r="K164" s="507">
        <f>IFERROR(K40/(K40+K55),"")</f>
        <v/>
      </c>
      <c r="L164" s="507">
        <f>IFERROR(L40/(L40+L55),"")</f>
        <v/>
      </c>
      <c r="M164" s="507">
        <f>IFERROR(M40/(M40+M55),"")</f>
        <v/>
      </c>
      <c r="N164" s="507">
        <f>IFERROR(N40/(N40+N55),"")</f>
        <v/>
      </c>
    </row>
    <row r="165">
      <c r="A165" t="inlineStr">
        <is>
          <t>FY2026</t>
        </is>
      </c>
      <c r="B165" s="507">
        <f>IFERROR(B41/(B41+B56),"")</f>
        <v/>
      </c>
      <c r="C165" s="507">
        <f>IFERROR(C41/(C41+C56),"")</f>
        <v/>
      </c>
      <c r="D165" s="507">
        <f>IFERROR(D41/(D41+D56),"")</f>
        <v/>
      </c>
      <c r="E165" s="507">
        <f>IFERROR(E41/(E41+E56),"")</f>
        <v/>
      </c>
      <c r="F165" s="507">
        <f>IFERROR(F41/(F41+F56),"")</f>
        <v/>
      </c>
      <c r="G165" s="507">
        <f>IFERROR(G41/(G41+G56),"")</f>
        <v/>
      </c>
      <c r="H165" s="507">
        <f>IFERROR(H41/(H41+H56),"")</f>
        <v/>
      </c>
      <c r="I165" s="507">
        <f>IFERROR(I41/(I41+I56),"")</f>
        <v/>
      </c>
      <c r="J165" s="507">
        <f>IFERROR(J41/(J41+J56),"")</f>
        <v/>
      </c>
      <c r="K165" s="507">
        <f>IFERROR(K41/(K41+K56),"")</f>
        <v/>
      </c>
      <c r="L165" s="507">
        <f>IFERROR(L41/(L41+L56),"")</f>
        <v/>
      </c>
      <c r="M165" s="507">
        <f>IFERROR(M41/(M41+M56),"")</f>
        <v/>
      </c>
      <c r="N165" s="507">
        <f>IFERROR(N41/(N41+N56),"")</f>
        <v/>
      </c>
    </row>
    <row r="166">
      <c r="A166" t="inlineStr">
        <is>
          <t>FY2027</t>
        </is>
      </c>
      <c r="B166" s="507">
        <f>IFERROR(B42/(B42+B57),"")</f>
        <v/>
      </c>
      <c r="C166" s="507">
        <f>IFERROR(C42/(C42+C57),"")</f>
        <v/>
      </c>
      <c r="D166" s="507">
        <f>IFERROR(D42/(D42+D57),"")</f>
        <v/>
      </c>
      <c r="E166" s="507">
        <f>IFERROR(E42/(E42+E57),"")</f>
        <v/>
      </c>
      <c r="F166" s="507">
        <f>IFERROR(F42/(F42+F57),"")</f>
        <v/>
      </c>
      <c r="G166" s="507">
        <f>IFERROR(G42/(G42+G57),"")</f>
        <v/>
      </c>
      <c r="H166" s="507">
        <f>IFERROR(H42/(H42+H57),"")</f>
        <v/>
      </c>
      <c r="I166" s="507">
        <f>IFERROR(I42/(I42+I57),"")</f>
        <v/>
      </c>
      <c r="J166" s="507">
        <f>IFERROR(J42/(J42+J57),"")</f>
        <v/>
      </c>
      <c r="K166" s="507">
        <f>IFERROR(K42/(K42+K57),"")</f>
        <v/>
      </c>
      <c r="L166" s="507">
        <f>IFERROR(L42/(L42+L57),"")</f>
        <v/>
      </c>
      <c r="M166" s="507">
        <f>IFERROR(M42/(M42+M57),"")</f>
        <v/>
      </c>
      <c r="N166" s="507">
        <f>IFERROR(N42/(N42+N57),"")</f>
        <v/>
      </c>
    </row>
    <row r="167">
      <c r="A167" t="inlineStr">
        <is>
          <t>FY2028</t>
        </is>
      </c>
      <c r="B167" s="507">
        <f>IFERROR(B43/(B43+B58),"")</f>
        <v/>
      </c>
      <c r="C167" s="507">
        <f>IFERROR(C43/(C43+C58),"")</f>
        <v/>
      </c>
      <c r="D167" s="507">
        <f>IFERROR(D43/(D43+D58),"")</f>
        <v/>
      </c>
      <c r="E167" s="507">
        <f>IFERROR(E43/(E43+E58),"")</f>
        <v/>
      </c>
      <c r="F167" s="507">
        <f>IFERROR(F43/(F43+F58),"")</f>
        <v/>
      </c>
      <c r="G167" s="507">
        <f>IFERROR(G43/(G43+G58),"")</f>
        <v/>
      </c>
      <c r="H167" s="507">
        <f>IFERROR(H43/(H43+H58),"")</f>
        <v/>
      </c>
      <c r="I167" s="507">
        <f>IFERROR(I43/(I43+I58),"")</f>
        <v/>
      </c>
      <c r="J167" s="507">
        <f>IFERROR(J43/(J43+J58),"")</f>
        <v/>
      </c>
      <c r="K167" s="507">
        <f>IFERROR(K43/(K43+K58),"")</f>
        <v/>
      </c>
      <c r="L167" s="507">
        <f>IFERROR(L43/(L43+L58),"")</f>
        <v/>
      </c>
      <c r="M167" s="507">
        <f>IFERROR(M43/(M43+M58),"")</f>
        <v/>
      </c>
      <c r="N167" s="507">
        <f>IFERROR(N43/(N43+N58),"")</f>
        <v/>
      </c>
    </row>
    <row r="168">
      <c r="A168" t="inlineStr">
        <is>
          <t>FY2029</t>
        </is>
      </c>
      <c r="B168" s="507">
        <f>IFERROR(B44/(B44+B59),"")</f>
        <v/>
      </c>
      <c r="C168" s="507">
        <f>IFERROR(C44/(C44+C59),"")</f>
        <v/>
      </c>
      <c r="D168" s="507">
        <f>IFERROR(D44/(D44+D59),"")</f>
        <v/>
      </c>
      <c r="E168" s="507">
        <f>IFERROR(E44/(E44+E59),"")</f>
        <v/>
      </c>
      <c r="F168" s="507">
        <f>IFERROR(F44/(F44+F59),"")</f>
        <v/>
      </c>
      <c r="G168" s="507">
        <f>IFERROR(G44/(G44+G59),"")</f>
        <v/>
      </c>
      <c r="H168" s="507">
        <f>IFERROR(H44/(H44+H59),"")</f>
        <v/>
      </c>
      <c r="I168" s="507">
        <f>IFERROR(I44/(I44+I59),"")</f>
        <v/>
      </c>
      <c r="J168" s="507">
        <f>IFERROR(J44/(J44+J59),"")</f>
        <v/>
      </c>
      <c r="K168" s="507">
        <f>IFERROR(K44/(K44+K59),"")</f>
        <v/>
      </c>
      <c r="L168" s="507">
        <f>IFERROR(L44/(L44+L59),"")</f>
        <v/>
      </c>
      <c r="M168" s="507">
        <f>IFERROR(M44/(M44+M59),"")</f>
        <v/>
      </c>
      <c r="N168" s="507">
        <f>IFERROR(N44/(N44+N59),"")</f>
        <v/>
      </c>
    </row>
    <row r="169">
      <c r="A169" t="inlineStr">
        <is>
          <t>FY2030</t>
        </is>
      </c>
      <c r="B169" s="507">
        <f>IFERROR(B45/(B45+B60),"")</f>
        <v/>
      </c>
      <c r="C169" s="507">
        <f>IFERROR(C45/(C45+C60),"")</f>
        <v/>
      </c>
      <c r="D169" s="507">
        <f>IFERROR(D45/(D45+D60),"")</f>
        <v/>
      </c>
      <c r="E169" s="507">
        <f>IFERROR(E45/(E45+E60),"")</f>
        <v/>
      </c>
      <c r="F169" s="507">
        <f>IFERROR(F45/(F45+F60),"")</f>
        <v/>
      </c>
      <c r="G169" s="507">
        <f>IFERROR(G45/(G45+G60),"")</f>
        <v/>
      </c>
      <c r="H169" s="507">
        <f>IFERROR(H45/(H45+H60),"")</f>
        <v/>
      </c>
      <c r="I169" s="507">
        <f>IFERROR(I45/(I45+I60),"")</f>
        <v/>
      </c>
      <c r="J169" s="507">
        <f>IFERROR(J45/(J45+J60),"")</f>
        <v/>
      </c>
      <c r="K169" s="507">
        <f>IFERROR(K45/(K45+K60),"")</f>
        <v/>
      </c>
      <c r="L169" s="507">
        <f>IFERROR(L45/(L45+L60),"")</f>
        <v/>
      </c>
      <c r="M169" s="507">
        <f>IFERROR(M45/(M45+M60),"")</f>
        <v/>
      </c>
      <c r="N169" s="507">
        <f>IFERROR(N45/(N45+N60),"")</f>
        <v/>
      </c>
    </row>
    <row r="170">
      <c r="A170" s="527" t="inlineStr">
        <is>
          <t>Olmesartan 3제 성분 MS (HP)</t>
        </is>
      </c>
      <c r="B170" s="528" t="inlineStr">
        <is>
          <t>4월</t>
        </is>
      </c>
      <c r="C170" s="528" t="inlineStr">
        <is>
          <t>5월</t>
        </is>
      </c>
      <c r="D170" s="528" t="inlineStr">
        <is>
          <t>6월</t>
        </is>
      </c>
      <c r="E170" s="528" t="inlineStr">
        <is>
          <t>7월</t>
        </is>
      </c>
      <c r="F170" s="528" t="inlineStr">
        <is>
          <t>8월</t>
        </is>
      </c>
      <c r="G170" s="528" t="inlineStr">
        <is>
          <t>9월</t>
        </is>
      </c>
      <c r="H170" s="528" t="inlineStr">
        <is>
          <t>10월</t>
        </is>
      </c>
      <c r="I170" s="528" t="inlineStr">
        <is>
          <t>11월</t>
        </is>
      </c>
      <c r="J170" s="528" t="inlineStr">
        <is>
          <t>12월</t>
        </is>
      </c>
      <c r="K170" s="528" t="inlineStr">
        <is>
          <t>1월</t>
        </is>
      </c>
      <c r="L170" s="528" t="inlineStr">
        <is>
          <t>2월</t>
        </is>
      </c>
      <c r="M170" s="528" t="inlineStr">
        <is>
          <t>3월</t>
        </is>
      </c>
      <c r="N170" s="527" t="inlineStr">
        <is>
          <t>FY 합계 기준</t>
        </is>
      </c>
    </row>
    <row r="171">
      <c r="A171" t="inlineStr">
        <is>
          <t>FY2018</t>
        </is>
      </c>
      <c r="B171" s="507">
        <f>IFERROR(B64/B33,"")</f>
        <v/>
      </c>
      <c r="C171" s="507">
        <f>IFERROR(C64/C33,"")</f>
        <v/>
      </c>
      <c r="D171" s="507">
        <f>IFERROR(D64/D33,"")</f>
        <v/>
      </c>
      <c r="E171" s="507">
        <f>IFERROR(E64/E33,"")</f>
        <v/>
      </c>
      <c r="F171" s="507">
        <f>IFERROR(F64/F33,"")</f>
        <v/>
      </c>
      <c r="G171" s="507">
        <f>IFERROR(G64/G33,"")</f>
        <v/>
      </c>
      <c r="H171" s="507">
        <f>IFERROR(H64/H33,"")</f>
        <v/>
      </c>
      <c r="I171" s="507">
        <f>IFERROR(I64/I33,"")</f>
        <v/>
      </c>
      <c r="J171" s="507">
        <f>IFERROR(J64/J33,"")</f>
        <v/>
      </c>
      <c r="K171" s="507">
        <f>IFERROR(K64/K33,"")</f>
        <v/>
      </c>
      <c r="L171" s="507">
        <f>IFERROR(L64/L33,"")</f>
        <v/>
      </c>
      <c r="M171" s="507">
        <f>IFERROR(M64/M33,"")</f>
        <v/>
      </c>
      <c r="N171" s="507">
        <f>IFERROR(N64/N33,"")</f>
        <v/>
      </c>
    </row>
    <row r="172">
      <c r="A172" t="inlineStr">
        <is>
          <t>FY2019</t>
        </is>
      </c>
      <c r="B172" s="507">
        <f>IFERROR(B65/B34,"")</f>
        <v/>
      </c>
      <c r="C172" s="507">
        <f>IFERROR(C65/C34,"")</f>
        <v/>
      </c>
      <c r="D172" s="507">
        <f>IFERROR(D65/D34,"")</f>
        <v/>
      </c>
      <c r="E172" s="507">
        <f>IFERROR(E65/E34,"")</f>
        <v/>
      </c>
      <c r="F172" s="507">
        <f>IFERROR(F65/F34,"")</f>
        <v/>
      </c>
      <c r="G172" s="507">
        <f>IFERROR(G65/G34,"")</f>
        <v/>
      </c>
      <c r="H172" s="507">
        <f>IFERROR(H65/H34,"")</f>
        <v/>
      </c>
      <c r="I172" s="507">
        <f>IFERROR(I65/I34,"")</f>
        <v/>
      </c>
      <c r="J172" s="507">
        <f>IFERROR(J65/J34,"")</f>
        <v/>
      </c>
      <c r="K172" s="507">
        <f>IFERROR(K65/K34,"")</f>
        <v/>
      </c>
      <c r="L172" s="507">
        <f>IFERROR(L65/L34,"")</f>
        <v/>
      </c>
      <c r="M172" s="507">
        <f>IFERROR(M65/M34,"")</f>
        <v/>
      </c>
      <c r="N172" s="507">
        <f>IFERROR(N65/N34,"")</f>
        <v/>
      </c>
    </row>
    <row r="173">
      <c r="A173" t="inlineStr">
        <is>
          <t>FY2020</t>
        </is>
      </c>
      <c r="B173" s="507">
        <f>IFERROR(B66/B35,"")</f>
        <v/>
      </c>
      <c r="C173" s="507">
        <f>IFERROR(C66/C35,"")</f>
        <v/>
      </c>
      <c r="D173" s="507">
        <f>IFERROR(D66/D35,"")</f>
        <v/>
      </c>
      <c r="E173" s="507">
        <f>IFERROR(E66/E35,"")</f>
        <v/>
      </c>
      <c r="F173" s="507">
        <f>IFERROR(F66/F35,"")</f>
        <v/>
      </c>
      <c r="G173" s="507">
        <f>IFERROR(G66/G35,"")</f>
        <v/>
      </c>
      <c r="H173" s="507">
        <f>IFERROR(H66/H35,"")</f>
        <v/>
      </c>
      <c r="I173" s="507">
        <f>IFERROR(I66/I35,"")</f>
        <v/>
      </c>
      <c r="J173" s="507">
        <f>IFERROR(J66/J35,"")</f>
        <v/>
      </c>
      <c r="K173" s="507">
        <f>IFERROR(K66/K35,"")</f>
        <v/>
      </c>
      <c r="L173" s="507">
        <f>IFERROR(L66/L35,"")</f>
        <v/>
      </c>
      <c r="M173" s="507">
        <f>IFERROR(M66/M35,"")</f>
        <v/>
      </c>
      <c r="N173" s="507">
        <f>IFERROR(N66/N35,"")</f>
        <v/>
      </c>
    </row>
    <row r="174">
      <c r="A174" t="inlineStr">
        <is>
          <t>FY2021</t>
        </is>
      </c>
      <c r="B174" s="507">
        <f>IFERROR(B67/B36,"")</f>
        <v/>
      </c>
      <c r="C174" s="507">
        <f>IFERROR(C67/C36,"")</f>
        <v/>
      </c>
      <c r="D174" s="507">
        <f>IFERROR(D67/D36,"")</f>
        <v/>
      </c>
      <c r="E174" s="507">
        <f>IFERROR(E67/E36,"")</f>
        <v/>
      </c>
      <c r="F174" s="507">
        <f>IFERROR(F67/F36,"")</f>
        <v/>
      </c>
      <c r="G174" s="507">
        <f>IFERROR(G67/G36,"")</f>
        <v/>
      </c>
      <c r="H174" s="507">
        <f>IFERROR(H67/H36,"")</f>
        <v/>
      </c>
      <c r="I174" s="507">
        <f>IFERROR(I67/I36,"")</f>
        <v/>
      </c>
      <c r="J174" s="507">
        <f>IFERROR(J67/J36,"")</f>
        <v/>
      </c>
      <c r="K174" s="507">
        <f>IFERROR(K67/K36,"")</f>
        <v/>
      </c>
      <c r="L174" s="507">
        <f>IFERROR(L67/L36,"")</f>
        <v/>
      </c>
      <c r="M174" s="507">
        <f>IFERROR(M67/M36,"")</f>
        <v/>
      </c>
      <c r="N174" s="507">
        <f>IFERROR(N67/N36,"")</f>
        <v/>
      </c>
    </row>
    <row r="175">
      <c r="A175" t="inlineStr">
        <is>
          <t>FY2022</t>
        </is>
      </c>
      <c r="B175" s="507">
        <f>IFERROR(B68/B37,"")</f>
        <v/>
      </c>
      <c r="C175" s="507">
        <f>IFERROR(C68/C37,"")</f>
        <v/>
      </c>
      <c r="D175" s="507">
        <f>IFERROR(D68/D37,"")</f>
        <v/>
      </c>
      <c r="E175" s="507">
        <f>IFERROR(E68/E37,"")</f>
        <v/>
      </c>
      <c r="F175" s="507">
        <f>IFERROR(F68/F37,"")</f>
        <v/>
      </c>
      <c r="G175" s="507">
        <f>IFERROR(G68/G37,"")</f>
        <v/>
      </c>
      <c r="H175" s="507">
        <f>IFERROR(H68/H37,"")</f>
        <v/>
      </c>
      <c r="I175" s="507">
        <f>IFERROR(I68/I37,"")</f>
        <v/>
      </c>
      <c r="J175" s="507">
        <f>IFERROR(J68/J37,"")</f>
        <v/>
      </c>
      <c r="K175" s="507">
        <f>IFERROR(K68/K37,"")</f>
        <v/>
      </c>
      <c r="L175" s="507">
        <f>IFERROR(L68/L37,"")</f>
        <v/>
      </c>
      <c r="M175" s="507">
        <f>IFERROR(M68/M37,"")</f>
        <v/>
      </c>
      <c r="N175" s="507">
        <f>IFERROR(N68/N37,"")</f>
        <v/>
      </c>
    </row>
    <row r="176">
      <c r="A176" t="inlineStr">
        <is>
          <t>FY2023</t>
        </is>
      </c>
      <c r="B176" s="507">
        <f>IFERROR(B69/B38,"")</f>
        <v/>
      </c>
      <c r="C176" s="507">
        <f>IFERROR(C69/C38,"")</f>
        <v/>
      </c>
      <c r="D176" s="507">
        <f>IFERROR(D69/D38,"")</f>
        <v/>
      </c>
      <c r="E176" s="507">
        <f>IFERROR(E69/E38,"")</f>
        <v/>
      </c>
      <c r="F176" s="507">
        <f>IFERROR(F69/F38,"")</f>
        <v/>
      </c>
      <c r="G176" s="507">
        <f>IFERROR(G69/G38,"")</f>
        <v/>
      </c>
      <c r="H176" s="507">
        <f>IFERROR(H69/H38,"")</f>
        <v/>
      </c>
      <c r="I176" s="507">
        <f>IFERROR(I69/I38,"")</f>
        <v/>
      </c>
      <c r="J176" s="507">
        <f>IFERROR(J69/J38,"")</f>
        <v/>
      </c>
      <c r="K176" s="507">
        <f>IFERROR(K69/K38,"")</f>
        <v/>
      </c>
      <c r="L176" s="507">
        <f>IFERROR(L69/L38,"")</f>
        <v/>
      </c>
      <c r="M176" s="507">
        <f>IFERROR(M69/M38,"")</f>
        <v/>
      </c>
      <c r="N176" s="507">
        <f>IFERROR(N69/N38,"")</f>
        <v/>
      </c>
    </row>
    <row r="177">
      <c r="A177" t="inlineStr">
        <is>
          <t>FY2024</t>
        </is>
      </c>
      <c r="B177" s="507">
        <f>IFERROR(B70/B39,"")</f>
        <v/>
      </c>
      <c r="C177" s="507">
        <f>IFERROR(C70/C39,"")</f>
        <v/>
      </c>
      <c r="D177" s="507">
        <f>IFERROR(D70/D39,"")</f>
        <v/>
      </c>
      <c r="E177" s="507">
        <f>IFERROR(E70/E39,"")</f>
        <v/>
      </c>
      <c r="F177" s="507">
        <f>IFERROR(F70/F39,"")</f>
        <v/>
      </c>
      <c r="G177" s="507">
        <f>IFERROR(G70/G39,"")</f>
        <v/>
      </c>
      <c r="H177" s="507">
        <f>IFERROR(H70/H39,"")</f>
        <v/>
      </c>
      <c r="I177" s="507">
        <f>IFERROR(I70/I39,"")</f>
        <v/>
      </c>
      <c r="J177" s="507">
        <f>IFERROR(J70/J39,"")</f>
        <v/>
      </c>
      <c r="K177" s="507">
        <f>IFERROR(K70/K39,"")</f>
        <v/>
      </c>
      <c r="L177" s="507">
        <f>IFERROR(L70/L39,"")</f>
        <v/>
      </c>
      <c r="M177" s="507">
        <f>IFERROR(M70/M39,"")</f>
        <v/>
      </c>
      <c r="N177" s="507">
        <f>IFERROR(N70/N39,"")</f>
        <v/>
      </c>
    </row>
    <row r="178">
      <c r="A178" t="inlineStr">
        <is>
          <t>FY2025</t>
        </is>
      </c>
      <c r="B178" s="507">
        <f>IFERROR(B71/B40,"")</f>
        <v/>
      </c>
      <c r="C178" s="507">
        <f>IFERROR(C71/C40,"")</f>
        <v/>
      </c>
      <c r="D178" s="507">
        <f>IFERROR(D71/D40,"")</f>
        <v/>
      </c>
      <c r="E178" s="507">
        <f>IFERROR(E71/E40,"")</f>
        <v/>
      </c>
      <c r="F178" s="507">
        <f>IFERROR(F71/F40,"")</f>
        <v/>
      </c>
      <c r="G178" s="507">
        <f>IFERROR(G71/G40,"")</f>
        <v/>
      </c>
      <c r="H178" s="507">
        <f>IFERROR(H71/H40,"")</f>
        <v/>
      </c>
      <c r="I178" s="507">
        <f>IFERROR(I71/I40,"")</f>
        <v/>
      </c>
      <c r="J178" s="507">
        <f>IFERROR(J71/J40,"")</f>
        <v/>
      </c>
      <c r="K178" s="507">
        <f>IFERROR(K71/K40,"")</f>
        <v/>
      </c>
      <c r="L178" s="507">
        <f>IFERROR(L71/L40,"")</f>
        <v/>
      </c>
      <c r="M178" s="507">
        <f>IFERROR(M71/M40,"")</f>
        <v/>
      </c>
      <c r="N178" s="507">
        <f>IFERROR(N71/N40,"")</f>
        <v/>
      </c>
    </row>
    <row r="179">
      <c r="A179" t="inlineStr">
        <is>
          <t>FY2026</t>
        </is>
      </c>
      <c r="B179" s="507">
        <f>IFERROR(B72/B41,"")</f>
        <v/>
      </c>
      <c r="C179" s="507">
        <f>IFERROR(C72/C41,"")</f>
        <v/>
      </c>
      <c r="D179" s="507">
        <f>IFERROR(D72/D41,"")</f>
        <v/>
      </c>
      <c r="E179" s="507">
        <f>IFERROR(E72/E41,"")</f>
        <v/>
      </c>
      <c r="F179" s="507">
        <f>IFERROR(F72/F41,"")</f>
        <v/>
      </c>
      <c r="G179" s="507">
        <f>IFERROR(G72/G41,"")</f>
        <v/>
      </c>
      <c r="H179" s="507">
        <f>IFERROR(H72/H41,"")</f>
        <v/>
      </c>
      <c r="I179" s="507">
        <f>IFERROR(I72/I41,"")</f>
        <v/>
      </c>
      <c r="J179" s="507">
        <f>IFERROR(J72/J41,"")</f>
        <v/>
      </c>
      <c r="K179" s="507">
        <f>IFERROR(K72/K41,"")</f>
        <v/>
      </c>
      <c r="L179" s="507">
        <f>IFERROR(L72/L41,"")</f>
        <v/>
      </c>
      <c r="M179" s="507">
        <f>IFERROR(M72/M41,"")</f>
        <v/>
      </c>
      <c r="N179" s="507">
        <f>IFERROR(N72/N41,"")</f>
        <v/>
      </c>
    </row>
    <row r="180">
      <c r="A180" t="inlineStr">
        <is>
          <t>FY2027</t>
        </is>
      </c>
      <c r="B180" s="507">
        <f>IFERROR(B73/B42,"")</f>
        <v/>
      </c>
      <c r="C180" s="507">
        <f>IFERROR(C73/C42,"")</f>
        <v/>
      </c>
      <c r="D180" s="507">
        <f>IFERROR(D73/D42,"")</f>
        <v/>
      </c>
      <c r="E180" s="507">
        <f>IFERROR(E73/E42,"")</f>
        <v/>
      </c>
      <c r="F180" s="507">
        <f>IFERROR(F73/F42,"")</f>
        <v/>
      </c>
      <c r="G180" s="507">
        <f>IFERROR(G73/G42,"")</f>
        <v/>
      </c>
      <c r="H180" s="507">
        <f>IFERROR(H73/H42,"")</f>
        <v/>
      </c>
      <c r="I180" s="507">
        <f>IFERROR(I73/I42,"")</f>
        <v/>
      </c>
      <c r="J180" s="507">
        <f>IFERROR(J73/J42,"")</f>
        <v/>
      </c>
      <c r="K180" s="507">
        <f>IFERROR(K73/K42,"")</f>
        <v/>
      </c>
      <c r="L180" s="507">
        <f>IFERROR(L73/L42,"")</f>
        <v/>
      </c>
      <c r="M180" s="507">
        <f>IFERROR(M73/M42,"")</f>
        <v/>
      </c>
      <c r="N180" s="507">
        <f>IFERROR(N73/N42,"")</f>
        <v/>
      </c>
    </row>
    <row r="181">
      <c r="A181" t="inlineStr">
        <is>
          <t>FY2028</t>
        </is>
      </c>
      <c r="B181" s="507">
        <f>IFERROR(B74/B43,"")</f>
        <v/>
      </c>
      <c r="C181" s="507">
        <f>IFERROR(C74/C43,"")</f>
        <v/>
      </c>
      <c r="D181" s="507">
        <f>IFERROR(D74/D43,"")</f>
        <v/>
      </c>
      <c r="E181" s="507">
        <f>IFERROR(E74/E43,"")</f>
        <v/>
      </c>
      <c r="F181" s="507">
        <f>IFERROR(F74/F43,"")</f>
        <v/>
      </c>
      <c r="G181" s="507">
        <f>IFERROR(G74/G43,"")</f>
        <v/>
      </c>
      <c r="H181" s="507">
        <f>IFERROR(H74/H43,"")</f>
        <v/>
      </c>
      <c r="I181" s="507">
        <f>IFERROR(I74/I43,"")</f>
        <v/>
      </c>
      <c r="J181" s="507">
        <f>IFERROR(J74/J43,"")</f>
        <v/>
      </c>
      <c r="K181" s="507">
        <f>IFERROR(K74/K43,"")</f>
        <v/>
      </c>
      <c r="L181" s="507">
        <f>IFERROR(L74/L43,"")</f>
        <v/>
      </c>
      <c r="M181" s="507">
        <f>IFERROR(M74/M43,"")</f>
        <v/>
      </c>
      <c r="N181" s="507">
        <f>IFERROR(N74/N43,"")</f>
        <v/>
      </c>
    </row>
    <row r="182">
      <c r="A182" t="inlineStr">
        <is>
          <t>FY2029</t>
        </is>
      </c>
      <c r="B182" s="507">
        <f>IFERROR(B75/B44,"")</f>
        <v/>
      </c>
      <c r="C182" s="507">
        <f>IFERROR(C75/C44,"")</f>
        <v/>
      </c>
      <c r="D182" s="507">
        <f>IFERROR(D75/D44,"")</f>
        <v/>
      </c>
      <c r="E182" s="507">
        <f>IFERROR(E75/E44,"")</f>
        <v/>
      </c>
      <c r="F182" s="507">
        <f>IFERROR(F75/F44,"")</f>
        <v/>
      </c>
      <c r="G182" s="507">
        <f>IFERROR(G75/G44,"")</f>
        <v/>
      </c>
      <c r="H182" s="507">
        <f>IFERROR(H75/H44,"")</f>
        <v/>
      </c>
      <c r="I182" s="507">
        <f>IFERROR(I75/I44,"")</f>
        <v/>
      </c>
      <c r="J182" s="507">
        <f>IFERROR(J75/J44,"")</f>
        <v/>
      </c>
      <c r="K182" s="507">
        <f>IFERROR(K75/K44,"")</f>
        <v/>
      </c>
      <c r="L182" s="507">
        <f>IFERROR(L75/L44,"")</f>
        <v/>
      </c>
      <c r="M182" s="507">
        <f>IFERROR(M75/M44,"")</f>
        <v/>
      </c>
      <c r="N182" s="507">
        <f>IFERROR(N75/N44,"")</f>
        <v/>
      </c>
    </row>
    <row r="183">
      <c r="A183" t="inlineStr">
        <is>
          <t>FY2030</t>
        </is>
      </c>
      <c r="B183" s="507">
        <f>IFERROR(B76/B45,"")</f>
        <v/>
      </c>
      <c r="C183" s="507">
        <f>IFERROR(C76/C45,"")</f>
        <v/>
      </c>
      <c r="D183" s="507">
        <f>IFERROR(D76/D45,"")</f>
        <v/>
      </c>
      <c r="E183" s="507">
        <f>IFERROR(E76/E45,"")</f>
        <v/>
      </c>
      <c r="F183" s="507">
        <f>IFERROR(F76/F45,"")</f>
        <v/>
      </c>
      <c r="G183" s="507">
        <f>IFERROR(G76/G45,"")</f>
        <v/>
      </c>
      <c r="H183" s="507">
        <f>IFERROR(H76/H45,"")</f>
        <v/>
      </c>
      <c r="I183" s="507">
        <f>IFERROR(I76/I45,"")</f>
        <v/>
      </c>
      <c r="J183" s="507">
        <f>IFERROR(J76/J45,"")</f>
        <v/>
      </c>
      <c r="K183" s="507">
        <f>IFERROR(K76/K45,"")</f>
        <v/>
      </c>
      <c r="L183" s="507">
        <f>IFERROR(L76/L45,"")</f>
        <v/>
      </c>
      <c r="M183" s="507">
        <f>IFERROR(M76/M45,"")</f>
        <v/>
      </c>
      <c r="N183" s="507">
        <f>IFERROR(N76/N45,"")</f>
        <v/>
      </c>
    </row>
    <row r="184">
      <c r="A184" s="527" t="inlineStr">
        <is>
          <t>Olmesartan 3제 성분 MS (GP)</t>
        </is>
      </c>
      <c r="B184" s="528" t="inlineStr">
        <is>
          <t>4월</t>
        </is>
      </c>
      <c r="C184" s="528" t="inlineStr">
        <is>
          <t>5월</t>
        </is>
      </c>
      <c r="D184" s="528" t="inlineStr">
        <is>
          <t>6월</t>
        </is>
      </c>
      <c r="E184" s="528" t="inlineStr">
        <is>
          <t>7월</t>
        </is>
      </c>
      <c r="F184" s="528" t="inlineStr">
        <is>
          <t>8월</t>
        </is>
      </c>
      <c r="G184" s="528" t="inlineStr">
        <is>
          <t>9월</t>
        </is>
      </c>
      <c r="H184" s="528" t="inlineStr">
        <is>
          <t>10월</t>
        </is>
      </c>
      <c r="I184" s="528" t="inlineStr">
        <is>
          <t>11월</t>
        </is>
      </c>
      <c r="J184" s="528" t="inlineStr">
        <is>
          <t>12월</t>
        </is>
      </c>
      <c r="K184" s="528" t="inlineStr">
        <is>
          <t>1월</t>
        </is>
      </c>
      <c r="L184" s="528" t="inlineStr">
        <is>
          <t>2월</t>
        </is>
      </c>
      <c r="M184" s="528" t="inlineStr">
        <is>
          <t>3월</t>
        </is>
      </c>
      <c r="N184" s="527" t="inlineStr">
        <is>
          <t>FY 합계 기준</t>
        </is>
      </c>
    </row>
    <row r="185">
      <c r="A185" t="inlineStr">
        <is>
          <t>FY2018</t>
        </is>
      </c>
      <c r="B185" s="507">
        <f>IFERROR(B79/B48,"")</f>
        <v/>
      </c>
      <c r="C185" s="507">
        <f>IFERROR(C79/C48,"")</f>
        <v/>
      </c>
      <c r="D185" s="507">
        <f>IFERROR(D79/D48,"")</f>
        <v/>
      </c>
      <c r="E185" s="507">
        <f>IFERROR(E79/E48,"")</f>
        <v/>
      </c>
      <c r="F185" s="507">
        <f>IFERROR(F79/F48,"")</f>
        <v/>
      </c>
      <c r="G185" s="507">
        <f>IFERROR(G79/G48,"")</f>
        <v/>
      </c>
      <c r="H185" s="507">
        <f>IFERROR(H79/H48,"")</f>
        <v/>
      </c>
      <c r="I185" s="507">
        <f>IFERROR(I79/I48,"")</f>
        <v/>
      </c>
      <c r="J185" s="507">
        <f>IFERROR(J79/J48,"")</f>
        <v/>
      </c>
      <c r="K185" s="507">
        <f>IFERROR(K79/K48,"")</f>
        <v/>
      </c>
      <c r="L185" s="507">
        <f>IFERROR(L79/L48,"")</f>
        <v/>
      </c>
      <c r="M185" s="507">
        <f>IFERROR(M79/M48,"")</f>
        <v/>
      </c>
      <c r="N185" s="507">
        <f>IFERROR(N79/N48,"")</f>
        <v/>
      </c>
    </row>
    <row r="186">
      <c r="A186" t="inlineStr">
        <is>
          <t>FY2019</t>
        </is>
      </c>
      <c r="B186" s="507">
        <f>IFERROR(B80/B49,"")</f>
        <v/>
      </c>
      <c r="C186" s="507">
        <f>IFERROR(C80/C49,"")</f>
        <v/>
      </c>
      <c r="D186" s="507">
        <f>IFERROR(D80/D49,"")</f>
        <v/>
      </c>
      <c r="E186" s="507">
        <f>IFERROR(E80/E49,"")</f>
        <v/>
      </c>
      <c r="F186" s="507">
        <f>IFERROR(F80/F49,"")</f>
        <v/>
      </c>
      <c r="G186" s="507">
        <f>IFERROR(G80/G49,"")</f>
        <v/>
      </c>
      <c r="H186" s="507">
        <f>IFERROR(H80/H49,"")</f>
        <v/>
      </c>
      <c r="I186" s="507">
        <f>IFERROR(I80/I49,"")</f>
        <v/>
      </c>
      <c r="J186" s="507">
        <f>IFERROR(J80/J49,"")</f>
        <v/>
      </c>
      <c r="K186" s="507">
        <f>IFERROR(K80/K49,"")</f>
        <v/>
      </c>
      <c r="L186" s="507">
        <f>IFERROR(L80/L49,"")</f>
        <v/>
      </c>
      <c r="M186" s="507">
        <f>IFERROR(M80/M49,"")</f>
        <v/>
      </c>
      <c r="N186" s="507">
        <f>IFERROR(N80/N49,"")</f>
        <v/>
      </c>
    </row>
    <row r="187">
      <c r="A187" t="inlineStr">
        <is>
          <t>FY2020</t>
        </is>
      </c>
      <c r="B187" s="507">
        <f>IFERROR(B81/B50,"")</f>
        <v/>
      </c>
      <c r="C187" s="507">
        <f>IFERROR(C81/C50,"")</f>
        <v/>
      </c>
      <c r="D187" s="507">
        <f>IFERROR(D81/D50,"")</f>
        <v/>
      </c>
      <c r="E187" s="507">
        <f>IFERROR(E81/E50,"")</f>
        <v/>
      </c>
      <c r="F187" s="507">
        <f>IFERROR(F81/F50,"")</f>
        <v/>
      </c>
      <c r="G187" s="507">
        <f>IFERROR(G81/G50,"")</f>
        <v/>
      </c>
      <c r="H187" s="507">
        <f>IFERROR(H81/H50,"")</f>
        <v/>
      </c>
      <c r="I187" s="507">
        <f>IFERROR(I81/I50,"")</f>
        <v/>
      </c>
      <c r="J187" s="507">
        <f>IFERROR(J81/J50,"")</f>
        <v/>
      </c>
      <c r="K187" s="507">
        <f>IFERROR(K81/K50,"")</f>
        <v/>
      </c>
      <c r="L187" s="507">
        <f>IFERROR(L81/L50,"")</f>
        <v/>
      </c>
      <c r="M187" s="507">
        <f>IFERROR(M81/M50,"")</f>
        <v/>
      </c>
      <c r="N187" s="507">
        <f>IFERROR(N81/N50,"")</f>
        <v/>
      </c>
    </row>
    <row r="188">
      <c r="A188" t="inlineStr">
        <is>
          <t>FY2021</t>
        </is>
      </c>
      <c r="B188" s="507">
        <f>IFERROR(B82/B51,"")</f>
        <v/>
      </c>
      <c r="C188" s="507">
        <f>IFERROR(C82/C51,"")</f>
        <v/>
      </c>
      <c r="D188" s="507">
        <f>IFERROR(D82/D51,"")</f>
        <v/>
      </c>
      <c r="E188" s="507">
        <f>IFERROR(E82/E51,"")</f>
        <v/>
      </c>
      <c r="F188" s="507">
        <f>IFERROR(F82/F51,"")</f>
        <v/>
      </c>
      <c r="G188" s="507">
        <f>IFERROR(G82/G51,"")</f>
        <v/>
      </c>
      <c r="H188" s="507">
        <f>IFERROR(H82/H51,"")</f>
        <v/>
      </c>
      <c r="I188" s="507">
        <f>IFERROR(I82/I51,"")</f>
        <v/>
      </c>
      <c r="J188" s="507">
        <f>IFERROR(J82/J51,"")</f>
        <v/>
      </c>
      <c r="K188" s="507">
        <f>IFERROR(K82/K51,"")</f>
        <v/>
      </c>
      <c r="L188" s="507">
        <f>IFERROR(L82/L51,"")</f>
        <v/>
      </c>
      <c r="M188" s="507">
        <f>IFERROR(M82/M51,"")</f>
        <v/>
      </c>
      <c r="N188" s="507">
        <f>IFERROR(N82/N51,"")</f>
        <v/>
      </c>
    </row>
    <row r="189">
      <c r="A189" t="inlineStr">
        <is>
          <t>FY2022</t>
        </is>
      </c>
      <c r="B189" s="507">
        <f>IFERROR(B83/B52,"")</f>
        <v/>
      </c>
      <c r="C189" s="507">
        <f>IFERROR(C83/C52,"")</f>
        <v/>
      </c>
      <c r="D189" s="507">
        <f>IFERROR(D83/D52,"")</f>
        <v/>
      </c>
      <c r="E189" s="507">
        <f>IFERROR(E83/E52,"")</f>
        <v/>
      </c>
      <c r="F189" s="507">
        <f>IFERROR(F83/F52,"")</f>
        <v/>
      </c>
      <c r="G189" s="507">
        <f>IFERROR(G83/G52,"")</f>
        <v/>
      </c>
      <c r="H189" s="507">
        <f>IFERROR(H83/H52,"")</f>
        <v/>
      </c>
      <c r="I189" s="507">
        <f>IFERROR(I83/I52,"")</f>
        <v/>
      </c>
      <c r="J189" s="507">
        <f>IFERROR(J83/J52,"")</f>
        <v/>
      </c>
      <c r="K189" s="507">
        <f>IFERROR(K83/K52,"")</f>
        <v/>
      </c>
      <c r="L189" s="507">
        <f>IFERROR(L83/L52,"")</f>
        <v/>
      </c>
      <c r="M189" s="507">
        <f>IFERROR(M83/M52,"")</f>
        <v/>
      </c>
      <c r="N189" s="507">
        <f>IFERROR(N83/N52,"")</f>
        <v/>
      </c>
    </row>
    <row r="190">
      <c r="A190" t="inlineStr">
        <is>
          <t>FY2023</t>
        </is>
      </c>
      <c r="B190" s="507">
        <f>IFERROR(B84/B53,"")</f>
        <v/>
      </c>
      <c r="C190" s="507">
        <f>IFERROR(C84/C53,"")</f>
        <v/>
      </c>
      <c r="D190" s="507">
        <f>IFERROR(D84/D53,"")</f>
        <v/>
      </c>
      <c r="E190" s="507">
        <f>IFERROR(E84/E53,"")</f>
        <v/>
      </c>
      <c r="F190" s="507">
        <f>IFERROR(F84/F53,"")</f>
        <v/>
      </c>
      <c r="G190" s="507">
        <f>IFERROR(G84/G53,"")</f>
        <v/>
      </c>
      <c r="H190" s="507">
        <f>IFERROR(H84/H53,"")</f>
        <v/>
      </c>
      <c r="I190" s="507">
        <f>IFERROR(I84/I53,"")</f>
        <v/>
      </c>
      <c r="J190" s="507">
        <f>IFERROR(J84/J53,"")</f>
        <v/>
      </c>
      <c r="K190" s="507">
        <f>IFERROR(K84/K53,"")</f>
        <v/>
      </c>
      <c r="L190" s="507">
        <f>IFERROR(L84/L53,"")</f>
        <v/>
      </c>
      <c r="M190" s="507">
        <f>IFERROR(M84/M53,"")</f>
        <v/>
      </c>
      <c r="N190" s="507">
        <f>IFERROR(N84/N53,"")</f>
        <v/>
      </c>
    </row>
    <row r="191">
      <c r="A191" t="inlineStr">
        <is>
          <t>FY2024</t>
        </is>
      </c>
      <c r="B191" s="507">
        <f>IFERROR(B85/B54,"")</f>
        <v/>
      </c>
      <c r="C191" s="507">
        <f>IFERROR(C85/C54,"")</f>
        <v/>
      </c>
      <c r="D191" s="507">
        <f>IFERROR(D85/D54,"")</f>
        <v/>
      </c>
      <c r="E191" s="507">
        <f>IFERROR(E85/E54,"")</f>
        <v/>
      </c>
      <c r="F191" s="507">
        <f>IFERROR(F85/F54,"")</f>
        <v/>
      </c>
      <c r="G191" s="507">
        <f>IFERROR(G85/G54,"")</f>
        <v/>
      </c>
      <c r="H191" s="507">
        <f>IFERROR(H85/H54,"")</f>
        <v/>
      </c>
      <c r="I191" s="507">
        <f>IFERROR(I85/I54,"")</f>
        <v/>
      </c>
      <c r="J191" s="507">
        <f>IFERROR(J85/J54,"")</f>
        <v/>
      </c>
      <c r="K191" s="507">
        <f>IFERROR(K85/K54,"")</f>
        <v/>
      </c>
      <c r="L191" s="507">
        <f>IFERROR(L85/L54,"")</f>
        <v/>
      </c>
      <c r="M191" s="507">
        <f>IFERROR(M85/M54,"")</f>
        <v/>
      </c>
      <c r="N191" s="507">
        <f>IFERROR(N85/N54,"")</f>
        <v/>
      </c>
    </row>
    <row r="192">
      <c r="A192" t="inlineStr">
        <is>
          <t>FY2025</t>
        </is>
      </c>
      <c r="B192" s="507">
        <f>IFERROR(B86/B55,"")</f>
        <v/>
      </c>
      <c r="C192" s="507">
        <f>IFERROR(C86/C55,"")</f>
        <v/>
      </c>
      <c r="D192" s="507">
        <f>IFERROR(D86/D55,"")</f>
        <v/>
      </c>
      <c r="E192" s="507">
        <f>IFERROR(E86/E55,"")</f>
        <v/>
      </c>
      <c r="F192" s="507">
        <f>IFERROR(F86/F55,"")</f>
        <v/>
      </c>
      <c r="G192" s="507">
        <f>IFERROR(G86/G55,"")</f>
        <v/>
      </c>
      <c r="H192" s="507">
        <f>IFERROR(H86/H55,"")</f>
        <v/>
      </c>
      <c r="I192" s="507">
        <f>IFERROR(I86/I55,"")</f>
        <v/>
      </c>
      <c r="J192" s="507">
        <f>IFERROR(J86/J55,"")</f>
        <v/>
      </c>
      <c r="K192" s="507">
        <f>IFERROR(K86/K55,"")</f>
        <v/>
      </c>
      <c r="L192" s="507">
        <f>IFERROR(L86/L55,"")</f>
        <v/>
      </c>
      <c r="M192" s="507">
        <f>IFERROR(M86/M55,"")</f>
        <v/>
      </c>
      <c r="N192" s="507">
        <f>IFERROR(N86/N55,"")</f>
        <v/>
      </c>
    </row>
    <row r="193">
      <c r="A193" t="inlineStr">
        <is>
          <t>FY2026</t>
        </is>
      </c>
      <c r="B193" s="507">
        <f>IFERROR(B87/B56,"")</f>
        <v/>
      </c>
      <c r="C193" s="507">
        <f>IFERROR(C87/C56,"")</f>
        <v/>
      </c>
      <c r="D193" s="507">
        <f>IFERROR(D87/D56,"")</f>
        <v/>
      </c>
      <c r="E193" s="507">
        <f>IFERROR(E87/E56,"")</f>
        <v/>
      </c>
      <c r="F193" s="507">
        <f>IFERROR(F87/F56,"")</f>
        <v/>
      </c>
      <c r="G193" s="507">
        <f>IFERROR(G87/G56,"")</f>
        <v/>
      </c>
      <c r="H193" s="507">
        <f>IFERROR(H87/H56,"")</f>
        <v/>
      </c>
      <c r="I193" s="507">
        <f>IFERROR(I87/I56,"")</f>
        <v/>
      </c>
      <c r="J193" s="507">
        <f>IFERROR(J87/J56,"")</f>
        <v/>
      </c>
      <c r="K193" s="507">
        <f>IFERROR(K87/K56,"")</f>
        <v/>
      </c>
      <c r="L193" s="507">
        <f>IFERROR(L87/L56,"")</f>
        <v/>
      </c>
      <c r="M193" s="507">
        <f>IFERROR(M87/M56,"")</f>
        <v/>
      </c>
      <c r="N193" s="507">
        <f>IFERROR(N87/N56,"")</f>
        <v/>
      </c>
    </row>
    <row r="194">
      <c r="A194" t="inlineStr">
        <is>
          <t>FY2027</t>
        </is>
      </c>
      <c r="B194" s="507">
        <f>IFERROR(B88/B57,"")</f>
        <v/>
      </c>
      <c r="C194" s="507">
        <f>IFERROR(C88/C57,"")</f>
        <v/>
      </c>
      <c r="D194" s="507">
        <f>IFERROR(D88/D57,"")</f>
        <v/>
      </c>
      <c r="E194" s="507">
        <f>IFERROR(E88/E57,"")</f>
        <v/>
      </c>
      <c r="F194" s="507">
        <f>IFERROR(F88/F57,"")</f>
        <v/>
      </c>
      <c r="G194" s="507">
        <f>IFERROR(G88/G57,"")</f>
        <v/>
      </c>
      <c r="H194" s="507">
        <f>IFERROR(H88/H57,"")</f>
        <v/>
      </c>
      <c r="I194" s="507">
        <f>IFERROR(I88/I57,"")</f>
        <v/>
      </c>
      <c r="J194" s="507">
        <f>IFERROR(J88/J57,"")</f>
        <v/>
      </c>
      <c r="K194" s="507">
        <f>IFERROR(K88/K57,"")</f>
        <v/>
      </c>
      <c r="L194" s="507">
        <f>IFERROR(L88/L57,"")</f>
        <v/>
      </c>
      <c r="M194" s="507">
        <f>IFERROR(M88/M57,"")</f>
        <v/>
      </c>
      <c r="N194" s="507">
        <f>IFERROR(N88/N57,"")</f>
        <v/>
      </c>
    </row>
    <row r="195">
      <c r="A195" t="inlineStr">
        <is>
          <t>FY2028</t>
        </is>
      </c>
      <c r="B195" s="507">
        <f>IFERROR(B89/B58,"")</f>
        <v/>
      </c>
      <c r="C195" s="507">
        <f>IFERROR(C89/C58,"")</f>
        <v/>
      </c>
      <c r="D195" s="507">
        <f>IFERROR(D89/D58,"")</f>
        <v/>
      </c>
      <c r="E195" s="507">
        <f>IFERROR(E89/E58,"")</f>
        <v/>
      </c>
      <c r="F195" s="507">
        <f>IFERROR(F89/F58,"")</f>
        <v/>
      </c>
      <c r="G195" s="507">
        <f>IFERROR(G89/G58,"")</f>
        <v/>
      </c>
      <c r="H195" s="507">
        <f>IFERROR(H89/H58,"")</f>
        <v/>
      </c>
      <c r="I195" s="507">
        <f>IFERROR(I89/I58,"")</f>
        <v/>
      </c>
      <c r="J195" s="507">
        <f>IFERROR(J89/J58,"")</f>
        <v/>
      </c>
      <c r="K195" s="507">
        <f>IFERROR(K89/K58,"")</f>
        <v/>
      </c>
      <c r="L195" s="507">
        <f>IFERROR(L89/L58,"")</f>
        <v/>
      </c>
      <c r="M195" s="507">
        <f>IFERROR(M89/M58,"")</f>
        <v/>
      </c>
      <c r="N195" s="507">
        <f>IFERROR(N89/N58,"")</f>
        <v/>
      </c>
    </row>
    <row r="196">
      <c r="A196" t="inlineStr">
        <is>
          <t>FY2029</t>
        </is>
      </c>
      <c r="B196" s="507">
        <f>IFERROR(B90/B59,"")</f>
        <v/>
      </c>
      <c r="C196" s="507">
        <f>IFERROR(C90/C59,"")</f>
        <v/>
      </c>
      <c r="D196" s="507">
        <f>IFERROR(D90/D59,"")</f>
        <v/>
      </c>
      <c r="E196" s="507">
        <f>IFERROR(E90/E59,"")</f>
        <v/>
      </c>
      <c r="F196" s="507">
        <f>IFERROR(F90/F59,"")</f>
        <v/>
      </c>
      <c r="G196" s="507">
        <f>IFERROR(G90/G59,"")</f>
        <v/>
      </c>
      <c r="H196" s="507">
        <f>IFERROR(H90/H59,"")</f>
        <v/>
      </c>
      <c r="I196" s="507">
        <f>IFERROR(I90/I59,"")</f>
        <v/>
      </c>
      <c r="J196" s="507">
        <f>IFERROR(J90/J59,"")</f>
        <v/>
      </c>
      <c r="K196" s="507">
        <f>IFERROR(K90/K59,"")</f>
        <v/>
      </c>
      <c r="L196" s="507">
        <f>IFERROR(L90/L59,"")</f>
        <v/>
      </c>
      <c r="M196" s="507">
        <f>IFERROR(M90/M59,"")</f>
        <v/>
      </c>
      <c r="N196" s="507">
        <f>IFERROR(N90/N59,"")</f>
        <v/>
      </c>
    </row>
    <row r="197">
      <c r="A197" t="inlineStr">
        <is>
          <t>FY2030</t>
        </is>
      </c>
      <c r="B197" s="507">
        <f>IFERROR(B91/B60,"")</f>
        <v/>
      </c>
      <c r="C197" s="507">
        <f>IFERROR(C91/C60,"")</f>
        <v/>
      </c>
      <c r="D197" s="507">
        <f>IFERROR(D91/D60,"")</f>
        <v/>
      </c>
      <c r="E197" s="507">
        <f>IFERROR(E91/E60,"")</f>
        <v/>
      </c>
      <c r="F197" s="507">
        <f>IFERROR(F91/F60,"")</f>
        <v/>
      </c>
      <c r="G197" s="507">
        <f>IFERROR(G91/G60,"")</f>
        <v/>
      </c>
      <c r="H197" s="507">
        <f>IFERROR(H91/H60,"")</f>
        <v/>
      </c>
      <c r="I197" s="507">
        <f>IFERROR(I91/I60,"")</f>
        <v/>
      </c>
      <c r="J197" s="507">
        <f>IFERROR(J91/J60,"")</f>
        <v/>
      </c>
      <c r="K197" s="507">
        <f>IFERROR(K91/K60,"")</f>
        <v/>
      </c>
      <c r="L197" s="507">
        <f>IFERROR(L91/L60,"")</f>
        <v/>
      </c>
      <c r="M197" s="507">
        <f>IFERROR(M91/M60,"")</f>
        <v/>
      </c>
      <c r="N197" s="507">
        <f>IFERROR(N91/N60,"")</f>
        <v/>
      </c>
    </row>
    <row r="198">
      <c r="A198" s="527" t="inlineStr">
        <is>
          <t>성분 내 Original 비율 (HP)  ★GenPen 감시</t>
        </is>
      </c>
      <c r="B198" s="528" t="inlineStr">
        <is>
          <t>4월</t>
        </is>
      </c>
      <c r="C198" s="528" t="inlineStr">
        <is>
          <t>5월</t>
        </is>
      </c>
      <c r="D198" s="528" t="inlineStr">
        <is>
          <t>6월</t>
        </is>
      </c>
      <c r="E198" s="528" t="inlineStr">
        <is>
          <t>7월</t>
        </is>
      </c>
      <c r="F198" s="528" t="inlineStr">
        <is>
          <t>8월</t>
        </is>
      </c>
      <c r="G198" s="528" t="inlineStr">
        <is>
          <t>9월</t>
        </is>
      </c>
      <c r="H198" s="528" t="inlineStr">
        <is>
          <t>10월</t>
        </is>
      </c>
      <c r="I198" s="528" t="inlineStr">
        <is>
          <t>11월</t>
        </is>
      </c>
      <c r="J198" s="528" t="inlineStr">
        <is>
          <t>12월</t>
        </is>
      </c>
      <c r="K198" s="528" t="inlineStr">
        <is>
          <t>1월</t>
        </is>
      </c>
      <c r="L198" s="528" t="inlineStr">
        <is>
          <t>2월</t>
        </is>
      </c>
      <c r="M198" s="528" t="inlineStr">
        <is>
          <t>3월</t>
        </is>
      </c>
      <c r="N198" s="527" t="inlineStr">
        <is>
          <t>FY 합계 기준</t>
        </is>
      </c>
    </row>
    <row r="199">
      <c r="A199" t="inlineStr">
        <is>
          <t>FY2018</t>
        </is>
      </c>
      <c r="B199" s="507">
        <f>IFERROR(B95/B64,"")</f>
        <v/>
      </c>
      <c r="C199" s="507">
        <f>IFERROR(C95/C64,"")</f>
        <v/>
      </c>
      <c r="D199" s="507">
        <f>IFERROR(D95/D64,"")</f>
        <v/>
      </c>
      <c r="E199" s="507">
        <f>IFERROR(E95/E64,"")</f>
        <v/>
      </c>
      <c r="F199" s="507">
        <f>IFERROR(F95/F64,"")</f>
        <v/>
      </c>
      <c r="G199" s="507">
        <f>IFERROR(G95/G64,"")</f>
        <v/>
      </c>
      <c r="H199" s="507">
        <f>IFERROR(H95/H64,"")</f>
        <v/>
      </c>
      <c r="I199" s="507">
        <f>IFERROR(I95/I64,"")</f>
        <v/>
      </c>
      <c r="J199" s="507">
        <f>IFERROR(J95/J64,"")</f>
        <v/>
      </c>
      <c r="K199" s="507">
        <f>IFERROR(K95/K64,"")</f>
        <v/>
      </c>
      <c r="L199" s="507">
        <f>IFERROR(L95/L64,"")</f>
        <v/>
      </c>
      <c r="M199" s="507">
        <f>IFERROR(M95/M64,"")</f>
        <v/>
      </c>
      <c r="N199" s="507">
        <f>IFERROR(N95/N64,"")</f>
        <v/>
      </c>
    </row>
    <row r="200">
      <c r="A200" t="inlineStr">
        <is>
          <t>FY2019</t>
        </is>
      </c>
      <c r="B200" s="507">
        <f>IFERROR(B96/B65,"")</f>
        <v/>
      </c>
      <c r="C200" s="507">
        <f>IFERROR(C96/C65,"")</f>
        <v/>
      </c>
      <c r="D200" s="507">
        <f>IFERROR(D96/D65,"")</f>
        <v/>
      </c>
      <c r="E200" s="507">
        <f>IFERROR(E96/E65,"")</f>
        <v/>
      </c>
      <c r="F200" s="507">
        <f>IFERROR(F96/F65,"")</f>
        <v/>
      </c>
      <c r="G200" s="507">
        <f>IFERROR(G96/G65,"")</f>
        <v/>
      </c>
      <c r="H200" s="507">
        <f>IFERROR(H96/H65,"")</f>
        <v/>
      </c>
      <c r="I200" s="507">
        <f>IFERROR(I96/I65,"")</f>
        <v/>
      </c>
      <c r="J200" s="507">
        <f>IFERROR(J96/J65,"")</f>
        <v/>
      </c>
      <c r="K200" s="507">
        <f>IFERROR(K96/K65,"")</f>
        <v/>
      </c>
      <c r="L200" s="507">
        <f>IFERROR(L96/L65,"")</f>
        <v/>
      </c>
      <c r="M200" s="507">
        <f>IFERROR(M96/M65,"")</f>
        <v/>
      </c>
      <c r="N200" s="507">
        <f>IFERROR(N96/N65,"")</f>
        <v/>
      </c>
    </row>
    <row r="201">
      <c r="A201" t="inlineStr">
        <is>
          <t>FY2020</t>
        </is>
      </c>
      <c r="B201" s="507">
        <f>IFERROR(B97/B66,"")</f>
        <v/>
      </c>
      <c r="C201" s="507">
        <f>IFERROR(C97/C66,"")</f>
        <v/>
      </c>
      <c r="D201" s="507">
        <f>IFERROR(D97/D66,"")</f>
        <v/>
      </c>
      <c r="E201" s="507">
        <f>IFERROR(E97/E66,"")</f>
        <v/>
      </c>
      <c r="F201" s="507">
        <f>IFERROR(F97/F66,"")</f>
        <v/>
      </c>
      <c r="G201" s="507">
        <f>IFERROR(G97/G66,"")</f>
        <v/>
      </c>
      <c r="H201" s="507">
        <f>IFERROR(H97/H66,"")</f>
        <v/>
      </c>
      <c r="I201" s="507">
        <f>IFERROR(I97/I66,"")</f>
        <v/>
      </c>
      <c r="J201" s="507">
        <f>IFERROR(J97/J66,"")</f>
        <v/>
      </c>
      <c r="K201" s="507">
        <f>IFERROR(K97/K66,"")</f>
        <v/>
      </c>
      <c r="L201" s="507">
        <f>IFERROR(L97/L66,"")</f>
        <v/>
      </c>
      <c r="M201" s="507">
        <f>IFERROR(M97/M66,"")</f>
        <v/>
      </c>
      <c r="N201" s="507">
        <f>IFERROR(N97/N66,"")</f>
        <v/>
      </c>
    </row>
    <row r="202">
      <c r="A202" t="inlineStr">
        <is>
          <t>FY2021</t>
        </is>
      </c>
      <c r="B202" s="507">
        <f>IFERROR(B98/B67,"")</f>
        <v/>
      </c>
      <c r="C202" s="507">
        <f>IFERROR(C98/C67,"")</f>
        <v/>
      </c>
      <c r="D202" s="507">
        <f>IFERROR(D98/D67,"")</f>
        <v/>
      </c>
      <c r="E202" s="507">
        <f>IFERROR(E98/E67,"")</f>
        <v/>
      </c>
      <c r="F202" s="507">
        <f>IFERROR(F98/F67,"")</f>
        <v/>
      </c>
      <c r="G202" s="507">
        <f>IFERROR(G98/G67,"")</f>
        <v/>
      </c>
      <c r="H202" s="507">
        <f>IFERROR(H98/H67,"")</f>
        <v/>
      </c>
      <c r="I202" s="507">
        <f>IFERROR(I98/I67,"")</f>
        <v/>
      </c>
      <c r="J202" s="507">
        <f>IFERROR(J98/J67,"")</f>
        <v/>
      </c>
      <c r="K202" s="507">
        <f>IFERROR(K98/K67,"")</f>
        <v/>
      </c>
      <c r="L202" s="507">
        <f>IFERROR(L98/L67,"")</f>
        <v/>
      </c>
      <c r="M202" s="507">
        <f>IFERROR(M98/M67,"")</f>
        <v/>
      </c>
      <c r="N202" s="507">
        <f>IFERROR(N98/N67,"")</f>
        <v/>
      </c>
    </row>
    <row r="203">
      <c r="A203" t="inlineStr">
        <is>
          <t>FY2022</t>
        </is>
      </c>
      <c r="B203" s="507">
        <f>IFERROR(B99/B68,"")</f>
        <v/>
      </c>
      <c r="C203" s="507">
        <f>IFERROR(C99/C68,"")</f>
        <v/>
      </c>
      <c r="D203" s="507">
        <f>IFERROR(D99/D68,"")</f>
        <v/>
      </c>
      <c r="E203" s="507">
        <f>IFERROR(E99/E68,"")</f>
        <v/>
      </c>
      <c r="F203" s="507">
        <f>IFERROR(F99/F68,"")</f>
        <v/>
      </c>
      <c r="G203" s="507">
        <f>IFERROR(G99/G68,"")</f>
        <v/>
      </c>
      <c r="H203" s="507">
        <f>IFERROR(H99/H68,"")</f>
        <v/>
      </c>
      <c r="I203" s="507">
        <f>IFERROR(I99/I68,"")</f>
        <v/>
      </c>
      <c r="J203" s="507">
        <f>IFERROR(J99/J68,"")</f>
        <v/>
      </c>
      <c r="K203" s="507">
        <f>IFERROR(K99/K68,"")</f>
        <v/>
      </c>
      <c r="L203" s="507">
        <f>IFERROR(L99/L68,"")</f>
        <v/>
      </c>
      <c r="M203" s="507">
        <f>IFERROR(M99/M68,"")</f>
        <v/>
      </c>
      <c r="N203" s="507">
        <f>IFERROR(N99/N68,"")</f>
        <v/>
      </c>
    </row>
    <row r="204">
      <c r="A204" t="inlineStr">
        <is>
          <t>FY2023</t>
        </is>
      </c>
      <c r="B204" s="507">
        <f>IFERROR(B100/B69,"")</f>
        <v/>
      </c>
      <c r="C204" s="507">
        <f>IFERROR(C100/C69,"")</f>
        <v/>
      </c>
      <c r="D204" s="507">
        <f>IFERROR(D100/D69,"")</f>
        <v/>
      </c>
      <c r="E204" s="507">
        <f>IFERROR(E100/E69,"")</f>
        <v/>
      </c>
      <c r="F204" s="507">
        <f>IFERROR(F100/F69,"")</f>
        <v/>
      </c>
      <c r="G204" s="507">
        <f>IFERROR(G100/G69,"")</f>
        <v/>
      </c>
      <c r="H204" s="507">
        <f>IFERROR(H100/H69,"")</f>
        <v/>
      </c>
      <c r="I204" s="507">
        <f>IFERROR(I100/I69,"")</f>
        <v/>
      </c>
      <c r="J204" s="507">
        <f>IFERROR(J100/J69,"")</f>
        <v/>
      </c>
      <c r="K204" s="507">
        <f>IFERROR(K100/K69,"")</f>
        <v/>
      </c>
      <c r="L204" s="507">
        <f>IFERROR(L100/L69,"")</f>
        <v/>
      </c>
      <c r="M204" s="507">
        <f>IFERROR(M100/M69,"")</f>
        <v/>
      </c>
      <c r="N204" s="507">
        <f>IFERROR(N100/N69,"")</f>
        <v/>
      </c>
    </row>
    <row r="205">
      <c r="A205" t="inlineStr">
        <is>
          <t>FY2024</t>
        </is>
      </c>
      <c r="B205" s="507">
        <f>IFERROR(B101/B70,"")</f>
        <v/>
      </c>
      <c r="C205" s="507">
        <f>IFERROR(C101/C70,"")</f>
        <v/>
      </c>
      <c r="D205" s="507">
        <f>IFERROR(D101/D70,"")</f>
        <v/>
      </c>
      <c r="E205" s="507">
        <f>IFERROR(E101/E70,"")</f>
        <v/>
      </c>
      <c r="F205" s="507">
        <f>IFERROR(F101/F70,"")</f>
        <v/>
      </c>
      <c r="G205" s="507">
        <f>IFERROR(G101/G70,"")</f>
        <v/>
      </c>
      <c r="H205" s="507">
        <f>IFERROR(H101/H70,"")</f>
        <v/>
      </c>
      <c r="I205" s="507">
        <f>IFERROR(I101/I70,"")</f>
        <v/>
      </c>
      <c r="J205" s="507">
        <f>IFERROR(J101/J70,"")</f>
        <v/>
      </c>
      <c r="K205" s="507">
        <f>IFERROR(K101/K70,"")</f>
        <v/>
      </c>
      <c r="L205" s="507">
        <f>IFERROR(L101/L70,"")</f>
        <v/>
      </c>
      <c r="M205" s="507">
        <f>IFERROR(M101/M70,"")</f>
        <v/>
      </c>
      <c r="N205" s="507">
        <f>IFERROR(N101/N70,"")</f>
        <v/>
      </c>
    </row>
    <row r="206">
      <c r="A206" t="inlineStr">
        <is>
          <t>FY2025</t>
        </is>
      </c>
      <c r="B206" s="507">
        <f>IFERROR(B102/B71,"")</f>
        <v/>
      </c>
      <c r="C206" s="507">
        <f>IFERROR(C102/C71,"")</f>
        <v/>
      </c>
      <c r="D206" s="507">
        <f>IFERROR(D102/D71,"")</f>
        <v/>
      </c>
      <c r="E206" s="507">
        <f>IFERROR(E102/E71,"")</f>
        <v/>
      </c>
      <c r="F206" s="507">
        <f>IFERROR(F102/F71,"")</f>
        <v/>
      </c>
      <c r="G206" s="507">
        <f>IFERROR(G102/G71,"")</f>
        <v/>
      </c>
      <c r="H206" s="507">
        <f>IFERROR(H102/H71,"")</f>
        <v/>
      </c>
      <c r="I206" s="507">
        <f>IFERROR(I102/I71,"")</f>
        <v/>
      </c>
      <c r="J206" s="507">
        <f>IFERROR(J102/J71,"")</f>
        <v/>
      </c>
      <c r="K206" s="507">
        <f>IFERROR(K102/K71,"")</f>
        <v/>
      </c>
      <c r="L206" s="507">
        <f>IFERROR(L102/L71,"")</f>
        <v/>
      </c>
      <c r="M206" s="507">
        <f>IFERROR(M102/M71,"")</f>
        <v/>
      </c>
      <c r="N206" s="507">
        <f>IFERROR(N102/N71,"")</f>
        <v/>
      </c>
    </row>
    <row r="207">
      <c r="A207" t="inlineStr">
        <is>
          <t>FY2026</t>
        </is>
      </c>
      <c r="B207" s="507">
        <f>IFERROR(B103/B72,"")</f>
        <v/>
      </c>
      <c r="C207" s="507">
        <f>IFERROR(C103/C72,"")</f>
        <v/>
      </c>
      <c r="D207" s="507">
        <f>IFERROR(D103/D72,"")</f>
        <v/>
      </c>
      <c r="E207" s="507">
        <f>IFERROR(E103/E72,"")</f>
        <v/>
      </c>
      <c r="F207" s="507">
        <f>IFERROR(F103/F72,"")</f>
        <v/>
      </c>
      <c r="G207" s="507">
        <f>IFERROR(G103/G72,"")</f>
        <v/>
      </c>
      <c r="H207" s="507">
        <f>IFERROR(H103/H72,"")</f>
        <v/>
      </c>
      <c r="I207" s="507">
        <f>IFERROR(I103/I72,"")</f>
        <v/>
      </c>
      <c r="J207" s="507">
        <f>IFERROR(J103/J72,"")</f>
        <v/>
      </c>
      <c r="K207" s="507">
        <f>IFERROR(K103/K72,"")</f>
        <v/>
      </c>
      <c r="L207" s="507">
        <f>IFERROR(L103/L72,"")</f>
        <v/>
      </c>
      <c r="M207" s="507">
        <f>IFERROR(M103/M72,"")</f>
        <v/>
      </c>
      <c r="N207" s="507">
        <f>IFERROR(N103/N72,"")</f>
        <v/>
      </c>
    </row>
    <row r="208">
      <c r="A208" t="inlineStr">
        <is>
          <t>FY2027</t>
        </is>
      </c>
      <c r="B208" s="507">
        <f>IFERROR(B104/B73,"")</f>
        <v/>
      </c>
      <c r="C208" s="507">
        <f>IFERROR(C104/C73,"")</f>
        <v/>
      </c>
      <c r="D208" s="507">
        <f>IFERROR(D104/D73,"")</f>
        <v/>
      </c>
      <c r="E208" s="507">
        <f>IFERROR(E104/E73,"")</f>
        <v/>
      </c>
      <c r="F208" s="507">
        <f>IFERROR(F104/F73,"")</f>
        <v/>
      </c>
      <c r="G208" s="507">
        <f>IFERROR(G104/G73,"")</f>
        <v/>
      </c>
      <c r="H208" s="507">
        <f>IFERROR(H104/H73,"")</f>
        <v/>
      </c>
      <c r="I208" s="507">
        <f>IFERROR(I104/I73,"")</f>
        <v/>
      </c>
      <c r="J208" s="507">
        <f>IFERROR(J104/J73,"")</f>
        <v/>
      </c>
      <c r="K208" s="507">
        <f>IFERROR(K104/K73,"")</f>
        <v/>
      </c>
      <c r="L208" s="507">
        <f>IFERROR(L104/L73,"")</f>
        <v/>
      </c>
      <c r="M208" s="507">
        <f>IFERROR(M104/M73,"")</f>
        <v/>
      </c>
      <c r="N208" s="507">
        <f>IFERROR(N104/N73,"")</f>
        <v/>
      </c>
    </row>
    <row r="209">
      <c r="A209" t="inlineStr">
        <is>
          <t>FY2028</t>
        </is>
      </c>
      <c r="B209" s="507">
        <f>IFERROR(B105/B74,"")</f>
        <v/>
      </c>
      <c r="C209" s="507">
        <f>IFERROR(C105/C74,"")</f>
        <v/>
      </c>
      <c r="D209" s="507">
        <f>IFERROR(D105/D74,"")</f>
        <v/>
      </c>
      <c r="E209" s="507">
        <f>IFERROR(E105/E74,"")</f>
        <v/>
      </c>
      <c r="F209" s="507">
        <f>IFERROR(F105/F74,"")</f>
        <v/>
      </c>
      <c r="G209" s="507">
        <f>IFERROR(G105/G74,"")</f>
        <v/>
      </c>
      <c r="H209" s="507">
        <f>IFERROR(H105/H74,"")</f>
        <v/>
      </c>
      <c r="I209" s="507">
        <f>IFERROR(I105/I74,"")</f>
        <v/>
      </c>
      <c r="J209" s="507">
        <f>IFERROR(J105/J74,"")</f>
        <v/>
      </c>
      <c r="K209" s="507">
        <f>IFERROR(K105/K74,"")</f>
        <v/>
      </c>
      <c r="L209" s="507">
        <f>IFERROR(L105/L74,"")</f>
        <v/>
      </c>
      <c r="M209" s="507">
        <f>IFERROR(M105/M74,"")</f>
        <v/>
      </c>
      <c r="N209" s="507">
        <f>IFERROR(N105/N74,"")</f>
        <v/>
      </c>
    </row>
    <row r="210">
      <c r="A210" t="inlineStr">
        <is>
          <t>FY2029</t>
        </is>
      </c>
      <c r="B210" s="507">
        <f>IFERROR(B106/B75,"")</f>
        <v/>
      </c>
      <c r="C210" s="507">
        <f>IFERROR(C106/C75,"")</f>
        <v/>
      </c>
      <c r="D210" s="507">
        <f>IFERROR(D106/D75,"")</f>
        <v/>
      </c>
      <c r="E210" s="507">
        <f>IFERROR(E106/E75,"")</f>
        <v/>
      </c>
      <c r="F210" s="507">
        <f>IFERROR(F106/F75,"")</f>
        <v/>
      </c>
      <c r="G210" s="507">
        <f>IFERROR(G106/G75,"")</f>
        <v/>
      </c>
      <c r="H210" s="507">
        <f>IFERROR(H106/H75,"")</f>
        <v/>
      </c>
      <c r="I210" s="507">
        <f>IFERROR(I106/I75,"")</f>
        <v/>
      </c>
      <c r="J210" s="507">
        <f>IFERROR(J106/J75,"")</f>
        <v/>
      </c>
      <c r="K210" s="507">
        <f>IFERROR(K106/K75,"")</f>
        <v/>
      </c>
      <c r="L210" s="507">
        <f>IFERROR(L106/L75,"")</f>
        <v/>
      </c>
      <c r="M210" s="507">
        <f>IFERROR(M106/M75,"")</f>
        <v/>
      </c>
      <c r="N210" s="507">
        <f>IFERROR(N106/N75,"")</f>
        <v/>
      </c>
    </row>
    <row r="211">
      <c r="A211" t="inlineStr">
        <is>
          <t>FY2030</t>
        </is>
      </c>
      <c r="B211" s="507">
        <f>IFERROR(B107/B76,"")</f>
        <v/>
      </c>
      <c r="C211" s="507">
        <f>IFERROR(C107/C76,"")</f>
        <v/>
      </c>
      <c r="D211" s="507">
        <f>IFERROR(D107/D76,"")</f>
        <v/>
      </c>
      <c r="E211" s="507">
        <f>IFERROR(E107/E76,"")</f>
        <v/>
      </c>
      <c r="F211" s="507">
        <f>IFERROR(F107/F76,"")</f>
        <v/>
      </c>
      <c r="G211" s="507">
        <f>IFERROR(G107/G76,"")</f>
        <v/>
      </c>
      <c r="H211" s="507">
        <f>IFERROR(H107/H76,"")</f>
        <v/>
      </c>
      <c r="I211" s="507">
        <f>IFERROR(I107/I76,"")</f>
        <v/>
      </c>
      <c r="J211" s="507">
        <f>IFERROR(J107/J76,"")</f>
        <v/>
      </c>
      <c r="K211" s="507">
        <f>IFERROR(K107/K76,"")</f>
        <v/>
      </c>
      <c r="L211" s="507">
        <f>IFERROR(L107/L76,"")</f>
        <v/>
      </c>
      <c r="M211" s="507">
        <f>IFERROR(M107/M76,"")</f>
        <v/>
      </c>
      <c r="N211" s="507">
        <f>IFERROR(N107/N76,"")</f>
        <v/>
      </c>
    </row>
    <row r="212">
      <c r="A212" s="527" t="inlineStr">
        <is>
          <t>성분 내 Original 비율 (GP)  ★GenPen 감시</t>
        </is>
      </c>
      <c r="B212" s="528" t="inlineStr">
        <is>
          <t>4월</t>
        </is>
      </c>
      <c r="C212" s="528" t="inlineStr">
        <is>
          <t>5월</t>
        </is>
      </c>
      <c r="D212" s="528" t="inlineStr">
        <is>
          <t>6월</t>
        </is>
      </c>
      <c r="E212" s="528" t="inlineStr">
        <is>
          <t>7월</t>
        </is>
      </c>
      <c r="F212" s="528" t="inlineStr">
        <is>
          <t>8월</t>
        </is>
      </c>
      <c r="G212" s="528" t="inlineStr">
        <is>
          <t>9월</t>
        </is>
      </c>
      <c r="H212" s="528" t="inlineStr">
        <is>
          <t>10월</t>
        </is>
      </c>
      <c r="I212" s="528" t="inlineStr">
        <is>
          <t>11월</t>
        </is>
      </c>
      <c r="J212" s="528" t="inlineStr">
        <is>
          <t>12월</t>
        </is>
      </c>
      <c r="K212" s="528" t="inlineStr">
        <is>
          <t>1월</t>
        </is>
      </c>
      <c r="L212" s="528" t="inlineStr">
        <is>
          <t>2월</t>
        </is>
      </c>
      <c r="M212" s="528" t="inlineStr">
        <is>
          <t>3월</t>
        </is>
      </c>
      <c r="N212" s="527" t="inlineStr">
        <is>
          <t>FY 합계 기준</t>
        </is>
      </c>
    </row>
    <row r="213">
      <c r="A213" t="inlineStr">
        <is>
          <t>FY2018</t>
        </is>
      </c>
      <c r="B213" s="507">
        <f>IFERROR(B110/B79,"")</f>
        <v/>
      </c>
      <c r="C213" s="507">
        <f>IFERROR(C110/C79,"")</f>
        <v/>
      </c>
      <c r="D213" s="507">
        <f>IFERROR(D110/D79,"")</f>
        <v/>
      </c>
      <c r="E213" s="507">
        <f>IFERROR(E110/E79,"")</f>
        <v/>
      </c>
      <c r="F213" s="507">
        <f>IFERROR(F110/F79,"")</f>
        <v/>
      </c>
      <c r="G213" s="507">
        <f>IFERROR(G110/G79,"")</f>
        <v/>
      </c>
      <c r="H213" s="507">
        <f>IFERROR(H110/H79,"")</f>
        <v/>
      </c>
      <c r="I213" s="507">
        <f>IFERROR(I110/I79,"")</f>
        <v/>
      </c>
      <c r="J213" s="507">
        <f>IFERROR(J110/J79,"")</f>
        <v/>
      </c>
      <c r="K213" s="507">
        <f>IFERROR(K110/K79,"")</f>
        <v/>
      </c>
      <c r="L213" s="507">
        <f>IFERROR(L110/L79,"")</f>
        <v/>
      </c>
      <c r="M213" s="507">
        <f>IFERROR(M110/M79,"")</f>
        <v/>
      </c>
      <c r="N213" s="507">
        <f>IFERROR(N110/N79,"")</f>
        <v/>
      </c>
    </row>
    <row r="214">
      <c r="A214" t="inlineStr">
        <is>
          <t>FY2019</t>
        </is>
      </c>
      <c r="B214" s="507">
        <f>IFERROR(B111/B80,"")</f>
        <v/>
      </c>
      <c r="C214" s="507">
        <f>IFERROR(C111/C80,"")</f>
        <v/>
      </c>
      <c r="D214" s="507">
        <f>IFERROR(D111/D80,"")</f>
        <v/>
      </c>
      <c r="E214" s="507">
        <f>IFERROR(E111/E80,"")</f>
        <v/>
      </c>
      <c r="F214" s="507">
        <f>IFERROR(F111/F80,"")</f>
        <v/>
      </c>
      <c r="G214" s="507">
        <f>IFERROR(G111/G80,"")</f>
        <v/>
      </c>
      <c r="H214" s="507">
        <f>IFERROR(H111/H80,"")</f>
        <v/>
      </c>
      <c r="I214" s="507">
        <f>IFERROR(I111/I80,"")</f>
        <v/>
      </c>
      <c r="J214" s="507">
        <f>IFERROR(J111/J80,"")</f>
        <v/>
      </c>
      <c r="K214" s="507">
        <f>IFERROR(K111/K80,"")</f>
        <v/>
      </c>
      <c r="L214" s="507">
        <f>IFERROR(L111/L80,"")</f>
        <v/>
      </c>
      <c r="M214" s="507">
        <f>IFERROR(M111/M80,"")</f>
        <v/>
      </c>
      <c r="N214" s="507">
        <f>IFERROR(N111/N80,"")</f>
        <v/>
      </c>
    </row>
    <row r="215">
      <c r="A215" t="inlineStr">
        <is>
          <t>FY2020</t>
        </is>
      </c>
      <c r="B215" s="507">
        <f>IFERROR(B112/B81,"")</f>
        <v/>
      </c>
      <c r="C215" s="507">
        <f>IFERROR(C112/C81,"")</f>
        <v/>
      </c>
      <c r="D215" s="507">
        <f>IFERROR(D112/D81,"")</f>
        <v/>
      </c>
      <c r="E215" s="507">
        <f>IFERROR(E112/E81,"")</f>
        <v/>
      </c>
      <c r="F215" s="507">
        <f>IFERROR(F112/F81,"")</f>
        <v/>
      </c>
      <c r="G215" s="507">
        <f>IFERROR(G112/G81,"")</f>
        <v/>
      </c>
      <c r="H215" s="507">
        <f>IFERROR(H112/H81,"")</f>
        <v/>
      </c>
      <c r="I215" s="507">
        <f>IFERROR(I112/I81,"")</f>
        <v/>
      </c>
      <c r="J215" s="507">
        <f>IFERROR(J112/J81,"")</f>
        <v/>
      </c>
      <c r="K215" s="507">
        <f>IFERROR(K112/K81,"")</f>
        <v/>
      </c>
      <c r="L215" s="507">
        <f>IFERROR(L112/L81,"")</f>
        <v/>
      </c>
      <c r="M215" s="507">
        <f>IFERROR(M112/M81,"")</f>
        <v/>
      </c>
      <c r="N215" s="507">
        <f>IFERROR(N112/N81,"")</f>
        <v/>
      </c>
    </row>
    <row r="216">
      <c r="A216" t="inlineStr">
        <is>
          <t>FY2021</t>
        </is>
      </c>
      <c r="B216" s="507">
        <f>IFERROR(B113/B82,"")</f>
        <v/>
      </c>
      <c r="C216" s="507">
        <f>IFERROR(C113/C82,"")</f>
        <v/>
      </c>
      <c r="D216" s="507">
        <f>IFERROR(D113/D82,"")</f>
        <v/>
      </c>
      <c r="E216" s="507">
        <f>IFERROR(E113/E82,"")</f>
        <v/>
      </c>
      <c r="F216" s="507">
        <f>IFERROR(F113/F82,"")</f>
        <v/>
      </c>
      <c r="G216" s="507">
        <f>IFERROR(G113/G82,"")</f>
        <v/>
      </c>
      <c r="H216" s="507">
        <f>IFERROR(H113/H82,"")</f>
        <v/>
      </c>
      <c r="I216" s="507">
        <f>IFERROR(I113/I82,"")</f>
        <v/>
      </c>
      <c r="J216" s="507">
        <f>IFERROR(J113/J82,"")</f>
        <v/>
      </c>
      <c r="K216" s="507">
        <f>IFERROR(K113/K82,"")</f>
        <v/>
      </c>
      <c r="L216" s="507">
        <f>IFERROR(L113/L82,"")</f>
        <v/>
      </c>
      <c r="M216" s="507">
        <f>IFERROR(M113/M82,"")</f>
        <v/>
      </c>
      <c r="N216" s="507">
        <f>IFERROR(N113/N82,"")</f>
        <v/>
      </c>
    </row>
    <row r="217">
      <c r="A217" t="inlineStr">
        <is>
          <t>FY2022</t>
        </is>
      </c>
      <c r="B217" s="507">
        <f>IFERROR(B114/B83,"")</f>
        <v/>
      </c>
      <c r="C217" s="507">
        <f>IFERROR(C114/C83,"")</f>
        <v/>
      </c>
      <c r="D217" s="507">
        <f>IFERROR(D114/D83,"")</f>
        <v/>
      </c>
      <c r="E217" s="507">
        <f>IFERROR(E114/E83,"")</f>
        <v/>
      </c>
      <c r="F217" s="507">
        <f>IFERROR(F114/F83,"")</f>
        <v/>
      </c>
      <c r="G217" s="507">
        <f>IFERROR(G114/G83,"")</f>
        <v/>
      </c>
      <c r="H217" s="507">
        <f>IFERROR(H114/H83,"")</f>
        <v/>
      </c>
      <c r="I217" s="507">
        <f>IFERROR(I114/I83,"")</f>
        <v/>
      </c>
      <c r="J217" s="507">
        <f>IFERROR(J114/J83,"")</f>
        <v/>
      </c>
      <c r="K217" s="507">
        <f>IFERROR(K114/K83,"")</f>
        <v/>
      </c>
      <c r="L217" s="507">
        <f>IFERROR(L114/L83,"")</f>
        <v/>
      </c>
      <c r="M217" s="507">
        <f>IFERROR(M114/M83,"")</f>
        <v/>
      </c>
      <c r="N217" s="507">
        <f>IFERROR(N114/N83,"")</f>
        <v/>
      </c>
    </row>
    <row r="218">
      <c r="A218" t="inlineStr">
        <is>
          <t>FY2023</t>
        </is>
      </c>
      <c r="B218" s="507">
        <f>IFERROR(B115/B84,"")</f>
        <v/>
      </c>
      <c r="C218" s="507">
        <f>IFERROR(C115/C84,"")</f>
        <v/>
      </c>
      <c r="D218" s="507">
        <f>IFERROR(D115/D84,"")</f>
        <v/>
      </c>
      <c r="E218" s="507">
        <f>IFERROR(E115/E84,"")</f>
        <v/>
      </c>
      <c r="F218" s="507">
        <f>IFERROR(F115/F84,"")</f>
        <v/>
      </c>
      <c r="G218" s="507">
        <f>IFERROR(G115/G84,"")</f>
        <v/>
      </c>
      <c r="H218" s="507">
        <f>IFERROR(H115/H84,"")</f>
        <v/>
      </c>
      <c r="I218" s="507">
        <f>IFERROR(I115/I84,"")</f>
        <v/>
      </c>
      <c r="J218" s="507">
        <f>IFERROR(J115/J84,"")</f>
        <v/>
      </c>
      <c r="K218" s="507">
        <f>IFERROR(K115/K84,"")</f>
        <v/>
      </c>
      <c r="L218" s="507">
        <f>IFERROR(L115/L84,"")</f>
        <v/>
      </c>
      <c r="M218" s="507">
        <f>IFERROR(M115/M84,"")</f>
        <v/>
      </c>
      <c r="N218" s="507">
        <f>IFERROR(N115/N84,"")</f>
        <v/>
      </c>
    </row>
    <row r="219">
      <c r="A219" t="inlineStr">
        <is>
          <t>FY2024</t>
        </is>
      </c>
      <c r="B219" s="507">
        <f>IFERROR(B116/B85,"")</f>
        <v/>
      </c>
      <c r="C219" s="507">
        <f>IFERROR(C116/C85,"")</f>
        <v/>
      </c>
      <c r="D219" s="507">
        <f>IFERROR(D116/D85,"")</f>
        <v/>
      </c>
      <c r="E219" s="507">
        <f>IFERROR(E116/E85,"")</f>
        <v/>
      </c>
      <c r="F219" s="507">
        <f>IFERROR(F116/F85,"")</f>
        <v/>
      </c>
      <c r="G219" s="507">
        <f>IFERROR(G116/G85,"")</f>
        <v/>
      </c>
      <c r="H219" s="507">
        <f>IFERROR(H116/H85,"")</f>
        <v/>
      </c>
      <c r="I219" s="507">
        <f>IFERROR(I116/I85,"")</f>
        <v/>
      </c>
      <c r="J219" s="507">
        <f>IFERROR(J116/J85,"")</f>
        <v/>
      </c>
      <c r="K219" s="507">
        <f>IFERROR(K116/K85,"")</f>
        <v/>
      </c>
      <c r="L219" s="507">
        <f>IFERROR(L116/L85,"")</f>
        <v/>
      </c>
      <c r="M219" s="507">
        <f>IFERROR(M116/M85,"")</f>
        <v/>
      </c>
      <c r="N219" s="507">
        <f>IFERROR(N116/N85,"")</f>
        <v/>
      </c>
    </row>
    <row r="220">
      <c r="A220" t="inlineStr">
        <is>
          <t>FY2025</t>
        </is>
      </c>
      <c r="B220" s="507">
        <f>IFERROR(B117/B86,"")</f>
        <v/>
      </c>
      <c r="C220" s="507">
        <f>IFERROR(C117/C86,"")</f>
        <v/>
      </c>
      <c r="D220" s="507">
        <f>IFERROR(D117/D86,"")</f>
        <v/>
      </c>
      <c r="E220" s="507">
        <f>IFERROR(E117/E86,"")</f>
        <v/>
      </c>
      <c r="F220" s="507">
        <f>IFERROR(F117/F86,"")</f>
        <v/>
      </c>
      <c r="G220" s="507">
        <f>IFERROR(G117/G86,"")</f>
        <v/>
      </c>
      <c r="H220" s="507">
        <f>IFERROR(H117/H86,"")</f>
        <v/>
      </c>
      <c r="I220" s="507">
        <f>IFERROR(I117/I86,"")</f>
        <v/>
      </c>
      <c r="J220" s="507">
        <f>IFERROR(J117/J86,"")</f>
        <v/>
      </c>
      <c r="K220" s="507">
        <f>IFERROR(K117/K86,"")</f>
        <v/>
      </c>
      <c r="L220" s="507">
        <f>IFERROR(L117/L86,"")</f>
        <v/>
      </c>
      <c r="M220" s="507">
        <f>IFERROR(M117/M86,"")</f>
        <v/>
      </c>
      <c r="N220" s="507">
        <f>IFERROR(N117/N86,"")</f>
        <v/>
      </c>
    </row>
    <row r="221">
      <c r="A221" t="inlineStr">
        <is>
          <t>FY2026</t>
        </is>
      </c>
      <c r="B221" s="507">
        <f>IFERROR(B118/B87,"")</f>
        <v/>
      </c>
      <c r="C221" s="507">
        <f>IFERROR(C118/C87,"")</f>
        <v/>
      </c>
      <c r="D221" s="507">
        <f>IFERROR(D118/D87,"")</f>
        <v/>
      </c>
      <c r="E221" s="507">
        <f>IFERROR(E118/E87,"")</f>
        <v/>
      </c>
      <c r="F221" s="507">
        <f>IFERROR(F118/F87,"")</f>
        <v/>
      </c>
      <c r="G221" s="507">
        <f>IFERROR(G118/G87,"")</f>
        <v/>
      </c>
      <c r="H221" s="507">
        <f>IFERROR(H118/H87,"")</f>
        <v/>
      </c>
      <c r="I221" s="507">
        <f>IFERROR(I118/I87,"")</f>
        <v/>
      </c>
      <c r="J221" s="507">
        <f>IFERROR(J118/J87,"")</f>
        <v/>
      </c>
      <c r="K221" s="507">
        <f>IFERROR(K118/K87,"")</f>
        <v/>
      </c>
      <c r="L221" s="507">
        <f>IFERROR(L118/L87,"")</f>
        <v/>
      </c>
      <c r="M221" s="507">
        <f>IFERROR(M118/M87,"")</f>
        <v/>
      </c>
      <c r="N221" s="507">
        <f>IFERROR(N118/N87,"")</f>
        <v/>
      </c>
    </row>
    <row r="222">
      <c r="A222" t="inlineStr">
        <is>
          <t>FY2027</t>
        </is>
      </c>
      <c r="B222" s="507">
        <f>IFERROR(B119/B88,"")</f>
        <v/>
      </c>
      <c r="C222" s="507">
        <f>IFERROR(C119/C88,"")</f>
        <v/>
      </c>
      <c r="D222" s="507">
        <f>IFERROR(D119/D88,"")</f>
        <v/>
      </c>
      <c r="E222" s="507">
        <f>IFERROR(E119/E88,"")</f>
        <v/>
      </c>
      <c r="F222" s="507">
        <f>IFERROR(F119/F88,"")</f>
        <v/>
      </c>
      <c r="G222" s="507">
        <f>IFERROR(G119/G88,"")</f>
        <v/>
      </c>
      <c r="H222" s="507">
        <f>IFERROR(H119/H88,"")</f>
        <v/>
      </c>
      <c r="I222" s="507">
        <f>IFERROR(I119/I88,"")</f>
        <v/>
      </c>
      <c r="J222" s="507">
        <f>IFERROR(J119/J88,"")</f>
        <v/>
      </c>
      <c r="K222" s="507">
        <f>IFERROR(K119/K88,"")</f>
        <v/>
      </c>
      <c r="L222" s="507">
        <f>IFERROR(L119/L88,"")</f>
        <v/>
      </c>
      <c r="M222" s="507">
        <f>IFERROR(M119/M88,"")</f>
        <v/>
      </c>
      <c r="N222" s="507">
        <f>IFERROR(N119/N88,"")</f>
        <v/>
      </c>
    </row>
    <row r="223">
      <c r="A223" t="inlineStr">
        <is>
          <t>FY2028</t>
        </is>
      </c>
      <c r="B223" s="507">
        <f>IFERROR(B120/B89,"")</f>
        <v/>
      </c>
      <c r="C223" s="507">
        <f>IFERROR(C120/C89,"")</f>
        <v/>
      </c>
      <c r="D223" s="507">
        <f>IFERROR(D120/D89,"")</f>
        <v/>
      </c>
      <c r="E223" s="507">
        <f>IFERROR(E120/E89,"")</f>
        <v/>
      </c>
      <c r="F223" s="507">
        <f>IFERROR(F120/F89,"")</f>
        <v/>
      </c>
      <c r="G223" s="507">
        <f>IFERROR(G120/G89,"")</f>
        <v/>
      </c>
      <c r="H223" s="507">
        <f>IFERROR(H120/H89,"")</f>
        <v/>
      </c>
      <c r="I223" s="507">
        <f>IFERROR(I120/I89,"")</f>
        <v/>
      </c>
      <c r="J223" s="507">
        <f>IFERROR(J120/J89,"")</f>
        <v/>
      </c>
      <c r="K223" s="507">
        <f>IFERROR(K120/K89,"")</f>
        <v/>
      </c>
      <c r="L223" s="507">
        <f>IFERROR(L120/L89,"")</f>
        <v/>
      </c>
      <c r="M223" s="507">
        <f>IFERROR(M120/M89,"")</f>
        <v/>
      </c>
      <c r="N223" s="507">
        <f>IFERROR(N120/N89,"")</f>
        <v/>
      </c>
    </row>
    <row r="224">
      <c r="A224" t="inlineStr">
        <is>
          <t>FY2029</t>
        </is>
      </c>
      <c r="B224" s="507">
        <f>IFERROR(B121/B90,"")</f>
        <v/>
      </c>
      <c r="C224" s="507">
        <f>IFERROR(C121/C90,"")</f>
        <v/>
      </c>
      <c r="D224" s="507">
        <f>IFERROR(D121/D90,"")</f>
        <v/>
      </c>
      <c r="E224" s="507">
        <f>IFERROR(E121/E90,"")</f>
        <v/>
      </c>
      <c r="F224" s="507">
        <f>IFERROR(F121/F90,"")</f>
        <v/>
      </c>
      <c r="G224" s="507">
        <f>IFERROR(G121/G90,"")</f>
        <v/>
      </c>
      <c r="H224" s="507">
        <f>IFERROR(H121/H90,"")</f>
        <v/>
      </c>
      <c r="I224" s="507">
        <f>IFERROR(I121/I90,"")</f>
        <v/>
      </c>
      <c r="J224" s="507">
        <f>IFERROR(J121/J90,"")</f>
        <v/>
      </c>
      <c r="K224" s="507">
        <f>IFERROR(K121/K90,"")</f>
        <v/>
      </c>
      <c r="L224" s="507">
        <f>IFERROR(L121/L90,"")</f>
        <v/>
      </c>
      <c r="M224" s="507">
        <f>IFERROR(M121/M90,"")</f>
        <v/>
      </c>
      <c r="N224" s="507">
        <f>IFERROR(N121/N90,"")</f>
        <v/>
      </c>
    </row>
    <row r="225">
      <c r="A225" t="inlineStr">
        <is>
          <t>FY2030</t>
        </is>
      </c>
      <c r="B225" s="507">
        <f>IFERROR(B122/B91,"")</f>
        <v/>
      </c>
      <c r="C225" s="507">
        <f>IFERROR(C122/C91,"")</f>
        <v/>
      </c>
      <c r="D225" s="507">
        <f>IFERROR(D122/D91,"")</f>
        <v/>
      </c>
      <c r="E225" s="507">
        <f>IFERROR(E122/E91,"")</f>
        <v/>
      </c>
      <c r="F225" s="507">
        <f>IFERROR(F122/F91,"")</f>
        <v/>
      </c>
      <c r="G225" s="507">
        <f>IFERROR(G122/G91,"")</f>
        <v/>
      </c>
      <c r="H225" s="507">
        <f>IFERROR(H122/H91,"")</f>
        <v/>
      </c>
      <c r="I225" s="507">
        <f>IFERROR(I122/I91,"")</f>
        <v/>
      </c>
      <c r="J225" s="507">
        <f>IFERROR(J122/J91,"")</f>
        <v/>
      </c>
      <c r="K225" s="507">
        <f>IFERROR(K122/K91,"")</f>
        <v/>
      </c>
      <c r="L225" s="507">
        <f>IFERROR(L122/L91,"")</f>
        <v/>
      </c>
      <c r="M225" s="507">
        <f>IFERROR(M122/M91,"")</f>
        <v/>
      </c>
      <c r="N225" s="507">
        <f>IFERROR(N122/N91,"")</f>
        <v/>
      </c>
    </row>
    <row r="226">
      <c r="A226" s="527" t="inlineStr">
        <is>
          <t>세비카HCT 실효단가 (HP, 원/DOT)</t>
        </is>
      </c>
      <c r="B226" s="528" t="inlineStr">
        <is>
          <t>4월</t>
        </is>
      </c>
      <c r="C226" s="528" t="inlineStr">
        <is>
          <t>5월</t>
        </is>
      </c>
      <c r="D226" s="528" t="inlineStr">
        <is>
          <t>6월</t>
        </is>
      </c>
      <c r="E226" s="528" t="inlineStr">
        <is>
          <t>7월</t>
        </is>
      </c>
      <c r="F226" s="528" t="inlineStr">
        <is>
          <t>8월</t>
        </is>
      </c>
      <c r="G226" s="528" t="inlineStr">
        <is>
          <t>9월</t>
        </is>
      </c>
      <c r="H226" s="528" t="inlineStr">
        <is>
          <t>10월</t>
        </is>
      </c>
      <c r="I226" s="528" t="inlineStr">
        <is>
          <t>11월</t>
        </is>
      </c>
      <c r="J226" s="528" t="inlineStr">
        <is>
          <t>12월</t>
        </is>
      </c>
      <c r="K226" s="528" t="inlineStr">
        <is>
          <t>1월</t>
        </is>
      </c>
      <c r="L226" s="528" t="inlineStr">
        <is>
          <t>2월</t>
        </is>
      </c>
      <c r="M226" s="528" t="inlineStr">
        <is>
          <t>3월</t>
        </is>
      </c>
      <c r="N226" s="527" t="inlineStr">
        <is>
          <t>FY 합계 기준</t>
        </is>
      </c>
    </row>
    <row r="227">
      <c r="A227" t="inlineStr">
        <is>
          <t>FY2018</t>
        </is>
      </c>
      <c r="B227" s="518">
        <f>IFERROR(B126/B95,"")</f>
        <v/>
      </c>
      <c r="C227" s="518">
        <f>IFERROR(C126/C95,"")</f>
        <v/>
      </c>
      <c r="D227" s="518">
        <f>IFERROR(D126/D95,"")</f>
        <v/>
      </c>
      <c r="E227" s="518">
        <f>IFERROR(E126/E95,"")</f>
        <v/>
      </c>
      <c r="F227" s="518">
        <f>IFERROR(F126/F95,"")</f>
        <v/>
      </c>
      <c r="G227" s="518">
        <f>IFERROR(G126/G95,"")</f>
        <v/>
      </c>
      <c r="H227" s="518">
        <f>IFERROR(H126/H95,"")</f>
        <v/>
      </c>
      <c r="I227" s="518">
        <f>IFERROR(I126/I95,"")</f>
        <v/>
      </c>
      <c r="J227" s="518">
        <f>IFERROR(J126/J95,"")</f>
        <v/>
      </c>
      <c r="K227" s="518">
        <f>IFERROR(K126/K95,"")</f>
        <v/>
      </c>
      <c r="L227" s="518">
        <f>IFERROR(L126/L95,"")</f>
        <v/>
      </c>
      <c r="M227" s="518">
        <f>IFERROR(M126/M95,"")</f>
        <v/>
      </c>
      <c r="N227" s="518">
        <f>IFERROR(N126/N95,"")</f>
        <v/>
      </c>
    </row>
    <row r="228">
      <c r="A228" t="inlineStr">
        <is>
          <t>FY2019</t>
        </is>
      </c>
      <c r="B228" s="518">
        <f>IFERROR(B127/B96,"")</f>
        <v/>
      </c>
      <c r="C228" s="518">
        <f>IFERROR(C127/C96,"")</f>
        <v/>
      </c>
      <c r="D228" s="518">
        <f>IFERROR(D127/D96,"")</f>
        <v/>
      </c>
      <c r="E228" s="518">
        <f>IFERROR(E127/E96,"")</f>
        <v/>
      </c>
      <c r="F228" s="518">
        <f>IFERROR(F127/F96,"")</f>
        <v/>
      </c>
      <c r="G228" s="518">
        <f>IFERROR(G127/G96,"")</f>
        <v/>
      </c>
      <c r="H228" s="518">
        <f>IFERROR(H127/H96,"")</f>
        <v/>
      </c>
      <c r="I228" s="518">
        <f>IFERROR(I127/I96,"")</f>
        <v/>
      </c>
      <c r="J228" s="518">
        <f>IFERROR(J127/J96,"")</f>
        <v/>
      </c>
      <c r="K228" s="518">
        <f>IFERROR(K127/K96,"")</f>
        <v/>
      </c>
      <c r="L228" s="518">
        <f>IFERROR(L127/L96,"")</f>
        <v/>
      </c>
      <c r="M228" s="518">
        <f>IFERROR(M127/M96,"")</f>
        <v/>
      </c>
      <c r="N228" s="518">
        <f>IFERROR(N127/N96,"")</f>
        <v/>
      </c>
    </row>
    <row r="229">
      <c r="A229" t="inlineStr">
        <is>
          <t>FY2020</t>
        </is>
      </c>
      <c r="B229" s="518">
        <f>IFERROR(B128/B97,"")</f>
        <v/>
      </c>
      <c r="C229" s="518">
        <f>IFERROR(C128/C97,"")</f>
        <v/>
      </c>
      <c r="D229" s="518">
        <f>IFERROR(D128/D97,"")</f>
        <v/>
      </c>
      <c r="E229" s="518">
        <f>IFERROR(E128/E97,"")</f>
        <v/>
      </c>
      <c r="F229" s="518">
        <f>IFERROR(F128/F97,"")</f>
        <v/>
      </c>
      <c r="G229" s="518">
        <f>IFERROR(G128/G97,"")</f>
        <v/>
      </c>
      <c r="H229" s="518">
        <f>IFERROR(H128/H97,"")</f>
        <v/>
      </c>
      <c r="I229" s="518">
        <f>IFERROR(I128/I97,"")</f>
        <v/>
      </c>
      <c r="J229" s="518">
        <f>IFERROR(J128/J97,"")</f>
        <v/>
      </c>
      <c r="K229" s="518">
        <f>IFERROR(K128/K97,"")</f>
        <v/>
      </c>
      <c r="L229" s="518">
        <f>IFERROR(L128/L97,"")</f>
        <v/>
      </c>
      <c r="M229" s="518">
        <f>IFERROR(M128/M97,"")</f>
        <v/>
      </c>
      <c r="N229" s="518">
        <f>IFERROR(N128/N97,"")</f>
        <v/>
      </c>
    </row>
    <row r="230">
      <c r="A230" t="inlineStr">
        <is>
          <t>FY2021</t>
        </is>
      </c>
      <c r="B230" s="518">
        <f>IFERROR(B129/B98,"")</f>
        <v/>
      </c>
      <c r="C230" s="518">
        <f>IFERROR(C129/C98,"")</f>
        <v/>
      </c>
      <c r="D230" s="518">
        <f>IFERROR(D129/D98,"")</f>
        <v/>
      </c>
      <c r="E230" s="518">
        <f>IFERROR(E129/E98,"")</f>
        <v/>
      </c>
      <c r="F230" s="518">
        <f>IFERROR(F129/F98,"")</f>
        <v/>
      </c>
      <c r="G230" s="518">
        <f>IFERROR(G129/G98,"")</f>
        <v/>
      </c>
      <c r="H230" s="518">
        <f>IFERROR(H129/H98,"")</f>
        <v/>
      </c>
      <c r="I230" s="518">
        <f>IFERROR(I129/I98,"")</f>
        <v/>
      </c>
      <c r="J230" s="518">
        <f>IFERROR(J129/J98,"")</f>
        <v/>
      </c>
      <c r="K230" s="518">
        <f>IFERROR(K129/K98,"")</f>
        <v/>
      </c>
      <c r="L230" s="518">
        <f>IFERROR(L129/L98,"")</f>
        <v/>
      </c>
      <c r="M230" s="518">
        <f>IFERROR(M129/M98,"")</f>
        <v/>
      </c>
      <c r="N230" s="518">
        <f>IFERROR(N129/N98,"")</f>
        <v/>
      </c>
    </row>
    <row r="231">
      <c r="A231" t="inlineStr">
        <is>
          <t>FY2022</t>
        </is>
      </c>
      <c r="B231" s="518">
        <f>IFERROR(B130/B99,"")</f>
        <v/>
      </c>
      <c r="C231" s="518">
        <f>IFERROR(C130/C99,"")</f>
        <v/>
      </c>
      <c r="D231" s="518">
        <f>IFERROR(D130/D99,"")</f>
        <v/>
      </c>
      <c r="E231" s="518">
        <f>IFERROR(E130/E99,"")</f>
        <v/>
      </c>
      <c r="F231" s="518">
        <f>IFERROR(F130/F99,"")</f>
        <v/>
      </c>
      <c r="G231" s="518">
        <f>IFERROR(G130/G99,"")</f>
        <v/>
      </c>
      <c r="H231" s="518">
        <f>IFERROR(H130/H99,"")</f>
        <v/>
      </c>
      <c r="I231" s="518">
        <f>IFERROR(I130/I99,"")</f>
        <v/>
      </c>
      <c r="J231" s="518">
        <f>IFERROR(J130/J99,"")</f>
        <v/>
      </c>
      <c r="K231" s="518">
        <f>IFERROR(K130/K99,"")</f>
        <v/>
      </c>
      <c r="L231" s="518">
        <f>IFERROR(L130/L99,"")</f>
        <v/>
      </c>
      <c r="M231" s="518">
        <f>IFERROR(M130/M99,"")</f>
        <v/>
      </c>
      <c r="N231" s="518">
        <f>IFERROR(N130/N99,"")</f>
        <v/>
      </c>
    </row>
    <row r="232">
      <c r="A232" t="inlineStr">
        <is>
          <t>FY2023</t>
        </is>
      </c>
      <c r="B232" s="518">
        <f>IFERROR(B131/B100,"")</f>
        <v/>
      </c>
      <c r="C232" s="518">
        <f>IFERROR(C131/C100,"")</f>
        <v/>
      </c>
      <c r="D232" s="518">
        <f>IFERROR(D131/D100,"")</f>
        <v/>
      </c>
      <c r="E232" s="518">
        <f>IFERROR(E131/E100,"")</f>
        <v/>
      </c>
      <c r="F232" s="518">
        <f>IFERROR(F131/F100,"")</f>
        <v/>
      </c>
      <c r="G232" s="518">
        <f>IFERROR(G131/G100,"")</f>
        <v/>
      </c>
      <c r="H232" s="518">
        <f>IFERROR(H131/H100,"")</f>
        <v/>
      </c>
      <c r="I232" s="518">
        <f>IFERROR(I131/I100,"")</f>
        <v/>
      </c>
      <c r="J232" s="518">
        <f>IFERROR(J131/J100,"")</f>
        <v/>
      </c>
      <c r="K232" s="518">
        <f>IFERROR(K131/K100,"")</f>
        <v/>
      </c>
      <c r="L232" s="518">
        <f>IFERROR(L131/L100,"")</f>
        <v/>
      </c>
      <c r="M232" s="518">
        <f>IFERROR(M131/M100,"")</f>
        <v/>
      </c>
      <c r="N232" s="518">
        <f>IFERROR(N131/N100,"")</f>
        <v/>
      </c>
    </row>
    <row r="233">
      <c r="A233" t="inlineStr">
        <is>
          <t>FY2024</t>
        </is>
      </c>
      <c r="B233" s="518">
        <f>IFERROR(B132/B101,"")</f>
        <v/>
      </c>
      <c r="C233" s="518">
        <f>IFERROR(C132/C101,"")</f>
        <v/>
      </c>
      <c r="D233" s="518">
        <f>IFERROR(D132/D101,"")</f>
        <v/>
      </c>
      <c r="E233" s="518">
        <f>IFERROR(E132/E101,"")</f>
        <v/>
      </c>
      <c r="F233" s="518">
        <f>IFERROR(F132/F101,"")</f>
        <v/>
      </c>
      <c r="G233" s="518">
        <f>IFERROR(G132/G101,"")</f>
        <v/>
      </c>
      <c r="H233" s="518">
        <f>IFERROR(H132/H101,"")</f>
        <v/>
      </c>
      <c r="I233" s="518">
        <f>IFERROR(I132/I101,"")</f>
        <v/>
      </c>
      <c r="J233" s="518">
        <f>IFERROR(J132/J101,"")</f>
        <v/>
      </c>
      <c r="K233" s="518">
        <f>IFERROR(K132/K101,"")</f>
        <v/>
      </c>
      <c r="L233" s="518">
        <f>IFERROR(L132/L101,"")</f>
        <v/>
      </c>
      <c r="M233" s="518">
        <f>IFERROR(M132/M101,"")</f>
        <v/>
      </c>
      <c r="N233" s="518">
        <f>IFERROR(N132/N101,"")</f>
        <v/>
      </c>
    </row>
    <row r="234">
      <c r="A234" t="inlineStr">
        <is>
          <t>FY2025</t>
        </is>
      </c>
      <c r="B234" s="518">
        <f>IFERROR(B133/B102,"")</f>
        <v/>
      </c>
      <c r="C234" s="518">
        <f>IFERROR(C133/C102,"")</f>
        <v/>
      </c>
      <c r="D234" s="518">
        <f>IFERROR(D133/D102,"")</f>
        <v/>
      </c>
      <c r="E234" s="518">
        <f>IFERROR(E133/E102,"")</f>
        <v/>
      </c>
      <c r="F234" s="518">
        <f>IFERROR(F133/F102,"")</f>
        <v/>
      </c>
      <c r="G234" s="518">
        <f>IFERROR(G133/G102,"")</f>
        <v/>
      </c>
      <c r="H234" s="518">
        <f>IFERROR(H133/H102,"")</f>
        <v/>
      </c>
      <c r="I234" s="518">
        <f>IFERROR(I133/I102,"")</f>
        <v/>
      </c>
      <c r="J234" s="518">
        <f>IFERROR(J133/J102,"")</f>
        <v/>
      </c>
      <c r="K234" s="518">
        <f>IFERROR(K133/K102,"")</f>
        <v/>
      </c>
      <c r="L234" s="518">
        <f>IFERROR(L133/L102,"")</f>
        <v/>
      </c>
      <c r="M234" s="518">
        <f>IFERROR(M133/M102,"")</f>
        <v/>
      </c>
      <c r="N234" s="518">
        <f>IFERROR(N133/N102,"")</f>
        <v/>
      </c>
    </row>
    <row r="235">
      <c r="A235" t="inlineStr">
        <is>
          <t>FY2026</t>
        </is>
      </c>
      <c r="B235" s="518">
        <f>IFERROR(B134/B103,"")</f>
        <v/>
      </c>
      <c r="C235" s="518">
        <f>IFERROR(C134/C103,"")</f>
        <v/>
      </c>
      <c r="D235" s="518">
        <f>IFERROR(D134/D103,"")</f>
        <v/>
      </c>
      <c r="E235" s="518">
        <f>IFERROR(E134/E103,"")</f>
        <v/>
      </c>
      <c r="F235" s="518">
        <f>IFERROR(F134/F103,"")</f>
        <v/>
      </c>
      <c r="G235" s="518">
        <f>IFERROR(G134/G103,"")</f>
        <v/>
      </c>
      <c r="H235" s="518">
        <f>IFERROR(H134/H103,"")</f>
        <v/>
      </c>
      <c r="I235" s="518">
        <f>IFERROR(I134/I103,"")</f>
        <v/>
      </c>
      <c r="J235" s="518">
        <f>IFERROR(J134/J103,"")</f>
        <v/>
      </c>
      <c r="K235" s="518">
        <f>IFERROR(K134/K103,"")</f>
        <v/>
      </c>
      <c r="L235" s="518">
        <f>IFERROR(L134/L103,"")</f>
        <v/>
      </c>
      <c r="M235" s="518">
        <f>IFERROR(M134/M103,"")</f>
        <v/>
      </c>
      <c r="N235" s="518">
        <f>IFERROR(N134/N103,"")</f>
        <v/>
      </c>
    </row>
    <row r="236">
      <c r="A236" t="inlineStr">
        <is>
          <t>FY2027</t>
        </is>
      </c>
      <c r="B236" s="518">
        <f>IFERROR(B135/B104,"")</f>
        <v/>
      </c>
      <c r="C236" s="518">
        <f>IFERROR(C135/C104,"")</f>
        <v/>
      </c>
      <c r="D236" s="518">
        <f>IFERROR(D135/D104,"")</f>
        <v/>
      </c>
      <c r="E236" s="518">
        <f>IFERROR(E135/E104,"")</f>
        <v/>
      </c>
      <c r="F236" s="518">
        <f>IFERROR(F135/F104,"")</f>
        <v/>
      </c>
      <c r="G236" s="518">
        <f>IFERROR(G135/G104,"")</f>
        <v/>
      </c>
      <c r="H236" s="518">
        <f>IFERROR(H135/H104,"")</f>
        <v/>
      </c>
      <c r="I236" s="518">
        <f>IFERROR(I135/I104,"")</f>
        <v/>
      </c>
      <c r="J236" s="518">
        <f>IFERROR(J135/J104,"")</f>
        <v/>
      </c>
      <c r="K236" s="518">
        <f>IFERROR(K135/K104,"")</f>
        <v/>
      </c>
      <c r="L236" s="518">
        <f>IFERROR(L135/L104,"")</f>
        <v/>
      </c>
      <c r="M236" s="518">
        <f>IFERROR(M135/M104,"")</f>
        <v/>
      </c>
      <c r="N236" s="518">
        <f>IFERROR(N135/N104,"")</f>
        <v/>
      </c>
    </row>
    <row r="237">
      <c r="A237" t="inlineStr">
        <is>
          <t>FY2028</t>
        </is>
      </c>
      <c r="B237" s="518">
        <f>IFERROR(B136/B105,"")</f>
        <v/>
      </c>
      <c r="C237" s="518">
        <f>IFERROR(C136/C105,"")</f>
        <v/>
      </c>
      <c r="D237" s="518">
        <f>IFERROR(D136/D105,"")</f>
        <v/>
      </c>
      <c r="E237" s="518">
        <f>IFERROR(E136/E105,"")</f>
        <v/>
      </c>
      <c r="F237" s="518">
        <f>IFERROR(F136/F105,"")</f>
        <v/>
      </c>
      <c r="G237" s="518">
        <f>IFERROR(G136/G105,"")</f>
        <v/>
      </c>
      <c r="H237" s="518">
        <f>IFERROR(H136/H105,"")</f>
        <v/>
      </c>
      <c r="I237" s="518">
        <f>IFERROR(I136/I105,"")</f>
        <v/>
      </c>
      <c r="J237" s="518">
        <f>IFERROR(J136/J105,"")</f>
        <v/>
      </c>
      <c r="K237" s="518">
        <f>IFERROR(K136/K105,"")</f>
        <v/>
      </c>
      <c r="L237" s="518">
        <f>IFERROR(L136/L105,"")</f>
        <v/>
      </c>
      <c r="M237" s="518">
        <f>IFERROR(M136/M105,"")</f>
        <v/>
      </c>
      <c r="N237" s="518">
        <f>IFERROR(N136/N105,"")</f>
        <v/>
      </c>
    </row>
    <row r="238">
      <c r="A238" t="inlineStr">
        <is>
          <t>FY2029</t>
        </is>
      </c>
      <c r="B238" s="518">
        <f>IFERROR(B137/B106,"")</f>
        <v/>
      </c>
      <c r="C238" s="518">
        <f>IFERROR(C137/C106,"")</f>
        <v/>
      </c>
      <c r="D238" s="518">
        <f>IFERROR(D137/D106,"")</f>
        <v/>
      </c>
      <c r="E238" s="518">
        <f>IFERROR(E137/E106,"")</f>
        <v/>
      </c>
      <c r="F238" s="518">
        <f>IFERROR(F137/F106,"")</f>
        <v/>
      </c>
      <c r="G238" s="518">
        <f>IFERROR(G137/G106,"")</f>
        <v/>
      </c>
      <c r="H238" s="518">
        <f>IFERROR(H137/H106,"")</f>
        <v/>
      </c>
      <c r="I238" s="518">
        <f>IFERROR(I137/I106,"")</f>
        <v/>
      </c>
      <c r="J238" s="518">
        <f>IFERROR(J137/J106,"")</f>
        <v/>
      </c>
      <c r="K238" s="518">
        <f>IFERROR(K137/K106,"")</f>
        <v/>
      </c>
      <c r="L238" s="518">
        <f>IFERROR(L137/L106,"")</f>
        <v/>
      </c>
      <c r="M238" s="518">
        <f>IFERROR(M137/M106,"")</f>
        <v/>
      </c>
      <c r="N238" s="518">
        <f>IFERROR(N137/N106,"")</f>
        <v/>
      </c>
    </row>
    <row r="239">
      <c r="A239" t="inlineStr">
        <is>
          <t>FY2030</t>
        </is>
      </c>
      <c r="B239" s="518">
        <f>IFERROR(B138/B107,"")</f>
        <v/>
      </c>
      <c r="C239" s="518">
        <f>IFERROR(C138/C107,"")</f>
        <v/>
      </c>
      <c r="D239" s="518">
        <f>IFERROR(D138/D107,"")</f>
        <v/>
      </c>
      <c r="E239" s="518">
        <f>IFERROR(E138/E107,"")</f>
        <v/>
      </c>
      <c r="F239" s="518">
        <f>IFERROR(F138/F107,"")</f>
        <v/>
      </c>
      <c r="G239" s="518">
        <f>IFERROR(G138/G107,"")</f>
        <v/>
      </c>
      <c r="H239" s="518">
        <f>IFERROR(H138/H107,"")</f>
        <v/>
      </c>
      <c r="I239" s="518">
        <f>IFERROR(I138/I107,"")</f>
        <v/>
      </c>
      <c r="J239" s="518">
        <f>IFERROR(J138/J107,"")</f>
        <v/>
      </c>
      <c r="K239" s="518">
        <f>IFERROR(K138/K107,"")</f>
        <v/>
      </c>
      <c r="L239" s="518">
        <f>IFERROR(L138/L107,"")</f>
        <v/>
      </c>
      <c r="M239" s="518">
        <f>IFERROR(M138/M107,"")</f>
        <v/>
      </c>
      <c r="N239" s="518">
        <f>IFERROR(N138/N107,"")</f>
        <v/>
      </c>
    </row>
    <row r="240">
      <c r="A240" s="527" t="inlineStr">
        <is>
          <t>세비카HCT 실효단가 (GP, 원/DOT)</t>
        </is>
      </c>
      <c r="B240" s="528" t="inlineStr">
        <is>
          <t>4월</t>
        </is>
      </c>
      <c r="C240" s="528" t="inlineStr">
        <is>
          <t>5월</t>
        </is>
      </c>
      <c r="D240" s="528" t="inlineStr">
        <is>
          <t>6월</t>
        </is>
      </c>
      <c r="E240" s="528" t="inlineStr">
        <is>
          <t>7월</t>
        </is>
      </c>
      <c r="F240" s="528" t="inlineStr">
        <is>
          <t>8월</t>
        </is>
      </c>
      <c r="G240" s="528" t="inlineStr">
        <is>
          <t>9월</t>
        </is>
      </c>
      <c r="H240" s="528" t="inlineStr">
        <is>
          <t>10월</t>
        </is>
      </c>
      <c r="I240" s="528" t="inlineStr">
        <is>
          <t>11월</t>
        </is>
      </c>
      <c r="J240" s="528" t="inlineStr">
        <is>
          <t>12월</t>
        </is>
      </c>
      <c r="K240" s="528" t="inlineStr">
        <is>
          <t>1월</t>
        </is>
      </c>
      <c r="L240" s="528" t="inlineStr">
        <is>
          <t>2월</t>
        </is>
      </c>
      <c r="M240" s="528" t="inlineStr">
        <is>
          <t>3월</t>
        </is>
      </c>
      <c r="N240" s="527" t="inlineStr">
        <is>
          <t>FY 합계 기준</t>
        </is>
      </c>
    </row>
    <row r="241">
      <c r="A241" t="inlineStr">
        <is>
          <t>FY2018</t>
        </is>
      </c>
      <c r="B241" s="518">
        <f>IFERROR(B141/B110,"")</f>
        <v/>
      </c>
      <c r="C241" s="518">
        <f>IFERROR(C141/C110,"")</f>
        <v/>
      </c>
      <c r="D241" s="518">
        <f>IFERROR(D141/D110,"")</f>
        <v/>
      </c>
      <c r="E241" s="518">
        <f>IFERROR(E141/E110,"")</f>
        <v/>
      </c>
      <c r="F241" s="518">
        <f>IFERROR(F141/F110,"")</f>
        <v/>
      </c>
      <c r="G241" s="518">
        <f>IFERROR(G141/G110,"")</f>
        <v/>
      </c>
      <c r="H241" s="518">
        <f>IFERROR(H141/H110,"")</f>
        <v/>
      </c>
      <c r="I241" s="518">
        <f>IFERROR(I141/I110,"")</f>
        <v/>
      </c>
      <c r="J241" s="518">
        <f>IFERROR(J141/J110,"")</f>
        <v/>
      </c>
      <c r="K241" s="518">
        <f>IFERROR(K141/K110,"")</f>
        <v/>
      </c>
      <c r="L241" s="518">
        <f>IFERROR(L141/L110,"")</f>
        <v/>
      </c>
      <c r="M241" s="518">
        <f>IFERROR(M141/M110,"")</f>
        <v/>
      </c>
      <c r="N241" s="518">
        <f>IFERROR(N141/N110,"")</f>
        <v/>
      </c>
    </row>
    <row r="242">
      <c r="A242" t="inlineStr">
        <is>
          <t>FY2019</t>
        </is>
      </c>
      <c r="B242" s="518">
        <f>IFERROR(B142/B111,"")</f>
        <v/>
      </c>
      <c r="C242" s="518">
        <f>IFERROR(C142/C111,"")</f>
        <v/>
      </c>
      <c r="D242" s="518">
        <f>IFERROR(D142/D111,"")</f>
        <v/>
      </c>
      <c r="E242" s="518">
        <f>IFERROR(E142/E111,"")</f>
        <v/>
      </c>
      <c r="F242" s="518">
        <f>IFERROR(F142/F111,"")</f>
        <v/>
      </c>
      <c r="G242" s="518">
        <f>IFERROR(G142/G111,"")</f>
        <v/>
      </c>
      <c r="H242" s="518">
        <f>IFERROR(H142/H111,"")</f>
        <v/>
      </c>
      <c r="I242" s="518">
        <f>IFERROR(I142/I111,"")</f>
        <v/>
      </c>
      <c r="J242" s="518">
        <f>IFERROR(J142/J111,"")</f>
        <v/>
      </c>
      <c r="K242" s="518">
        <f>IFERROR(K142/K111,"")</f>
        <v/>
      </c>
      <c r="L242" s="518">
        <f>IFERROR(L142/L111,"")</f>
        <v/>
      </c>
      <c r="M242" s="518">
        <f>IFERROR(M142/M111,"")</f>
        <v/>
      </c>
      <c r="N242" s="518">
        <f>IFERROR(N142/N111,"")</f>
        <v/>
      </c>
    </row>
    <row r="243">
      <c r="A243" t="inlineStr">
        <is>
          <t>FY2020</t>
        </is>
      </c>
      <c r="B243" s="518">
        <f>IFERROR(B143/B112,"")</f>
        <v/>
      </c>
      <c r="C243" s="518">
        <f>IFERROR(C143/C112,"")</f>
        <v/>
      </c>
      <c r="D243" s="518">
        <f>IFERROR(D143/D112,"")</f>
        <v/>
      </c>
      <c r="E243" s="518">
        <f>IFERROR(E143/E112,"")</f>
        <v/>
      </c>
      <c r="F243" s="518">
        <f>IFERROR(F143/F112,"")</f>
        <v/>
      </c>
      <c r="G243" s="518">
        <f>IFERROR(G143/G112,"")</f>
        <v/>
      </c>
      <c r="H243" s="518">
        <f>IFERROR(H143/H112,"")</f>
        <v/>
      </c>
      <c r="I243" s="518">
        <f>IFERROR(I143/I112,"")</f>
        <v/>
      </c>
      <c r="J243" s="518">
        <f>IFERROR(J143/J112,"")</f>
        <v/>
      </c>
      <c r="K243" s="518">
        <f>IFERROR(K143/K112,"")</f>
        <v/>
      </c>
      <c r="L243" s="518">
        <f>IFERROR(L143/L112,"")</f>
        <v/>
      </c>
      <c r="M243" s="518">
        <f>IFERROR(M143/M112,"")</f>
        <v/>
      </c>
      <c r="N243" s="518">
        <f>IFERROR(N143/N112,"")</f>
        <v/>
      </c>
    </row>
    <row r="244">
      <c r="A244" t="inlineStr">
        <is>
          <t>FY2021</t>
        </is>
      </c>
      <c r="B244" s="518">
        <f>IFERROR(B144/B113,"")</f>
        <v/>
      </c>
      <c r="C244" s="518">
        <f>IFERROR(C144/C113,"")</f>
        <v/>
      </c>
      <c r="D244" s="518">
        <f>IFERROR(D144/D113,"")</f>
        <v/>
      </c>
      <c r="E244" s="518">
        <f>IFERROR(E144/E113,"")</f>
        <v/>
      </c>
      <c r="F244" s="518">
        <f>IFERROR(F144/F113,"")</f>
        <v/>
      </c>
      <c r="G244" s="518">
        <f>IFERROR(G144/G113,"")</f>
        <v/>
      </c>
      <c r="H244" s="518">
        <f>IFERROR(H144/H113,"")</f>
        <v/>
      </c>
      <c r="I244" s="518">
        <f>IFERROR(I144/I113,"")</f>
        <v/>
      </c>
      <c r="J244" s="518">
        <f>IFERROR(J144/J113,"")</f>
        <v/>
      </c>
      <c r="K244" s="518">
        <f>IFERROR(K144/K113,"")</f>
        <v/>
      </c>
      <c r="L244" s="518">
        <f>IFERROR(L144/L113,"")</f>
        <v/>
      </c>
      <c r="M244" s="518">
        <f>IFERROR(M144/M113,"")</f>
        <v/>
      </c>
      <c r="N244" s="518">
        <f>IFERROR(N144/N113,"")</f>
        <v/>
      </c>
    </row>
    <row r="245">
      <c r="A245" t="inlineStr">
        <is>
          <t>FY2022</t>
        </is>
      </c>
      <c r="B245" s="518">
        <f>IFERROR(B145/B114,"")</f>
        <v/>
      </c>
      <c r="C245" s="518">
        <f>IFERROR(C145/C114,"")</f>
        <v/>
      </c>
      <c r="D245" s="518">
        <f>IFERROR(D145/D114,"")</f>
        <v/>
      </c>
      <c r="E245" s="518">
        <f>IFERROR(E145/E114,"")</f>
        <v/>
      </c>
      <c r="F245" s="518">
        <f>IFERROR(F145/F114,"")</f>
        <v/>
      </c>
      <c r="G245" s="518">
        <f>IFERROR(G145/G114,"")</f>
        <v/>
      </c>
      <c r="H245" s="518">
        <f>IFERROR(H145/H114,"")</f>
        <v/>
      </c>
      <c r="I245" s="518">
        <f>IFERROR(I145/I114,"")</f>
        <v/>
      </c>
      <c r="J245" s="518">
        <f>IFERROR(J145/J114,"")</f>
        <v/>
      </c>
      <c r="K245" s="518">
        <f>IFERROR(K145/K114,"")</f>
        <v/>
      </c>
      <c r="L245" s="518">
        <f>IFERROR(L145/L114,"")</f>
        <v/>
      </c>
      <c r="M245" s="518">
        <f>IFERROR(M145/M114,"")</f>
        <v/>
      </c>
      <c r="N245" s="518">
        <f>IFERROR(N145/N114,"")</f>
        <v/>
      </c>
    </row>
    <row r="246">
      <c r="A246" t="inlineStr">
        <is>
          <t>FY2023</t>
        </is>
      </c>
      <c r="B246" s="518">
        <f>IFERROR(B146/B115,"")</f>
        <v/>
      </c>
      <c r="C246" s="518">
        <f>IFERROR(C146/C115,"")</f>
        <v/>
      </c>
      <c r="D246" s="518">
        <f>IFERROR(D146/D115,"")</f>
        <v/>
      </c>
      <c r="E246" s="518">
        <f>IFERROR(E146/E115,"")</f>
        <v/>
      </c>
      <c r="F246" s="518">
        <f>IFERROR(F146/F115,"")</f>
        <v/>
      </c>
      <c r="G246" s="518">
        <f>IFERROR(G146/G115,"")</f>
        <v/>
      </c>
      <c r="H246" s="518">
        <f>IFERROR(H146/H115,"")</f>
        <v/>
      </c>
      <c r="I246" s="518">
        <f>IFERROR(I146/I115,"")</f>
        <v/>
      </c>
      <c r="J246" s="518">
        <f>IFERROR(J146/J115,"")</f>
        <v/>
      </c>
      <c r="K246" s="518">
        <f>IFERROR(K146/K115,"")</f>
        <v/>
      </c>
      <c r="L246" s="518">
        <f>IFERROR(L146/L115,"")</f>
        <v/>
      </c>
      <c r="M246" s="518">
        <f>IFERROR(M146/M115,"")</f>
        <v/>
      </c>
      <c r="N246" s="518">
        <f>IFERROR(N146/N115,"")</f>
        <v/>
      </c>
    </row>
    <row r="247">
      <c r="A247" t="inlineStr">
        <is>
          <t>FY2024</t>
        </is>
      </c>
      <c r="B247" s="518">
        <f>IFERROR(B147/B116,"")</f>
        <v/>
      </c>
      <c r="C247" s="518">
        <f>IFERROR(C147/C116,"")</f>
        <v/>
      </c>
      <c r="D247" s="518">
        <f>IFERROR(D147/D116,"")</f>
        <v/>
      </c>
      <c r="E247" s="518">
        <f>IFERROR(E147/E116,"")</f>
        <v/>
      </c>
      <c r="F247" s="518">
        <f>IFERROR(F147/F116,"")</f>
        <v/>
      </c>
      <c r="G247" s="518">
        <f>IFERROR(G147/G116,"")</f>
        <v/>
      </c>
      <c r="H247" s="518">
        <f>IFERROR(H147/H116,"")</f>
        <v/>
      </c>
      <c r="I247" s="518">
        <f>IFERROR(I147/I116,"")</f>
        <v/>
      </c>
      <c r="J247" s="518">
        <f>IFERROR(J147/J116,"")</f>
        <v/>
      </c>
      <c r="K247" s="518">
        <f>IFERROR(K147/K116,"")</f>
        <v/>
      </c>
      <c r="L247" s="518">
        <f>IFERROR(L147/L116,"")</f>
        <v/>
      </c>
      <c r="M247" s="518">
        <f>IFERROR(M147/M116,"")</f>
        <v/>
      </c>
      <c r="N247" s="518">
        <f>IFERROR(N147/N116,"")</f>
        <v/>
      </c>
    </row>
    <row r="248">
      <c r="A248" t="inlineStr">
        <is>
          <t>FY2025</t>
        </is>
      </c>
      <c r="B248" s="518">
        <f>IFERROR(B148/B117,"")</f>
        <v/>
      </c>
      <c r="C248" s="518">
        <f>IFERROR(C148/C117,"")</f>
        <v/>
      </c>
      <c r="D248" s="518">
        <f>IFERROR(D148/D117,"")</f>
        <v/>
      </c>
      <c r="E248" s="518">
        <f>IFERROR(E148/E117,"")</f>
        <v/>
      </c>
      <c r="F248" s="518">
        <f>IFERROR(F148/F117,"")</f>
        <v/>
      </c>
      <c r="G248" s="518">
        <f>IFERROR(G148/G117,"")</f>
        <v/>
      </c>
      <c r="H248" s="518">
        <f>IFERROR(H148/H117,"")</f>
        <v/>
      </c>
      <c r="I248" s="518">
        <f>IFERROR(I148/I117,"")</f>
        <v/>
      </c>
      <c r="J248" s="518">
        <f>IFERROR(J148/J117,"")</f>
        <v/>
      </c>
      <c r="K248" s="518">
        <f>IFERROR(K148/K117,"")</f>
        <v/>
      </c>
      <c r="L248" s="518">
        <f>IFERROR(L148/L117,"")</f>
        <v/>
      </c>
      <c r="M248" s="518">
        <f>IFERROR(M148/M117,"")</f>
        <v/>
      </c>
      <c r="N248" s="518">
        <f>IFERROR(N148/N117,"")</f>
        <v/>
      </c>
    </row>
    <row r="249">
      <c r="A249" t="inlineStr">
        <is>
          <t>FY2026</t>
        </is>
      </c>
      <c r="B249" s="518">
        <f>IFERROR(B149/B118,"")</f>
        <v/>
      </c>
      <c r="C249" s="518">
        <f>IFERROR(C149/C118,"")</f>
        <v/>
      </c>
      <c r="D249" s="518">
        <f>IFERROR(D149/D118,"")</f>
        <v/>
      </c>
      <c r="E249" s="518">
        <f>IFERROR(E149/E118,"")</f>
        <v/>
      </c>
      <c r="F249" s="518">
        <f>IFERROR(F149/F118,"")</f>
        <v/>
      </c>
      <c r="G249" s="518">
        <f>IFERROR(G149/G118,"")</f>
        <v/>
      </c>
      <c r="H249" s="518">
        <f>IFERROR(H149/H118,"")</f>
        <v/>
      </c>
      <c r="I249" s="518">
        <f>IFERROR(I149/I118,"")</f>
        <v/>
      </c>
      <c r="J249" s="518">
        <f>IFERROR(J149/J118,"")</f>
        <v/>
      </c>
      <c r="K249" s="518">
        <f>IFERROR(K149/K118,"")</f>
        <v/>
      </c>
      <c r="L249" s="518">
        <f>IFERROR(L149/L118,"")</f>
        <v/>
      </c>
      <c r="M249" s="518">
        <f>IFERROR(M149/M118,"")</f>
        <v/>
      </c>
      <c r="N249" s="518">
        <f>IFERROR(N149/N118,"")</f>
        <v/>
      </c>
    </row>
    <row r="250">
      <c r="A250" t="inlineStr">
        <is>
          <t>FY2027</t>
        </is>
      </c>
      <c r="B250" s="518">
        <f>IFERROR(B150/B119,"")</f>
        <v/>
      </c>
      <c r="C250" s="518">
        <f>IFERROR(C150/C119,"")</f>
        <v/>
      </c>
      <c r="D250" s="518">
        <f>IFERROR(D150/D119,"")</f>
        <v/>
      </c>
      <c r="E250" s="518">
        <f>IFERROR(E150/E119,"")</f>
        <v/>
      </c>
      <c r="F250" s="518">
        <f>IFERROR(F150/F119,"")</f>
        <v/>
      </c>
      <c r="G250" s="518">
        <f>IFERROR(G150/G119,"")</f>
        <v/>
      </c>
      <c r="H250" s="518">
        <f>IFERROR(H150/H119,"")</f>
        <v/>
      </c>
      <c r="I250" s="518">
        <f>IFERROR(I150/I119,"")</f>
        <v/>
      </c>
      <c r="J250" s="518">
        <f>IFERROR(J150/J119,"")</f>
        <v/>
      </c>
      <c r="K250" s="518">
        <f>IFERROR(K150/K119,"")</f>
        <v/>
      </c>
      <c r="L250" s="518">
        <f>IFERROR(L150/L119,"")</f>
        <v/>
      </c>
      <c r="M250" s="518">
        <f>IFERROR(M150/M119,"")</f>
        <v/>
      </c>
      <c r="N250" s="518">
        <f>IFERROR(N150/N119,"")</f>
        <v/>
      </c>
    </row>
    <row r="251">
      <c r="A251" t="inlineStr">
        <is>
          <t>FY2028</t>
        </is>
      </c>
      <c r="B251" s="518">
        <f>IFERROR(B151/B120,"")</f>
        <v/>
      </c>
      <c r="C251" s="518">
        <f>IFERROR(C151/C120,"")</f>
        <v/>
      </c>
      <c r="D251" s="518">
        <f>IFERROR(D151/D120,"")</f>
        <v/>
      </c>
      <c r="E251" s="518">
        <f>IFERROR(E151/E120,"")</f>
        <v/>
      </c>
      <c r="F251" s="518">
        <f>IFERROR(F151/F120,"")</f>
        <v/>
      </c>
      <c r="G251" s="518">
        <f>IFERROR(G151/G120,"")</f>
        <v/>
      </c>
      <c r="H251" s="518">
        <f>IFERROR(H151/H120,"")</f>
        <v/>
      </c>
      <c r="I251" s="518">
        <f>IFERROR(I151/I120,"")</f>
        <v/>
      </c>
      <c r="J251" s="518">
        <f>IFERROR(J151/J120,"")</f>
        <v/>
      </c>
      <c r="K251" s="518">
        <f>IFERROR(K151/K120,"")</f>
        <v/>
      </c>
      <c r="L251" s="518">
        <f>IFERROR(L151/L120,"")</f>
        <v/>
      </c>
      <c r="M251" s="518">
        <f>IFERROR(M151/M120,"")</f>
        <v/>
      </c>
      <c r="N251" s="518">
        <f>IFERROR(N151/N120,"")</f>
        <v/>
      </c>
    </row>
    <row r="252">
      <c r="A252" t="inlineStr">
        <is>
          <t>FY2029</t>
        </is>
      </c>
      <c r="B252" s="518">
        <f>IFERROR(B152/B121,"")</f>
        <v/>
      </c>
      <c r="C252" s="518">
        <f>IFERROR(C152/C121,"")</f>
        <v/>
      </c>
      <c r="D252" s="518">
        <f>IFERROR(D152/D121,"")</f>
        <v/>
      </c>
      <c r="E252" s="518">
        <f>IFERROR(E152/E121,"")</f>
        <v/>
      </c>
      <c r="F252" s="518">
        <f>IFERROR(F152/F121,"")</f>
        <v/>
      </c>
      <c r="G252" s="518">
        <f>IFERROR(G152/G121,"")</f>
        <v/>
      </c>
      <c r="H252" s="518">
        <f>IFERROR(H152/H121,"")</f>
        <v/>
      </c>
      <c r="I252" s="518">
        <f>IFERROR(I152/I121,"")</f>
        <v/>
      </c>
      <c r="J252" s="518">
        <f>IFERROR(J152/J121,"")</f>
        <v/>
      </c>
      <c r="K252" s="518">
        <f>IFERROR(K152/K121,"")</f>
        <v/>
      </c>
      <c r="L252" s="518">
        <f>IFERROR(L152/L121,"")</f>
        <v/>
      </c>
      <c r="M252" s="518">
        <f>IFERROR(M152/M121,"")</f>
        <v/>
      </c>
      <c r="N252" s="518">
        <f>IFERROR(N152/N121,"")</f>
        <v/>
      </c>
    </row>
    <row r="253">
      <c r="A253" t="inlineStr">
        <is>
          <t>FY2030</t>
        </is>
      </c>
      <c r="B253" s="518">
        <f>IFERROR(B153/B122,"")</f>
        <v/>
      </c>
      <c r="C253" s="518">
        <f>IFERROR(C153/C122,"")</f>
        <v/>
      </c>
      <c r="D253" s="518">
        <f>IFERROR(D153/D122,"")</f>
        <v/>
      </c>
      <c r="E253" s="518">
        <f>IFERROR(E153/E122,"")</f>
        <v/>
      </c>
      <c r="F253" s="518">
        <f>IFERROR(F153/F122,"")</f>
        <v/>
      </c>
      <c r="G253" s="518">
        <f>IFERROR(G153/G122,"")</f>
        <v/>
      </c>
      <c r="H253" s="518">
        <f>IFERROR(H153/H122,"")</f>
        <v/>
      </c>
      <c r="I253" s="518">
        <f>IFERROR(I153/I122,"")</f>
        <v/>
      </c>
      <c r="J253" s="518">
        <f>IFERROR(J153/J122,"")</f>
        <v/>
      </c>
      <c r="K253" s="518">
        <f>IFERROR(K153/K122,"")</f>
        <v/>
      </c>
      <c r="L253" s="518">
        <f>IFERROR(L153/L122,"")</f>
        <v/>
      </c>
      <c r="M253" s="518">
        <f>IFERROR(M153/M122,"")</f>
        <v/>
      </c>
      <c r="N253" s="518">
        <f>IFERROR(N153/N122,"")</f>
        <v/>
      </c>
    </row>
    <row r="254">
      <c r="A254" s="530" t="inlineStr">
        <is>
          <t>※ 실효단가 = 조제액 ÷ 처방량. 모델의 단가(시장매출수량 T당 615.6원)와는 기준이 달라 수준이 다릅니다. 약가 변동이 실제로 반영되는지 감시하는 용도입니다.</t>
        </is>
      </c>
    </row>
    <row r="256">
      <c r="A256" s="526" t="inlineStr">
        <is>
          <t>■ G. ARB+CCB+DU 복합제 시장 처방량 Total (HP+GP, 수식) + 월별 롤링 성장률</t>
        </is>
      </c>
    </row>
    <row r="257">
      <c r="A257" s="527" t="inlineStr">
        <is>
          <t>[Total] FY ＼ 월</t>
        </is>
      </c>
      <c r="B257" s="528" t="inlineStr">
        <is>
          <t>4월</t>
        </is>
      </c>
      <c r="C257" s="528" t="inlineStr">
        <is>
          <t>5월</t>
        </is>
      </c>
      <c r="D257" s="528" t="inlineStr">
        <is>
          <t>6월</t>
        </is>
      </c>
      <c r="E257" s="528" t="inlineStr">
        <is>
          <t>7월</t>
        </is>
      </c>
      <c r="F257" s="528" t="inlineStr">
        <is>
          <t>8월</t>
        </is>
      </c>
      <c r="G257" s="528" t="inlineStr">
        <is>
          <t>9월</t>
        </is>
      </c>
      <c r="H257" s="528" t="inlineStr">
        <is>
          <t>10월</t>
        </is>
      </c>
      <c r="I257" s="528" t="inlineStr">
        <is>
          <t>11월</t>
        </is>
      </c>
      <c r="J257" s="528" t="inlineStr">
        <is>
          <t>12월</t>
        </is>
      </c>
      <c r="K257" s="528" t="inlineStr">
        <is>
          <t>1월</t>
        </is>
      </c>
      <c r="L257" s="528" t="inlineStr">
        <is>
          <t>2월</t>
        </is>
      </c>
      <c r="M257" s="528" t="inlineStr">
        <is>
          <t>3월</t>
        </is>
      </c>
      <c r="N257" s="527" t="inlineStr">
        <is>
          <t>FY 합계</t>
        </is>
      </c>
      <c r="O257" s="527" t="inlineStr">
        <is>
          <t>실측월수</t>
        </is>
      </c>
      <c r="P257" s="527" t="inlineStr">
        <is>
          <t>전년동기YTD</t>
        </is>
      </c>
      <c r="Q257" s="527" t="inlineStr">
        <is>
          <t>YTD YoY</t>
        </is>
      </c>
      <c r="R257" s="527" t="inlineStr">
        <is>
          <t>장기평균prior</t>
        </is>
      </c>
      <c r="S257" s="527" t="inlineStr">
        <is>
          <t>가중치w</t>
        </is>
      </c>
      <c r="T257" s="527" t="inlineStr">
        <is>
          <t>최종성장률</t>
        </is>
      </c>
      <c r="U257" s="527" t="inlineStr">
        <is>
          <t>연환산처방량</t>
        </is>
      </c>
    </row>
    <row r="258">
      <c r="A258" t="inlineStr">
        <is>
          <t>FY2018</t>
        </is>
      </c>
      <c r="B258" s="493">
        <f>IF(COUNT(B33,B48)=0,"",SUM(B33,B48))</f>
        <v/>
      </c>
      <c r="C258" s="493">
        <f>IF(COUNT(C33,C48)=0,"",SUM(C33,C48))</f>
        <v/>
      </c>
      <c r="D258" s="493">
        <f>IF(COUNT(D33,D48)=0,"",SUM(D33,D48))</f>
        <v/>
      </c>
      <c r="E258" s="493">
        <f>IF(COUNT(E33,E48)=0,"",SUM(E33,E48))</f>
        <v/>
      </c>
      <c r="F258" s="493">
        <f>IF(COUNT(F33,F48)=0,"",SUM(F33,F48))</f>
        <v/>
      </c>
      <c r="G258" s="493">
        <f>IF(COUNT(G33,G48)=0,"",SUM(G33,G48))</f>
        <v/>
      </c>
      <c r="H258" s="493">
        <f>IF(COUNT(H33,H48)=0,"",SUM(H33,H48))</f>
        <v/>
      </c>
      <c r="I258" s="493">
        <f>IF(COUNT(I33,I48)=0,"",SUM(I33,I48))</f>
        <v/>
      </c>
      <c r="J258" s="493">
        <f>IF(COUNT(J33,J48)=0,"",SUM(J33,J48))</f>
        <v/>
      </c>
      <c r="K258" s="493">
        <f>IF(COUNT(K33,K48)=0,"",SUM(K33,K48))</f>
        <v/>
      </c>
      <c r="L258" s="493">
        <f>IF(COUNT(L33,L48)=0,"",SUM(L33,L48))</f>
        <v/>
      </c>
      <c r="M258" s="493">
        <f>IF(COUNT(M33,M48)=0,"",SUM(M33,M48))</f>
        <v/>
      </c>
      <c r="N258" s="493">
        <f>SUM(B258:M258)</f>
        <v/>
      </c>
      <c r="O258">
        <f>COUNT(B258:M258)</f>
        <v/>
      </c>
    </row>
    <row r="259">
      <c r="A259" t="inlineStr">
        <is>
          <t>FY2019</t>
        </is>
      </c>
      <c r="B259" s="493">
        <f>IF(COUNT(B34,B49)=0,"",SUM(B34,B49))</f>
        <v/>
      </c>
      <c r="C259" s="493">
        <f>IF(COUNT(C34,C49)=0,"",SUM(C34,C49))</f>
        <v/>
      </c>
      <c r="D259" s="493">
        <f>IF(COUNT(D34,D49)=0,"",SUM(D34,D49))</f>
        <v/>
      </c>
      <c r="E259" s="493">
        <f>IF(COUNT(E34,E49)=0,"",SUM(E34,E49))</f>
        <v/>
      </c>
      <c r="F259" s="493">
        <f>IF(COUNT(F34,F49)=0,"",SUM(F34,F49))</f>
        <v/>
      </c>
      <c r="G259" s="493">
        <f>IF(COUNT(G34,G49)=0,"",SUM(G34,G49))</f>
        <v/>
      </c>
      <c r="H259" s="493">
        <f>IF(COUNT(H34,H49)=0,"",SUM(H34,H49))</f>
        <v/>
      </c>
      <c r="I259" s="493">
        <f>IF(COUNT(I34,I49)=0,"",SUM(I34,I49))</f>
        <v/>
      </c>
      <c r="J259" s="493">
        <f>IF(COUNT(J34,J49)=0,"",SUM(J34,J49))</f>
        <v/>
      </c>
      <c r="K259" s="493">
        <f>IF(COUNT(K34,K49)=0,"",SUM(K34,K49))</f>
        <v/>
      </c>
      <c r="L259" s="493">
        <f>IF(COUNT(L34,L49)=0,"",SUM(L34,L49))</f>
        <v/>
      </c>
      <c r="M259" s="493">
        <f>IF(COUNT(M34,M49)=0,"",SUM(M34,M49))</f>
        <v/>
      </c>
      <c r="N259" s="493">
        <f>SUM(B259:M259)</f>
        <v/>
      </c>
      <c r="O259">
        <f>COUNT(B259:M259)</f>
        <v/>
      </c>
      <c r="P259" s="493">
        <f>IF(O259=0,0,SUM($B$258:INDEX($B$258:$M$258,O259)))</f>
        <v/>
      </c>
      <c r="Q259" s="401">
        <f>IF(OR(O259=0,P259=0),"",N259/P259-1)</f>
        <v/>
      </c>
    </row>
    <row r="260">
      <c r="A260" t="inlineStr">
        <is>
          <t>FY2020</t>
        </is>
      </c>
      <c r="B260" s="493">
        <f>IF(COUNT(B35,B50)=0,"",SUM(B35,B50))</f>
        <v/>
      </c>
      <c r="C260" s="493">
        <f>IF(COUNT(C35,C50)=0,"",SUM(C35,C50))</f>
        <v/>
      </c>
      <c r="D260" s="493">
        <f>IF(COUNT(D35,D50)=0,"",SUM(D35,D50))</f>
        <v/>
      </c>
      <c r="E260" s="493">
        <f>IF(COUNT(E35,E50)=0,"",SUM(E35,E50))</f>
        <v/>
      </c>
      <c r="F260" s="493">
        <f>IF(COUNT(F35,F50)=0,"",SUM(F35,F50))</f>
        <v/>
      </c>
      <c r="G260" s="493">
        <f>IF(COUNT(G35,G50)=0,"",SUM(G35,G50))</f>
        <v/>
      </c>
      <c r="H260" s="493">
        <f>IF(COUNT(H35,H50)=0,"",SUM(H35,H50))</f>
        <v/>
      </c>
      <c r="I260" s="493">
        <f>IF(COUNT(I35,I50)=0,"",SUM(I35,I50))</f>
        <v/>
      </c>
      <c r="J260" s="493">
        <f>IF(COUNT(J35,J50)=0,"",SUM(J35,J50))</f>
        <v/>
      </c>
      <c r="K260" s="493">
        <f>IF(COUNT(K35,K50)=0,"",SUM(K35,K50))</f>
        <v/>
      </c>
      <c r="L260" s="493">
        <f>IF(COUNT(L35,L50)=0,"",SUM(L35,L50))</f>
        <v/>
      </c>
      <c r="M260" s="493">
        <f>IF(COUNT(M35,M50)=0,"",SUM(M35,M50))</f>
        <v/>
      </c>
      <c r="N260" s="493">
        <f>SUM(B260:M260)</f>
        <v/>
      </c>
      <c r="O260">
        <f>COUNT(B260:M260)</f>
        <v/>
      </c>
      <c r="P260" s="493">
        <f>IF(O260=0,0,SUM($B$259:INDEX($B$259:$M$259,O260)))</f>
        <v/>
      </c>
      <c r="Q260" s="401">
        <f>IF(OR(O260=0,P260=0),"",N260/P260-1)</f>
        <v/>
      </c>
    </row>
    <row r="261">
      <c r="A261" t="inlineStr">
        <is>
          <t>FY2021</t>
        </is>
      </c>
      <c r="B261" s="493">
        <f>IF(COUNT(B36,B51)=0,"",SUM(B36,B51))</f>
        <v/>
      </c>
      <c r="C261" s="493">
        <f>IF(COUNT(C36,C51)=0,"",SUM(C36,C51))</f>
        <v/>
      </c>
      <c r="D261" s="493">
        <f>IF(COUNT(D36,D51)=0,"",SUM(D36,D51))</f>
        <v/>
      </c>
      <c r="E261" s="493">
        <f>IF(COUNT(E36,E51)=0,"",SUM(E36,E51))</f>
        <v/>
      </c>
      <c r="F261" s="493">
        <f>IF(COUNT(F36,F51)=0,"",SUM(F36,F51))</f>
        <v/>
      </c>
      <c r="G261" s="493">
        <f>IF(COUNT(G36,G51)=0,"",SUM(G36,G51))</f>
        <v/>
      </c>
      <c r="H261" s="493">
        <f>IF(COUNT(H36,H51)=0,"",SUM(H36,H51))</f>
        <v/>
      </c>
      <c r="I261" s="493">
        <f>IF(COUNT(I36,I51)=0,"",SUM(I36,I51))</f>
        <v/>
      </c>
      <c r="J261" s="493">
        <f>IF(COUNT(J36,J51)=0,"",SUM(J36,J51))</f>
        <v/>
      </c>
      <c r="K261" s="493">
        <f>IF(COUNT(K36,K51)=0,"",SUM(K36,K51))</f>
        <v/>
      </c>
      <c r="L261" s="493">
        <f>IF(COUNT(L36,L51)=0,"",SUM(L36,L51))</f>
        <v/>
      </c>
      <c r="M261" s="493">
        <f>IF(COUNT(M36,M51)=0,"",SUM(M36,M51))</f>
        <v/>
      </c>
      <c r="N261" s="493">
        <f>SUM(B261:M261)</f>
        <v/>
      </c>
      <c r="O261">
        <f>COUNT(B261:M261)</f>
        <v/>
      </c>
      <c r="P261" s="493">
        <f>IF(O261=0,0,SUM($B$260:INDEX($B$260:$M$260,O261)))</f>
        <v/>
      </c>
      <c r="Q261" s="401">
        <f>IF(OR(O261=0,P261=0),"",N261/P261-1)</f>
        <v/>
      </c>
    </row>
    <row r="262">
      <c r="A262" t="inlineStr">
        <is>
          <t>FY2022</t>
        </is>
      </c>
      <c r="B262" s="493">
        <f>IF(COUNT(B37,B52)=0,"",SUM(B37,B52))</f>
        <v/>
      </c>
      <c r="C262" s="493">
        <f>IF(COUNT(C37,C52)=0,"",SUM(C37,C52))</f>
        <v/>
      </c>
      <c r="D262" s="493">
        <f>IF(COUNT(D37,D52)=0,"",SUM(D37,D52))</f>
        <v/>
      </c>
      <c r="E262" s="493">
        <f>IF(COUNT(E37,E52)=0,"",SUM(E37,E52))</f>
        <v/>
      </c>
      <c r="F262" s="493">
        <f>IF(COUNT(F37,F52)=0,"",SUM(F37,F52))</f>
        <v/>
      </c>
      <c r="G262" s="493">
        <f>IF(COUNT(G37,G52)=0,"",SUM(G37,G52))</f>
        <v/>
      </c>
      <c r="H262" s="493">
        <f>IF(COUNT(H37,H52)=0,"",SUM(H37,H52))</f>
        <v/>
      </c>
      <c r="I262" s="493">
        <f>IF(COUNT(I37,I52)=0,"",SUM(I37,I52))</f>
        <v/>
      </c>
      <c r="J262" s="493">
        <f>IF(COUNT(J37,J52)=0,"",SUM(J37,J52))</f>
        <v/>
      </c>
      <c r="K262" s="493">
        <f>IF(COUNT(K37,K52)=0,"",SUM(K37,K52))</f>
        <v/>
      </c>
      <c r="L262" s="493">
        <f>IF(COUNT(L37,L52)=0,"",SUM(L37,L52))</f>
        <v/>
      </c>
      <c r="M262" s="493">
        <f>IF(COUNT(M37,M52)=0,"",SUM(M37,M52))</f>
        <v/>
      </c>
      <c r="N262" s="493">
        <f>SUM(B262:M262)</f>
        <v/>
      </c>
      <c r="O262">
        <f>COUNT(B262:M262)</f>
        <v/>
      </c>
      <c r="P262" s="493">
        <f>IF(O262=0,0,SUM($B$261:INDEX($B$261:$M$261,O262)))</f>
        <v/>
      </c>
      <c r="Q262" s="401">
        <f>IF(OR(O262=0,P262=0),"",N262/P262-1)</f>
        <v/>
      </c>
    </row>
    <row r="263">
      <c r="A263" t="inlineStr">
        <is>
          <t>FY2023</t>
        </is>
      </c>
      <c r="B263" s="493">
        <f>IF(COUNT(B38,B53)=0,"",SUM(B38,B53))</f>
        <v/>
      </c>
      <c r="C263" s="493">
        <f>IF(COUNT(C38,C53)=0,"",SUM(C38,C53))</f>
        <v/>
      </c>
      <c r="D263" s="493">
        <f>IF(COUNT(D38,D53)=0,"",SUM(D38,D53))</f>
        <v/>
      </c>
      <c r="E263" s="493">
        <f>IF(COUNT(E38,E53)=0,"",SUM(E38,E53))</f>
        <v/>
      </c>
      <c r="F263" s="493">
        <f>IF(COUNT(F38,F53)=0,"",SUM(F38,F53))</f>
        <v/>
      </c>
      <c r="G263" s="493">
        <f>IF(COUNT(G38,G53)=0,"",SUM(G38,G53))</f>
        <v/>
      </c>
      <c r="H263" s="493">
        <f>IF(COUNT(H38,H53)=0,"",SUM(H38,H53))</f>
        <v/>
      </c>
      <c r="I263" s="493">
        <f>IF(COUNT(I38,I53)=0,"",SUM(I38,I53))</f>
        <v/>
      </c>
      <c r="J263" s="493">
        <f>IF(COUNT(J38,J53)=0,"",SUM(J38,J53))</f>
        <v/>
      </c>
      <c r="K263" s="493">
        <f>IF(COUNT(K38,K53)=0,"",SUM(K38,K53))</f>
        <v/>
      </c>
      <c r="L263" s="493">
        <f>IF(COUNT(L38,L53)=0,"",SUM(L38,L53))</f>
        <v/>
      </c>
      <c r="M263" s="493">
        <f>IF(COUNT(M38,M53)=0,"",SUM(M38,M53))</f>
        <v/>
      </c>
      <c r="N263" s="493">
        <f>SUM(B263:M263)</f>
        <v/>
      </c>
      <c r="O263">
        <f>COUNT(B263:M263)</f>
        <v/>
      </c>
      <c r="P263" s="493">
        <f>IF(O263=0,0,SUM($B$262:INDEX($B$262:$M$262,O263)))</f>
        <v/>
      </c>
      <c r="Q263" s="401">
        <f>IF(OR(O263=0,P263=0),"",N263/P263-1)</f>
        <v/>
      </c>
    </row>
    <row r="264">
      <c r="A264" t="inlineStr">
        <is>
          <t>FY2024</t>
        </is>
      </c>
      <c r="B264" s="493">
        <f>IF(COUNT(B39,B54)=0,"",SUM(B39,B54))</f>
        <v/>
      </c>
      <c r="C264" s="493">
        <f>IF(COUNT(C39,C54)=0,"",SUM(C39,C54))</f>
        <v/>
      </c>
      <c r="D264" s="493">
        <f>IF(COUNT(D39,D54)=0,"",SUM(D39,D54))</f>
        <v/>
      </c>
      <c r="E264" s="493">
        <f>IF(COUNT(E39,E54)=0,"",SUM(E39,E54))</f>
        <v/>
      </c>
      <c r="F264" s="493">
        <f>IF(COUNT(F39,F54)=0,"",SUM(F39,F54))</f>
        <v/>
      </c>
      <c r="G264" s="493">
        <f>IF(COUNT(G39,G54)=0,"",SUM(G39,G54))</f>
        <v/>
      </c>
      <c r="H264" s="493">
        <f>IF(COUNT(H39,H54)=0,"",SUM(H39,H54))</f>
        <v/>
      </c>
      <c r="I264" s="493">
        <f>IF(COUNT(I39,I54)=0,"",SUM(I39,I54))</f>
        <v/>
      </c>
      <c r="J264" s="493">
        <f>IF(COUNT(J39,J54)=0,"",SUM(J39,J54))</f>
        <v/>
      </c>
      <c r="K264" s="493">
        <f>IF(COUNT(K39,K54)=0,"",SUM(K39,K54))</f>
        <v/>
      </c>
      <c r="L264" s="493">
        <f>IF(COUNT(L39,L54)=0,"",SUM(L39,L54))</f>
        <v/>
      </c>
      <c r="M264" s="493">
        <f>IF(COUNT(M39,M54)=0,"",SUM(M39,M54))</f>
        <v/>
      </c>
      <c r="N264" s="493">
        <f>SUM(B264:M264)</f>
        <v/>
      </c>
      <c r="O264">
        <f>COUNT(B264:M264)</f>
        <v/>
      </c>
      <c r="P264" s="493">
        <f>IF(O264=0,0,SUM($B$263:INDEX($B$263:$M$263,O264)))</f>
        <v/>
      </c>
      <c r="Q264" s="401">
        <f>IF(OR(O264=0,P264=0),"",N264/P264-1)</f>
        <v/>
      </c>
    </row>
    <row r="265">
      <c r="A265" t="inlineStr">
        <is>
          <t>FY2025</t>
        </is>
      </c>
      <c r="B265" s="493">
        <f>IF(COUNT(B40,B55)=0,"",SUM(B40,B55))</f>
        <v/>
      </c>
      <c r="C265" s="493">
        <f>IF(COUNT(C40,C55)=0,"",SUM(C40,C55))</f>
        <v/>
      </c>
      <c r="D265" s="493">
        <f>IF(COUNT(D40,D55)=0,"",SUM(D40,D55))</f>
        <v/>
      </c>
      <c r="E265" s="493">
        <f>IF(COUNT(E40,E55)=0,"",SUM(E40,E55))</f>
        <v/>
      </c>
      <c r="F265" s="493">
        <f>IF(COUNT(F40,F55)=0,"",SUM(F40,F55))</f>
        <v/>
      </c>
      <c r="G265" s="493">
        <f>IF(COUNT(G40,G55)=0,"",SUM(G40,G55))</f>
        <v/>
      </c>
      <c r="H265" s="493">
        <f>IF(COUNT(H40,H55)=0,"",SUM(H40,H55))</f>
        <v/>
      </c>
      <c r="I265" s="493">
        <f>IF(COUNT(I40,I55)=0,"",SUM(I40,I55))</f>
        <v/>
      </c>
      <c r="J265" s="493">
        <f>IF(COUNT(J40,J55)=0,"",SUM(J40,J55))</f>
        <v/>
      </c>
      <c r="K265" s="493">
        <f>IF(COUNT(K40,K55)=0,"",SUM(K40,K55))</f>
        <v/>
      </c>
      <c r="L265" s="493">
        <f>IF(COUNT(L40,L55)=0,"",SUM(L40,L55))</f>
        <v/>
      </c>
      <c r="M265" s="493">
        <f>IF(COUNT(M40,M55)=0,"",SUM(M40,M55))</f>
        <v/>
      </c>
      <c r="N265" s="493">
        <f>SUM(B265:M265)</f>
        <v/>
      </c>
      <c r="O265">
        <f>COUNT(B265:M265)</f>
        <v/>
      </c>
      <c r="P265" s="493">
        <f>IF(O265=0,0,SUM($B$264:INDEX($B$264:$M$264,O265)))</f>
        <v/>
      </c>
      <c r="Q265" s="401">
        <f>IF(OR(O265=0,P265=0),"",N265/P265-1)</f>
        <v/>
      </c>
    </row>
    <row r="266">
      <c r="A266" t="inlineStr">
        <is>
          <t>FY2026</t>
        </is>
      </c>
      <c r="B266" s="493">
        <f>IF(COUNT(B41,B56)=0,"",SUM(B41,B56))</f>
        <v/>
      </c>
      <c r="C266" s="493">
        <f>IF(COUNT(C41,C56)=0,"",SUM(C41,C56))</f>
        <v/>
      </c>
      <c r="D266" s="493">
        <f>IF(COUNT(D41,D56)=0,"",SUM(D41,D56))</f>
        <v/>
      </c>
      <c r="E266" s="493">
        <f>IF(COUNT(E41,E56)=0,"",SUM(E41,E56))</f>
        <v/>
      </c>
      <c r="F266" s="493">
        <f>IF(COUNT(F41,F56)=0,"",SUM(F41,F56))</f>
        <v/>
      </c>
      <c r="G266" s="493">
        <f>IF(COUNT(G41,G56)=0,"",SUM(G41,G56))</f>
        <v/>
      </c>
      <c r="H266" s="493">
        <f>IF(COUNT(H41,H56)=0,"",SUM(H41,H56))</f>
        <v/>
      </c>
      <c r="I266" s="493">
        <f>IF(COUNT(I41,I56)=0,"",SUM(I41,I56))</f>
        <v/>
      </c>
      <c r="J266" s="493">
        <f>IF(COUNT(J41,J56)=0,"",SUM(J41,J56))</f>
        <v/>
      </c>
      <c r="K266" s="493">
        <f>IF(COUNT(K41,K56)=0,"",SUM(K41,K56))</f>
        <v/>
      </c>
      <c r="L266" s="493">
        <f>IF(COUNT(L41,L56)=0,"",SUM(L41,L56))</f>
        <v/>
      </c>
      <c r="M266" s="493">
        <f>IF(COUNT(M41,M56)=0,"",SUM(M41,M56))</f>
        <v/>
      </c>
      <c r="N266" s="493">
        <f>SUM(B266:M266)</f>
        <v/>
      </c>
      <c r="O266">
        <f>COUNT(B266:M266)</f>
        <v/>
      </c>
      <c r="P266" s="493">
        <f>IF(O266=0,0,SUM($B$265:INDEX($B$265:$M$265,O266)))</f>
        <v/>
      </c>
      <c r="Q266" s="401">
        <f>IF(OR(O266=0,P266=0),"",N266/P266-1)</f>
        <v/>
      </c>
      <c r="R266" s="401">
        <f>AVERAGE('근거_ARB+CCB+DU복합제처방량'!H15/'근거_ARB+CCB+DU복합제처방량'!G15-1,'근거_ARB+CCB+DU복합제처방량'!I15/'근거_ARB+CCB+DU복합제처방량'!H15-1,'근거_ARB+CCB+DU복합제처방량'!J15/'근거_ARB+CCB+DU복합제처방량'!I15-1)</f>
        <v/>
      </c>
      <c r="S266" s="531">
        <f>IF(O266=0,"",IF(O266=1,0.3,IF(O266=2,0.7,0.9)))</f>
        <v/>
      </c>
      <c r="T266" s="401">
        <f>IF(O266=0,"",S266*Q266+(1-S266)*R266)</f>
        <v/>
      </c>
      <c r="U266" s="493">
        <f>IF(O266=0,"",'근거_ARB+CCB+DU복합제처방량'!I15*(1+T266))</f>
        <v/>
      </c>
    </row>
    <row r="267">
      <c r="A267" t="inlineStr">
        <is>
          <t>FY2027</t>
        </is>
      </c>
      <c r="B267" s="493">
        <f>IF(COUNT(B42,B57)=0,"",SUM(B42,B57))</f>
        <v/>
      </c>
      <c r="C267" s="493">
        <f>IF(COUNT(C42,C57)=0,"",SUM(C42,C57))</f>
        <v/>
      </c>
      <c r="D267" s="493">
        <f>IF(COUNT(D42,D57)=0,"",SUM(D42,D57))</f>
        <v/>
      </c>
      <c r="E267" s="493">
        <f>IF(COUNT(E42,E57)=0,"",SUM(E42,E57))</f>
        <v/>
      </c>
      <c r="F267" s="493">
        <f>IF(COUNT(F42,F57)=0,"",SUM(F42,F57))</f>
        <v/>
      </c>
      <c r="G267" s="493">
        <f>IF(COUNT(G42,G57)=0,"",SUM(G42,G57))</f>
        <v/>
      </c>
      <c r="H267" s="493">
        <f>IF(COUNT(H42,H57)=0,"",SUM(H42,H57))</f>
        <v/>
      </c>
      <c r="I267" s="493">
        <f>IF(COUNT(I42,I57)=0,"",SUM(I42,I57))</f>
        <v/>
      </c>
      <c r="J267" s="493">
        <f>IF(COUNT(J42,J57)=0,"",SUM(J42,J57))</f>
        <v/>
      </c>
      <c r="K267" s="493">
        <f>IF(COUNT(K42,K57)=0,"",SUM(K42,K57))</f>
        <v/>
      </c>
      <c r="L267" s="493">
        <f>IF(COUNT(L42,L57)=0,"",SUM(L42,L57))</f>
        <v/>
      </c>
      <c r="M267" s="493">
        <f>IF(COUNT(M42,M57)=0,"",SUM(M42,M57))</f>
        <v/>
      </c>
      <c r="N267" s="493">
        <f>SUM(B267:M267)</f>
        <v/>
      </c>
      <c r="O267">
        <f>COUNT(B267:M267)</f>
        <v/>
      </c>
      <c r="P267" s="493">
        <f>IF(O267=0,0,SUM($B$266:INDEX($B$266:$M$266,O267)))</f>
        <v/>
      </c>
      <c r="Q267" s="401">
        <f>IF(OR(O267=0,P267=0),"",N267/P267-1)</f>
        <v/>
      </c>
      <c r="R267" s="401">
        <f>AVERAGE('근거_ARB+CCB+DU복합제처방량'!I15/'근거_ARB+CCB+DU복합제처방량'!H15-1,'근거_ARB+CCB+DU복합제처방량'!J15/'근거_ARB+CCB+DU복합제처방량'!I15-1,'근거_ARB+CCB+DU복합제처방량'!K15/'근거_ARB+CCB+DU복합제처방량'!J15-1)</f>
        <v/>
      </c>
      <c r="S267" s="531">
        <f>IF(O267=0,"",IF(O267=1,0.3,IF(O267=2,0.7,0.9)))</f>
        <v/>
      </c>
      <c r="T267" s="401">
        <f>IF(O267=0,"",S267*Q267+(1-S267)*R267)</f>
        <v/>
      </c>
      <c r="U267" s="493">
        <f>IF(O267=0,"",'근거_ARB+CCB+DU복합제처방량'!J15*(1+T267))</f>
        <v/>
      </c>
    </row>
    <row r="268">
      <c r="A268" t="inlineStr">
        <is>
          <t>FY2028</t>
        </is>
      </c>
      <c r="B268" s="493">
        <f>IF(COUNT(B43,B58)=0,"",SUM(B43,B58))</f>
        <v/>
      </c>
      <c r="C268" s="493">
        <f>IF(COUNT(C43,C58)=0,"",SUM(C43,C58))</f>
        <v/>
      </c>
      <c r="D268" s="493">
        <f>IF(COUNT(D43,D58)=0,"",SUM(D43,D58))</f>
        <v/>
      </c>
      <c r="E268" s="493">
        <f>IF(COUNT(E43,E58)=0,"",SUM(E43,E58))</f>
        <v/>
      </c>
      <c r="F268" s="493">
        <f>IF(COUNT(F43,F58)=0,"",SUM(F43,F58))</f>
        <v/>
      </c>
      <c r="G268" s="493">
        <f>IF(COUNT(G43,G58)=0,"",SUM(G43,G58))</f>
        <v/>
      </c>
      <c r="H268" s="493">
        <f>IF(COUNT(H43,H58)=0,"",SUM(H43,H58))</f>
        <v/>
      </c>
      <c r="I268" s="493">
        <f>IF(COUNT(I43,I58)=0,"",SUM(I43,I58))</f>
        <v/>
      </c>
      <c r="J268" s="493">
        <f>IF(COUNT(J43,J58)=0,"",SUM(J43,J58))</f>
        <v/>
      </c>
      <c r="K268" s="493">
        <f>IF(COUNT(K43,K58)=0,"",SUM(K43,K58))</f>
        <v/>
      </c>
      <c r="L268" s="493">
        <f>IF(COUNT(L43,L58)=0,"",SUM(L43,L58))</f>
        <v/>
      </c>
      <c r="M268" s="493">
        <f>IF(COUNT(M43,M58)=0,"",SUM(M43,M58))</f>
        <v/>
      </c>
      <c r="N268" s="493">
        <f>SUM(B268:M268)</f>
        <v/>
      </c>
      <c r="O268">
        <f>COUNT(B268:M268)</f>
        <v/>
      </c>
      <c r="P268" s="493">
        <f>IF(O268=0,0,SUM($B$267:INDEX($B$267:$M$267,O268)))</f>
        <v/>
      </c>
      <c r="Q268" s="401">
        <f>IF(OR(O268=0,P268=0),"",N268/P268-1)</f>
        <v/>
      </c>
      <c r="R268" s="401">
        <f>AVERAGE('근거_ARB+CCB+DU복합제처방량'!J15/'근거_ARB+CCB+DU복합제처방량'!I15-1,'근거_ARB+CCB+DU복합제처방량'!K15/'근거_ARB+CCB+DU복합제처방량'!J15-1,'근거_ARB+CCB+DU복합제처방량'!L15/'근거_ARB+CCB+DU복합제처방량'!K15-1)</f>
        <v/>
      </c>
      <c r="S268" s="531">
        <f>IF(O268=0,"",IF(O268=1,0.3,IF(O268=2,0.7,0.9)))</f>
        <v/>
      </c>
      <c r="T268" s="401">
        <f>IF(O268=0,"",S268*Q268+(1-S268)*R268)</f>
        <v/>
      </c>
      <c r="U268" s="493">
        <f>IF(O268=0,"",'근거_ARB+CCB+DU복합제처방량'!K15*(1+T268))</f>
        <v/>
      </c>
    </row>
    <row r="269">
      <c r="A269" t="inlineStr">
        <is>
          <t>FY2029</t>
        </is>
      </c>
      <c r="B269" s="493">
        <f>IF(COUNT(B44,B59)=0,"",SUM(B44,B59))</f>
        <v/>
      </c>
      <c r="C269" s="493">
        <f>IF(COUNT(C44,C59)=0,"",SUM(C44,C59))</f>
        <v/>
      </c>
      <c r="D269" s="493">
        <f>IF(COUNT(D44,D59)=0,"",SUM(D44,D59))</f>
        <v/>
      </c>
      <c r="E269" s="493">
        <f>IF(COUNT(E44,E59)=0,"",SUM(E44,E59))</f>
        <v/>
      </c>
      <c r="F269" s="493">
        <f>IF(COUNT(F44,F59)=0,"",SUM(F44,F59))</f>
        <v/>
      </c>
      <c r="G269" s="493">
        <f>IF(COUNT(G44,G59)=0,"",SUM(G44,G59))</f>
        <v/>
      </c>
      <c r="H269" s="493">
        <f>IF(COUNT(H44,H59)=0,"",SUM(H44,H59))</f>
        <v/>
      </c>
      <c r="I269" s="493">
        <f>IF(COUNT(I44,I59)=0,"",SUM(I44,I59))</f>
        <v/>
      </c>
      <c r="J269" s="493">
        <f>IF(COUNT(J44,J59)=0,"",SUM(J44,J59))</f>
        <v/>
      </c>
      <c r="K269" s="493">
        <f>IF(COUNT(K44,K59)=0,"",SUM(K44,K59))</f>
        <v/>
      </c>
      <c r="L269" s="493">
        <f>IF(COUNT(L44,L59)=0,"",SUM(L44,L59))</f>
        <v/>
      </c>
      <c r="M269" s="493">
        <f>IF(COUNT(M44,M59)=0,"",SUM(M44,M59))</f>
        <v/>
      </c>
      <c r="N269" s="493">
        <f>SUM(B269:M269)</f>
        <v/>
      </c>
      <c r="O269">
        <f>COUNT(B269:M269)</f>
        <v/>
      </c>
      <c r="P269" s="493">
        <f>IF(O269=0,0,SUM($B$268:INDEX($B$268:$M$268,O269)))</f>
        <v/>
      </c>
      <c r="Q269" s="401">
        <f>IF(OR(O269=0,P269=0),"",N269/P269-1)</f>
        <v/>
      </c>
      <c r="R269" s="401">
        <f>AVERAGE('근거_ARB+CCB+DU복합제처방량'!K15/'근거_ARB+CCB+DU복합제처방량'!J15-1,'근거_ARB+CCB+DU복합제처방량'!L15/'근거_ARB+CCB+DU복합제처방량'!K15-1,'근거_ARB+CCB+DU복합제처방량'!M15/'근거_ARB+CCB+DU복합제처방량'!L15-1)</f>
        <v/>
      </c>
      <c r="S269" s="531">
        <f>IF(O269=0,"",IF(O269=1,0.3,IF(O269=2,0.7,0.9)))</f>
        <v/>
      </c>
      <c r="T269" s="401">
        <f>IF(O269=0,"",S269*Q269+(1-S269)*R269)</f>
        <v/>
      </c>
      <c r="U269" s="493">
        <f>IF(O269=0,"",'근거_ARB+CCB+DU복합제처방량'!L15*(1+T269))</f>
        <v/>
      </c>
    </row>
    <row r="270">
      <c r="A270" t="inlineStr">
        <is>
          <t>FY2030</t>
        </is>
      </c>
      <c r="B270" s="493">
        <f>IF(COUNT(B45,B60)=0,"",SUM(B45,B60))</f>
        <v/>
      </c>
      <c r="C270" s="493">
        <f>IF(COUNT(C45,C60)=0,"",SUM(C45,C60))</f>
        <v/>
      </c>
      <c r="D270" s="493">
        <f>IF(COUNT(D45,D60)=0,"",SUM(D45,D60))</f>
        <v/>
      </c>
      <c r="E270" s="493">
        <f>IF(COUNT(E45,E60)=0,"",SUM(E45,E60))</f>
        <v/>
      </c>
      <c r="F270" s="493">
        <f>IF(COUNT(F45,F60)=0,"",SUM(F45,F60))</f>
        <v/>
      </c>
      <c r="G270" s="493">
        <f>IF(COUNT(G45,G60)=0,"",SUM(G45,G60))</f>
        <v/>
      </c>
      <c r="H270" s="493">
        <f>IF(COUNT(H45,H60)=0,"",SUM(H45,H60))</f>
        <v/>
      </c>
      <c r="I270" s="493">
        <f>IF(COUNT(I45,I60)=0,"",SUM(I45,I60))</f>
        <v/>
      </c>
      <c r="J270" s="493">
        <f>IF(COUNT(J45,J60)=0,"",SUM(J45,J60))</f>
        <v/>
      </c>
      <c r="K270" s="493">
        <f>IF(COUNT(K45,K60)=0,"",SUM(K45,K60))</f>
        <v/>
      </c>
      <c r="L270" s="493">
        <f>IF(COUNT(L45,L60)=0,"",SUM(L45,L60))</f>
        <v/>
      </c>
      <c r="M270" s="493">
        <f>IF(COUNT(M45,M60)=0,"",SUM(M45,M60))</f>
        <v/>
      </c>
      <c r="N270" s="493">
        <f>SUM(B270:M270)</f>
        <v/>
      </c>
      <c r="O270">
        <f>COUNT(B270:M270)</f>
        <v/>
      </c>
      <c r="P270" s="493">
        <f>IF(O270=0,0,SUM($B$269:INDEX($B$269:$M$269,O270)))</f>
        <v/>
      </c>
      <c r="Q270" s="401">
        <f>IF(OR(O270=0,P270=0),"",N270/P270-1)</f>
        <v/>
      </c>
      <c r="R270" s="401">
        <f>AVERAGE('근거_ARB+CCB+DU복합제처방량'!L15/'근거_ARB+CCB+DU복합제처방량'!K15-1,'근거_ARB+CCB+DU복합제처방량'!M15/'근거_ARB+CCB+DU복합제처방량'!L15-1,'근거_ARB+CCB+DU복합제처방량'!N15/'근거_ARB+CCB+DU복합제처방량'!M15-1)</f>
        <v/>
      </c>
      <c r="S270" s="531">
        <f>IF(O270=0,"",IF(O270=1,0.3,IF(O270=2,0.7,0.9)))</f>
        <v/>
      </c>
      <c r="T270" s="401">
        <f>IF(O270=0,"",S270*Q270+(1-S270)*R270)</f>
        <v/>
      </c>
      <c r="U270" s="493">
        <f>IF(O270=0,"",'근거_ARB+CCB+DU복합제처방량'!M15*(1+T270))</f>
        <v/>
      </c>
    </row>
    <row r="272">
      <c r="A272" s="530" t="inlineStr">
        <is>
          <t>※ 연환산처방량(U열)은 참고 지표 — 모델의 복합제 처방량은 근거_ARB+CCB+DU복합제처방량 S-curve로 산출되며, 월별 실측이 쌓이면 이 값과의 괴리를 모니터링_월별에서 감시합니다.</t>
        </is>
      </c>
    </row>
    <row r="274">
      <c r="A274" s="526" t="inlineStr">
        <is>
          <t>■ H. 입력 정합 체크 — HP/GP 한쪽만 입력된 칸 수 (0이 정상)</t>
        </is>
      </c>
    </row>
    <row r="275">
      <c r="A275" t="inlineStr">
        <is>
          <t xml:space="preserve">  ARB+CCB+DU</t>
        </is>
      </c>
      <c r="B275">
        <f>SUMPRODUCT((ISNUMBER(B33:M45)&lt;&gt;ISNUMBER(B48:M60))*1)</f>
        <v/>
      </c>
    </row>
    <row r="276">
      <c r="A276" t="inlineStr">
        <is>
          <t xml:space="preserve">  Olmesartan 3제</t>
        </is>
      </c>
      <c r="B276">
        <f>SUMPRODUCT((ISNUMBER(B64:M76)&lt;&gt;ISNUMBER(B79:M91))*1)</f>
        <v/>
      </c>
    </row>
    <row r="277">
      <c r="A277" t="inlineStr">
        <is>
          <t xml:space="preserve">  세비카HCT</t>
        </is>
      </c>
      <c r="B277">
        <f>SUMPRODUCT((ISNUMBER(B95:M107)&lt;&gt;ISNUMBER(B110:M122))*1)</f>
        <v/>
      </c>
    </row>
    <row r="278">
      <c r="A278" t="inlineStr">
        <is>
          <t xml:space="preserve">  조제액</t>
        </is>
      </c>
      <c r="B278">
        <f>SUMPRODUCT((ISNUMBER(B126:M138)&lt;&gt;ISNUMBER(B141:M153))*1)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AA0A8"/>
    <outlinePr summaryBelow="1" summaryRight="1"/>
    <pageSetUpPr/>
  </sheetPr>
  <dimension ref="A2:R58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10" customWidth="1" style="9" min="5" max="5"/>
    <col width="12" customWidth="1" style="9" min="6" max="6"/>
    <col width="10" customWidth="1" style="9" min="7" max="7"/>
    <col width="10" customWidth="1" style="9" min="8" max="8"/>
    <col width="9" customWidth="1" style="9" min="9" max="9"/>
    <col width="8" customWidth="1" style="9" min="10" max="10"/>
    <col width="12" customWidth="1" style="9" min="11" max="11"/>
    <col width="10" customWidth="1" style="9" min="12" max="12"/>
    <col width="10" customWidth="1" style="9" min="13" max="13"/>
    <col width="9" customWidth="1" style="9" min="14" max="14"/>
    <col width="8" customWidth="1" style="9" min="15" max="15"/>
    <col width="10" customWidth="1" style="9" min="16" max="16"/>
    <col width="10" customWidth="1" style="9" min="17" max="17"/>
    <col width="10" customWidth="1" style="9" min="18" max="18"/>
  </cols>
  <sheetData>
    <row r="2">
      <c r="A2" s="495" t="inlineStr">
        <is>
          <t>모니터링_월별 — 벤치마크 이탈 감시</t>
        </is>
      </c>
    </row>
    <row r="3">
      <c r="A3" s="490" t="inlineStr">
        <is>
          <t>예측을 갱신하는 시트가 아닙니다. 월별 실측이 예측(벤치마크)에서 벗어났는지 판정합니다. 경보가 뜰 때만 예측 가정을 손댑니다</t>
        </is>
      </c>
    </row>
    <row r="5">
      <c r="A5" s="459" t="inlineStr">
        <is>
          <t>■ 파라미터</t>
        </is>
      </c>
    </row>
    <row r="6">
      <c r="A6" t="inlineStr">
        <is>
          <t xml:space="preserve">  제네릭 진입 관측 기준월 (yyyymm)</t>
        </is>
      </c>
      <c r="B6" s="532" t="n">
        <v>201904</v>
      </c>
      <c r="C6" s="473" t="inlineStr">
        <is>
          <t>성분 내 Original 비율 회귀의 기준. 실제 등재월과 다르면 이 칸만 고치면 국면 판정이 이동합니다.</t>
        </is>
      </c>
    </row>
    <row r="7">
      <c r="A7" t="inlineStr">
        <is>
          <t xml:space="preserve">  HP  slope (Original %p/년)</t>
        </is>
      </c>
      <c r="B7" s="533">
        <f>'근거_SVK HCT처방량'!E37</f>
        <v/>
      </c>
      <c r="C7" s="473" t="inlineStr">
        <is>
          <t>직접 선형회귀 기울기 (근거_SVK HCT처방량 ■파라미터 37행, 자동 연동)</t>
        </is>
      </c>
    </row>
    <row r="8">
      <c r="A8" t="inlineStr">
        <is>
          <t xml:space="preserve">  HP  intercept</t>
        </is>
      </c>
      <c r="B8" s="533">
        <f>'근거_SVK HCT처방량'!F37</f>
        <v/>
      </c>
      <c r="C8" s="473" t="inlineStr"/>
    </row>
    <row r="9">
      <c r="A9" t="inlineStr">
        <is>
          <t xml:space="preserve">  HP  anchor</t>
        </is>
      </c>
      <c r="B9" s="533">
        <f>'근거_SVK HCT처방량'!G37</f>
        <v/>
      </c>
      <c r="C9" s="473" t="inlineStr"/>
    </row>
    <row r="10">
      <c r="A10" t="inlineStr">
        <is>
          <t xml:space="preserve">  HP  SE (표준오차)</t>
        </is>
      </c>
      <c r="B10" s="534" t="n">
        <v>0.0035</v>
      </c>
      <c r="C10" s="473" t="inlineStr">
        <is>
          <t>±0.35%p (분기 실측 잔차 표준편차)</t>
        </is>
      </c>
    </row>
    <row r="11">
      <c r="A11" t="inlineStr">
        <is>
          <t xml:space="preserve">  GP  slope (로짓/년)</t>
        </is>
      </c>
      <c r="B11" s="533">
        <f>'근거_SVK HCT처방량'!E39</f>
        <v/>
      </c>
      <c r="C11" s="473" t="inlineStr">
        <is>
          <t>로짓 변환 회귀 기울기 (39행, 자동 연동)</t>
        </is>
      </c>
    </row>
    <row r="12">
      <c r="A12" t="inlineStr">
        <is>
          <t xml:space="preserve">  GP  intercept</t>
        </is>
      </c>
      <c r="B12" s="533">
        <f>'근거_SVK HCT처방량'!F39</f>
        <v/>
      </c>
      <c r="C12" s="473" t="inlineStr"/>
    </row>
    <row r="13">
      <c r="A13" t="inlineStr">
        <is>
          <t xml:space="preserve">  GP  anchor</t>
        </is>
      </c>
      <c r="B13" s="533">
        <f>'근거_SVK HCT처방량'!G39</f>
        <v/>
      </c>
      <c r="C13" s="473" t="inlineStr"/>
    </row>
    <row r="14">
      <c r="A14" t="inlineStr">
        <is>
          <t xml:space="preserve">  GP  SE</t>
        </is>
      </c>
      <c r="B14" s="534" t="n">
        <v>0.0046</v>
      </c>
      <c r="C14" s="473" t="inlineStr">
        <is>
          <t>±0.46%p (분기 실측 잔차 표준편차)</t>
        </is>
      </c>
    </row>
    <row r="15">
      <c r="A15" t="inlineStr">
        <is>
          <t xml:space="preserve">  경보 임계 (SE 배수)</t>
        </is>
      </c>
      <c r="B15" s="532" t="n">
        <v>2</v>
      </c>
      <c r="C15" s="473" t="inlineStr">
        <is>
          <t>이탈폭이 이 배수를 넘고</t>
        </is>
      </c>
    </row>
    <row r="16">
      <c r="A16" t="inlineStr">
        <is>
          <t xml:space="preserve">  경보 연속 개월</t>
        </is>
      </c>
      <c r="B16" s="532" t="n">
        <v>2</v>
      </c>
      <c r="C16" s="473" t="inlineStr">
        <is>
          <t>연속 이 개월 이상이면 경보</t>
        </is>
      </c>
    </row>
    <row r="19">
      <c r="A19" s="459" t="inlineStr">
        <is>
          <t>■ 월별 감시표</t>
        </is>
      </c>
    </row>
    <row r="20">
      <c r="A20" s="535" t="inlineStr">
        <is>
          <t>연월</t>
        </is>
      </c>
      <c r="B20" s="535" t="inlineStr">
        <is>
          <t>국면</t>
        </is>
      </c>
      <c r="C20" s="535" t="inlineStr">
        <is>
          <t>ARB+CCB+DU 시장량</t>
        </is>
      </c>
      <c r="D20" s="535" t="inlineStr">
        <is>
          <t>3M 롤링</t>
        </is>
      </c>
      <c r="E20" s="535" t="inlineStr">
        <is>
          <t>YoY</t>
        </is>
      </c>
      <c r="F20" s="535" t="inlineStr">
        <is>
          <t>Orig비율 HP</t>
        </is>
      </c>
      <c r="G20" s="535" t="inlineStr">
        <is>
          <t>3M 롤링</t>
        </is>
      </c>
      <c r="H20" s="535" t="inlineStr">
        <is>
          <t>벤치마크</t>
        </is>
      </c>
      <c r="I20" s="535" t="inlineStr">
        <is>
          <t>이탈(%p)</t>
        </is>
      </c>
      <c r="J20" s="535" t="inlineStr">
        <is>
          <t>신호</t>
        </is>
      </c>
      <c r="K20" s="535" t="inlineStr">
        <is>
          <t>Orig비율 GP</t>
        </is>
      </c>
      <c r="L20" s="535" t="inlineStr">
        <is>
          <t>3M 롤링</t>
        </is>
      </c>
      <c r="M20" s="535" t="inlineStr">
        <is>
          <t>벤치마크</t>
        </is>
      </c>
      <c r="N20" s="535" t="inlineStr">
        <is>
          <t>이탈(%p)</t>
        </is>
      </c>
      <c r="O20" s="535" t="inlineStr">
        <is>
          <t>신호</t>
        </is>
      </c>
      <c r="P20" s="535" t="inlineStr">
        <is>
          <t>OlmMS HP</t>
        </is>
      </c>
      <c r="Q20" s="535" t="inlineStr">
        <is>
          <t>OlmMS GP</t>
        </is>
      </c>
      <c r="R20" s="535" t="inlineStr">
        <is>
          <t>세비카HCT단가 HP</t>
        </is>
      </c>
    </row>
    <row r="21">
      <c r="A21" t="inlineStr">
        <is>
          <t>2025-04</t>
        </is>
      </c>
      <c r="B21">
        <f>IF(202504&lt;$B$6,"진입전",IF(202504&lt;$B$6+600,"전환기","안정기"))</f>
        <v/>
      </c>
      <c r="C21" s="493">
        <f>IFERROR(IF(원본_월별!B265="","",원본_월별!B265),"")</f>
        <v/>
      </c>
      <c r="D21" s="493" t="inlineStr"/>
      <c r="E21" s="401">
        <f>IFERROR(IF(OR(C21="",원본_월별!B264=""),"",C21/원본_월별!B264-1),"")</f>
        <v/>
      </c>
      <c r="F21" s="401">
        <f>IFERROR(IF(원본_월별!B206="","",원본_월별!B206),"")</f>
        <v/>
      </c>
      <c r="G21" s="401" t="inlineStr"/>
      <c r="H21" s="401">
        <f>($B$7*2025.0000+$B$8+$B$9)/100</f>
        <v/>
      </c>
      <c r="I21" s="536">
        <f>IF(G21="","",G21-H21)</f>
        <v/>
      </c>
      <c r="J21">
        <f>IF(I21="","",IF(ABS(I21)&gt;$B$16*$B$10,IF(AND(ROW()&gt;21,ISNUMBER(I20),ABS(I20)&gt;$B$16*$B$10),"경보","주의"),"정상"))</f>
        <v/>
      </c>
      <c r="K21" s="401">
        <f>IFERROR(IF(원본_월별!B220="","",원본_월별!B220),"")</f>
        <v/>
      </c>
      <c r="L21" s="401" t="inlineStr"/>
      <c r="M21" s="401">
        <f>EXP($B$11*2025.0000+$B$12+$B$13)/(1+EXP($B$11*2025.0000+$B$12+$B$13))</f>
        <v/>
      </c>
      <c r="N21" s="536">
        <f>IF(L21="","",L21-M21)</f>
        <v/>
      </c>
      <c r="O21">
        <f>IF(N21="","",IF(ABS(N21)&gt;$B$16*$B$14,IF(AND(ROW()&gt;21,ISNUMBER(N20),ABS(N20)&gt;$B$16*$B$14),"경보","주의"),"정상"))</f>
        <v/>
      </c>
      <c r="P21" s="401">
        <f>IFERROR(IF(원본_월별!B178="","",원본_월별!B178),"")</f>
        <v/>
      </c>
      <c r="Q21" s="401">
        <f>IFERROR(IF(원본_월별!B192="","",원본_월별!B192),"")</f>
        <v/>
      </c>
      <c r="R21" s="518">
        <f>IFERROR(IF(원본_월별!B234="","",원본_월별!B234),"")</f>
        <v/>
      </c>
    </row>
    <row r="22">
      <c r="A22" t="inlineStr">
        <is>
          <t>2025-05</t>
        </is>
      </c>
      <c r="B22">
        <f>IF(202505&lt;$B$6,"진입전",IF(202505&lt;$B$6+600,"전환기","안정기"))</f>
        <v/>
      </c>
      <c r="C22" s="493">
        <f>IFERROR(IF(원본_월별!C265="","",원본_월별!C265),"")</f>
        <v/>
      </c>
      <c r="D22" s="493" t="inlineStr"/>
      <c r="E22" s="401">
        <f>IFERROR(IF(OR(C22="",원본_월별!C264=""),"",C22/원본_월별!C264-1),"")</f>
        <v/>
      </c>
      <c r="F22" s="401">
        <f>IFERROR(IF(원본_월별!C206="","",원본_월별!C206),"")</f>
        <v/>
      </c>
      <c r="G22" s="401" t="inlineStr"/>
      <c r="H22" s="401">
        <f>($B$7*2025.0833+$B$8+$B$9)/100</f>
        <v/>
      </c>
      <c r="I22" s="536">
        <f>IF(G22="","",G22-H22)</f>
        <v/>
      </c>
      <c r="J22">
        <f>IF(I22="","",IF(ABS(I22)&gt;$B$16*$B$10,IF(AND(ROW()&gt;21,ISNUMBER(I21),ABS(I21)&gt;$B$16*$B$10),"경보","주의"),"정상"))</f>
        <v/>
      </c>
      <c r="K22" s="401">
        <f>IFERROR(IF(원본_월별!C220="","",원본_월별!C220),"")</f>
        <v/>
      </c>
      <c r="L22" s="401" t="inlineStr"/>
      <c r="M22" s="401">
        <f>EXP($B$11*2025.0833+$B$12+$B$13)/(1+EXP($B$11*2025.0833+$B$12+$B$13))</f>
        <v/>
      </c>
      <c r="N22" s="536">
        <f>IF(L22="","",L22-M22)</f>
        <v/>
      </c>
      <c r="O22">
        <f>IF(N22="","",IF(ABS(N22)&gt;$B$16*$B$14,IF(AND(ROW()&gt;21,ISNUMBER(N21),ABS(N21)&gt;$B$16*$B$14),"경보","주의"),"정상"))</f>
        <v/>
      </c>
      <c r="P22" s="401">
        <f>IFERROR(IF(원본_월별!C178="","",원본_월별!C178),"")</f>
        <v/>
      </c>
      <c r="Q22" s="401">
        <f>IFERROR(IF(원본_월별!C192="","",원본_월별!C192),"")</f>
        <v/>
      </c>
      <c r="R22" s="518">
        <f>IFERROR(IF(원본_월별!C234="","",원본_월별!C234),"")</f>
        <v/>
      </c>
    </row>
    <row r="23">
      <c r="A23" t="inlineStr">
        <is>
          <t>2025-06</t>
        </is>
      </c>
      <c r="B23">
        <f>IF(202506&lt;$B$6,"진입전",IF(202506&lt;$B$6+600,"전환기","안정기"))</f>
        <v/>
      </c>
      <c r="C23" s="493">
        <f>IFERROR(IF(원본_월별!D265="","",원본_월별!D265),"")</f>
        <v/>
      </c>
      <c r="D23" s="493">
        <f>IF(COUNT(C21:C23)&lt;3,"",AVERAGE(C21:C23))</f>
        <v/>
      </c>
      <c r="E23" s="401">
        <f>IFERROR(IF(OR(C23="",원본_월별!D264=""),"",C23/원본_월별!D264-1),"")</f>
        <v/>
      </c>
      <c r="F23" s="401">
        <f>IFERROR(IF(원본_월별!D206="","",원본_월별!D206),"")</f>
        <v/>
      </c>
      <c r="G23" s="401">
        <f>IF(COUNT(F21:F23)&lt;3,"",AVERAGE(F21:F23))</f>
        <v/>
      </c>
      <c r="H23" s="401">
        <f>($B$7*2025.1667+$B$8+$B$9)/100</f>
        <v/>
      </c>
      <c r="I23" s="536">
        <f>IF(G23="","",G23-H23)</f>
        <v/>
      </c>
      <c r="J23">
        <f>IF(I23="","",IF(ABS(I23)&gt;$B$16*$B$10,IF(AND(ROW()&gt;21,ISNUMBER(I22),ABS(I22)&gt;$B$16*$B$10),"경보","주의"),"정상"))</f>
        <v/>
      </c>
      <c r="K23" s="401">
        <f>IFERROR(IF(원본_월별!D220="","",원본_월별!D220),"")</f>
        <v/>
      </c>
      <c r="L23" s="401">
        <f>IF(COUNT(K21:K23)&lt;3,"",AVERAGE(K21:K23))</f>
        <v/>
      </c>
      <c r="M23" s="401">
        <f>EXP($B$11*2025.1667+$B$12+$B$13)/(1+EXP($B$11*2025.1667+$B$12+$B$13))</f>
        <v/>
      </c>
      <c r="N23" s="536">
        <f>IF(L23="","",L23-M23)</f>
        <v/>
      </c>
      <c r="O23">
        <f>IF(N23="","",IF(ABS(N23)&gt;$B$16*$B$14,IF(AND(ROW()&gt;21,ISNUMBER(N22),ABS(N22)&gt;$B$16*$B$14),"경보","주의"),"정상"))</f>
        <v/>
      </c>
      <c r="P23" s="401">
        <f>IFERROR(IF(원본_월별!D178="","",원본_월별!D178),"")</f>
        <v/>
      </c>
      <c r="Q23" s="401">
        <f>IFERROR(IF(원본_월별!D192="","",원본_월별!D192),"")</f>
        <v/>
      </c>
      <c r="R23" s="518">
        <f>IFERROR(IF(원본_월별!D234="","",원본_월별!D234),"")</f>
        <v/>
      </c>
    </row>
    <row r="24">
      <c r="A24" t="inlineStr">
        <is>
          <t>2025-07</t>
        </is>
      </c>
      <c r="B24">
        <f>IF(202507&lt;$B$6,"진입전",IF(202507&lt;$B$6+600,"전환기","안정기"))</f>
        <v/>
      </c>
      <c r="C24" s="493">
        <f>IFERROR(IF(원본_월별!E265="","",원본_월별!E265),"")</f>
        <v/>
      </c>
      <c r="D24" s="493">
        <f>IF(COUNT(C22:C24)&lt;3,"",AVERAGE(C22:C24))</f>
        <v/>
      </c>
      <c r="E24" s="401">
        <f>IFERROR(IF(OR(C24="",원본_월별!E264=""),"",C24/원본_월별!E264-1),"")</f>
        <v/>
      </c>
      <c r="F24" s="401">
        <f>IFERROR(IF(원본_월별!E206="","",원본_월별!E206),"")</f>
        <v/>
      </c>
      <c r="G24" s="401">
        <f>IF(COUNT(F22:F24)&lt;3,"",AVERAGE(F22:F24))</f>
        <v/>
      </c>
      <c r="H24" s="401">
        <f>($B$7*2025.2500+$B$8+$B$9)/100</f>
        <v/>
      </c>
      <c r="I24" s="536">
        <f>IF(G24="","",G24-H24)</f>
        <v/>
      </c>
      <c r="J24">
        <f>IF(I24="","",IF(ABS(I24)&gt;$B$16*$B$10,IF(AND(ROW()&gt;21,ISNUMBER(I23),ABS(I23)&gt;$B$16*$B$10),"경보","주의"),"정상"))</f>
        <v/>
      </c>
      <c r="K24" s="401">
        <f>IFERROR(IF(원본_월별!E220="","",원본_월별!E220),"")</f>
        <v/>
      </c>
      <c r="L24" s="401">
        <f>IF(COUNT(K22:K24)&lt;3,"",AVERAGE(K22:K24))</f>
        <v/>
      </c>
      <c r="M24" s="401">
        <f>EXP($B$11*2025.2500+$B$12+$B$13)/(1+EXP($B$11*2025.2500+$B$12+$B$13))</f>
        <v/>
      </c>
      <c r="N24" s="536">
        <f>IF(L24="","",L24-M24)</f>
        <v/>
      </c>
      <c r="O24">
        <f>IF(N24="","",IF(ABS(N24)&gt;$B$16*$B$14,IF(AND(ROW()&gt;21,ISNUMBER(N23),ABS(N23)&gt;$B$16*$B$14),"경보","주의"),"정상"))</f>
        <v/>
      </c>
      <c r="P24" s="401">
        <f>IFERROR(IF(원본_월별!E178="","",원본_월별!E178),"")</f>
        <v/>
      </c>
      <c r="Q24" s="401">
        <f>IFERROR(IF(원본_월별!E192="","",원본_월별!E192),"")</f>
        <v/>
      </c>
      <c r="R24" s="518">
        <f>IFERROR(IF(원본_월별!E234="","",원본_월별!E234),"")</f>
        <v/>
      </c>
    </row>
    <row r="25">
      <c r="A25" t="inlineStr">
        <is>
          <t>2025-08</t>
        </is>
      </c>
      <c r="B25">
        <f>IF(202508&lt;$B$6,"진입전",IF(202508&lt;$B$6+600,"전환기","안정기"))</f>
        <v/>
      </c>
      <c r="C25" s="493">
        <f>IFERROR(IF(원본_월별!F265="","",원본_월별!F265),"")</f>
        <v/>
      </c>
      <c r="D25" s="493">
        <f>IF(COUNT(C23:C25)&lt;3,"",AVERAGE(C23:C25))</f>
        <v/>
      </c>
      <c r="E25" s="401">
        <f>IFERROR(IF(OR(C25="",원본_월별!F264=""),"",C25/원본_월별!F264-1),"")</f>
        <v/>
      </c>
      <c r="F25" s="401">
        <f>IFERROR(IF(원본_월별!F206="","",원본_월별!F206),"")</f>
        <v/>
      </c>
      <c r="G25" s="401">
        <f>IF(COUNT(F23:F25)&lt;3,"",AVERAGE(F23:F25))</f>
        <v/>
      </c>
      <c r="H25" s="401">
        <f>($B$7*2025.3333+$B$8+$B$9)/100</f>
        <v/>
      </c>
      <c r="I25" s="536">
        <f>IF(G25="","",G25-H25)</f>
        <v/>
      </c>
      <c r="J25">
        <f>IF(I25="","",IF(ABS(I25)&gt;$B$16*$B$10,IF(AND(ROW()&gt;21,ISNUMBER(I24),ABS(I24)&gt;$B$16*$B$10),"경보","주의"),"정상"))</f>
        <v/>
      </c>
      <c r="K25" s="401">
        <f>IFERROR(IF(원본_월별!F220="","",원본_월별!F220),"")</f>
        <v/>
      </c>
      <c r="L25" s="401">
        <f>IF(COUNT(K23:K25)&lt;3,"",AVERAGE(K23:K25))</f>
        <v/>
      </c>
      <c r="M25" s="401">
        <f>EXP($B$11*2025.3333+$B$12+$B$13)/(1+EXP($B$11*2025.3333+$B$12+$B$13))</f>
        <v/>
      </c>
      <c r="N25" s="536">
        <f>IF(L25="","",L25-M25)</f>
        <v/>
      </c>
      <c r="O25">
        <f>IF(N25="","",IF(ABS(N25)&gt;$B$16*$B$14,IF(AND(ROW()&gt;21,ISNUMBER(N24),ABS(N24)&gt;$B$16*$B$14),"경보","주의"),"정상"))</f>
        <v/>
      </c>
      <c r="P25" s="401">
        <f>IFERROR(IF(원본_월별!F178="","",원본_월별!F178),"")</f>
        <v/>
      </c>
      <c r="Q25" s="401">
        <f>IFERROR(IF(원본_월별!F192="","",원본_월별!F192),"")</f>
        <v/>
      </c>
      <c r="R25" s="518">
        <f>IFERROR(IF(원본_월별!F234="","",원본_월별!F234),"")</f>
        <v/>
      </c>
    </row>
    <row r="26">
      <c r="A26" t="inlineStr">
        <is>
          <t>2025-09</t>
        </is>
      </c>
      <c r="B26">
        <f>IF(202509&lt;$B$6,"진입전",IF(202509&lt;$B$6+600,"전환기","안정기"))</f>
        <v/>
      </c>
      <c r="C26" s="493">
        <f>IFERROR(IF(원본_월별!G265="","",원본_월별!G265),"")</f>
        <v/>
      </c>
      <c r="D26" s="493">
        <f>IF(COUNT(C24:C26)&lt;3,"",AVERAGE(C24:C26))</f>
        <v/>
      </c>
      <c r="E26" s="401">
        <f>IFERROR(IF(OR(C26="",원본_월별!G264=""),"",C26/원본_월별!G264-1),"")</f>
        <v/>
      </c>
      <c r="F26" s="401">
        <f>IFERROR(IF(원본_월별!G206="","",원본_월별!G206),"")</f>
        <v/>
      </c>
      <c r="G26" s="401">
        <f>IF(COUNT(F24:F26)&lt;3,"",AVERAGE(F24:F26))</f>
        <v/>
      </c>
      <c r="H26" s="401">
        <f>($B$7*2025.4167+$B$8+$B$9)/100</f>
        <v/>
      </c>
      <c r="I26" s="536">
        <f>IF(G26="","",G26-H26)</f>
        <v/>
      </c>
      <c r="J26">
        <f>IF(I26="","",IF(ABS(I26)&gt;$B$16*$B$10,IF(AND(ROW()&gt;21,ISNUMBER(I25),ABS(I25)&gt;$B$16*$B$10),"경보","주의"),"정상"))</f>
        <v/>
      </c>
      <c r="K26" s="401">
        <f>IFERROR(IF(원본_월별!G220="","",원본_월별!G220),"")</f>
        <v/>
      </c>
      <c r="L26" s="401">
        <f>IF(COUNT(K24:K26)&lt;3,"",AVERAGE(K24:K26))</f>
        <v/>
      </c>
      <c r="M26" s="401">
        <f>EXP($B$11*2025.4167+$B$12+$B$13)/(1+EXP($B$11*2025.4167+$B$12+$B$13))</f>
        <v/>
      </c>
      <c r="N26" s="536">
        <f>IF(L26="","",L26-M26)</f>
        <v/>
      </c>
      <c r="O26">
        <f>IF(N26="","",IF(ABS(N26)&gt;$B$16*$B$14,IF(AND(ROW()&gt;21,ISNUMBER(N25),ABS(N25)&gt;$B$16*$B$14),"경보","주의"),"정상"))</f>
        <v/>
      </c>
      <c r="P26" s="401">
        <f>IFERROR(IF(원본_월별!G178="","",원본_월별!G178),"")</f>
        <v/>
      </c>
      <c r="Q26" s="401">
        <f>IFERROR(IF(원본_월별!G192="","",원본_월별!G192),"")</f>
        <v/>
      </c>
      <c r="R26" s="518">
        <f>IFERROR(IF(원본_월별!G234="","",원본_월별!G234),"")</f>
        <v/>
      </c>
    </row>
    <row r="27">
      <c r="A27" t="inlineStr">
        <is>
          <t>2025-10</t>
        </is>
      </c>
      <c r="B27">
        <f>IF(202510&lt;$B$6,"진입전",IF(202510&lt;$B$6+600,"전환기","안정기"))</f>
        <v/>
      </c>
      <c r="C27" s="493">
        <f>IFERROR(IF(원본_월별!H265="","",원본_월별!H265),"")</f>
        <v/>
      </c>
      <c r="D27" s="493">
        <f>IF(COUNT(C25:C27)&lt;3,"",AVERAGE(C25:C27))</f>
        <v/>
      </c>
      <c r="E27" s="401">
        <f>IFERROR(IF(OR(C27="",원본_월별!H264=""),"",C27/원본_월별!H264-1),"")</f>
        <v/>
      </c>
      <c r="F27" s="401">
        <f>IFERROR(IF(원본_월별!H206="","",원본_월별!H206),"")</f>
        <v/>
      </c>
      <c r="G27" s="401">
        <f>IF(COUNT(F25:F27)&lt;3,"",AVERAGE(F25:F27))</f>
        <v/>
      </c>
      <c r="H27" s="401">
        <f>($B$7*2025.5000+$B$8+$B$9)/100</f>
        <v/>
      </c>
      <c r="I27" s="536">
        <f>IF(G27="","",G27-H27)</f>
        <v/>
      </c>
      <c r="J27">
        <f>IF(I27="","",IF(ABS(I27)&gt;$B$16*$B$10,IF(AND(ROW()&gt;21,ISNUMBER(I26),ABS(I26)&gt;$B$16*$B$10),"경보","주의"),"정상"))</f>
        <v/>
      </c>
      <c r="K27" s="401">
        <f>IFERROR(IF(원본_월별!H220="","",원본_월별!H220),"")</f>
        <v/>
      </c>
      <c r="L27" s="401">
        <f>IF(COUNT(K25:K27)&lt;3,"",AVERAGE(K25:K27))</f>
        <v/>
      </c>
      <c r="M27" s="401">
        <f>EXP($B$11*2025.5000+$B$12+$B$13)/(1+EXP($B$11*2025.5000+$B$12+$B$13))</f>
        <v/>
      </c>
      <c r="N27" s="536">
        <f>IF(L27="","",L27-M27)</f>
        <v/>
      </c>
      <c r="O27">
        <f>IF(N27="","",IF(ABS(N27)&gt;$B$16*$B$14,IF(AND(ROW()&gt;21,ISNUMBER(N26),ABS(N26)&gt;$B$16*$B$14),"경보","주의"),"정상"))</f>
        <v/>
      </c>
      <c r="P27" s="401">
        <f>IFERROR(IF(원본_월별!H178="","",원본_월별!H178),"")</f>
        <v/>
      </c>
      <c r="Q27" s="401">
        <f>IFERROR(IF(원본_월별!H192="","",원본_월별!H192),"")</f>
        <v/>
      </c>
      <c r="R27" s="518">
        <f>IFERROR(IF(원본_월별!H234="","",원본_월별!H234),"")</f>
        <v/>
      </c>
    </row>
    <row r="28">
      <c r="A28" t="inlineStr">
        <is>
          <t>2025-11</t>
        </is>
      </c>
      <c r="B28">
        <f>IF(202511&lt;$B$6,"진입전",IF(202511&lt;$B$6+600,"전환기","안정기"))</f>
        <v/>
      </c>
      <c r="C28" s="493">
        <f>IFERROR(IF(원본_월별!I265="","",원본_월별!I265),"")</f>
        <v/>
      </c>
      <c r="D28" s="493">
        <f>IF(COUNT(C26:C28)&lt;3,"",AVERAGE(C26:C28))</f>
        <v/>
      </c>
      <c r="E28" s="401">
        <f>IFERROR(IF(OR(C28="",원본_월별!I264=""),"",C28/원본_월별!I264-1),"")</f>
        <v/>
      </c>
      <c r="F28" s="401">
        <f>IFERROR(IF(원본_월별!I206="","",원본_월별!I206),"")</f>
        <v/>
      </c>
      <c r="G28" s="401">
        <f>IF(COUNT(F26:F28)&lt;3,"",AVERAGE(F26:F28))</f>
        <v/>
      </c>
      <c r="H28" s="401">
        <f>($B$7*2025.5833+$B$8+$B$9)/100</f>
        <v/>
      </c>
      <c r="I28" s="536">
        <f>IF(G28="","",G28-H28)</f>
        <v/>
      </c>
      <c r="J28">
        <f>IF(I28="","",IF(ABS(I28)&gt;$B$16*$B$10,IF(AND(ROW()&gt;21,ISNUMBER(I27),ABS(I27)&gt;$B$16*$B$10),"경보","주의"),"정상"))</f>
        <v/>
      </c>
      <c r="K28" s="401">
        <f>IFERROR(IF(원본_월별!I220="","",원본_월별!I220),"")</f>
        <v/>
      </c>
      <c r="L28" s="401">
        <f>IF(COUNT(K26:K28)&lt;3,"",AVERAGE(K26:K28))</f>
        <v/>
      </c>
      <c r="M28" s="401">
        <f>EXP($B$11*2025.5833+$B$12+$B$13)/(1+EXP($B$11*2025.5833+$B$12+$B$13))</f>
        <v/>
      </c>
      <c r="N28" s="536">
        <f>IF(L28="","",L28-M28)</f>
        <v/>
      </c>
      <c r="O28">
        <f>IF(N28="","",IF(ABS(N28)&gt;$B$16*$B$14,IF(AND(ROW()&gt;21,ISNUMBER(N27),ABS(N27)&gt;$B$16*$B$14),"경보","주의"),"정상"))</f>
        <v/>
      </c>
      <c r="P28" s="401">
        <f>IFERROR(IF(원본_월별!I178="","",원본_월별!I178),"")</f>
        <v/>
      </c>
      <c r="Q28" s="401">
        <f>IFERROR(IF(원본_월별!I192="","",원본_월별!I192),"")</f>
        <v/>
      </c>
      <c r="R28" s="518">
        <f>IFERROR(IF(원본_월별!I234="","",원본_월별!I234),"")</f>
        <v/>
      </c>
    </row>
    <row r="29">
      <c r="A29" t="inlineStr">
        <is>
          <t>2025-12</t>
        </is>
      </c>
      <c r="B29">
        <f>IF(202512&lt;$B$6,"진입전",IF(202512&lt;$B$6+600,"전환기","안정기"))</f>
        <v/>
      </c>
      <c r="C29" s="493">
        <f>IFERROR(IF(원본_월별!J265="","",원본_월별!J265),"")</f>
        <v/>
      </c>
      <c r="D29" s="493">
        <f>IF(COUNT(C27:C29)&lt;3,"",AVERAGE(C27:C29))</f>
        <v/>
      </c>
      <c r="E29" s="401">
        <f>IFERROR(IF(OR(C29="",원본_월별!J264=""),"",C29/원본_월별!J264-1),"")</f>
        <v/>
      </c>
      <c r="F29" s="401">
        <f>IFERROR(IF(원본_월별!J206="","",원본_월별!J206),"")</f>
        <v/>
      </c>
      <c r="G29" s="401">
        <f>IF(COUNT(F27:F29)&lt;3,"",AVERAGE(F27:F29))</f>
        <v/>
      </c>
      <c r="H29" s="401">
        <f>($B$7*2025.6667+$B$8+$B$9)/100</f>
        <v/>
      </c>
      <c r="I29" s="536">
        <f>IF(G29="","",G29-H29)</f>
        <v/>
      </c>
      <c r="J29">
        <f>IF(I29="","",IF(ABS(I29)&gt;$B$16*$B$10,IF(AND(ROW()&gt;21,ISNUMBER(I28),ABS(I28)&gt;$B$16*$B$10),"경보","주의"),"정상"))</f>
        <v/>
      </c>
      <c r="K29" s="401">
        <f>IFERROR(IF(원본_월별!J220="","",원본_월별!J220),"")</f>
        <v/>
      </c>
      <c r="L29" s="401">
        <f>IF(COUNT(K27:K29)&lt;3,"",AVERAGE(K27:K29))</f>
        <v/>
      </c>
      <c r="M29" s="401">
        <f>EXP($B$11*2025.6667+$B$12+$B$13)/(1+EXP($B$11*2025.6667+$B$12+$B$13))</f>
        <v/>
      </c>
      <c r="N29" s="536">
        <f>IF(L29="","",L29-M29)</f>
        <v/>
      </c>
      <c r="O29">
        <f>IF(N29="","",IF(ABS(N29)&gt;$B$16*$B$14,IF(AND(ROW()&gt;21,ISNUMBER(N28),ABS(N28)&gt;$B$16*$B$14),"경보","주의"),"정상"))</f>
        <v/>
      </c>
      <c r="P29" s="401">
        <f>IFERROR(IF(원본_월별!J178="","",원본_월별!J178),"")</f>
        <v/>
      </c>
      <c r="Q29" s="401">
        <f>IFERROR(IF(원본_월별!J192="","",원본_월별!J192),"")</f>
        <v/>
      </c>
      <c r="R29" s="518">
        <f>IFERROR(IF(원본_월별!J234="","",원본_월별!J234),"")</f>
        <v/>
      </c>
    </row>
    <row r="30">
      <c r="A30" t="inlineStr">
        <is>
          <t>2026-01</t>
        </is>
      </c>
      <c r="B30">
        <f>IF(202601&lt;$B$6,"진입전",IF(202601&lt;$B$6+600,"전환기","안정기"))</f>
        <v/>
      </c>
      <c r="C30" s="493">
        <f>IFERROR(IF(원본_월별!K265="","",원본_월별!K265),"")</f>
        <v/>
      </c>
      <c r="D30" s="493">
        <f>IF(COUNT(C28:C30)&lt;3,"",AVERAGE(C28:C30))</f>
        <v/>
      </c>
      <c r="E30" s="401">
        <f>IFERROR(IF(OR(C30="",원본_월별!K264=""),"",C30/원본_월별!K264-1),"")</f>
        <v/>
      </c>
      <c r="F30" s="401">
        <f>IFERROR(IF(원본_월별!K206="","",원본_월별!K206),"")</f>
        <v/>
      </c>
      <c r="G30" s="401">
        <f>IF(COUNT(F28:F30)&lt;3,"",AVERAGE(F28:F30))</f>
        <v/>
      </c>
      <c r="H30" s="401">
        <f>($B$7*2025.7500+$B$8+$B$9)/100</f>
        <v/>
      </c>
      <c r="I30" s="536">
        <f>IF(G30="","",G30-H30)</f>
        <v/>
      </c>
      <c r="J30">
        <f>IF(I30="","",IF(ABS(I30)&gt;$B$16*$B$10,IF(AND(ROW()&gt;21,ISNUMBER(I29),ABS(I29)&gt;$B$16*$B$10),"경보","주의"),"정상"))</f>
        <v/>
      </c>
      <c r="K30" s="401">
        <f>IFERROR(IF(원본_월별!K220="","",원본_월별!K220),"")</f>
        <v/>
      </c>
      <c r="L30" s="401">
        <f>IF(COUNT(K28:K30)&lt;3,"",AVERAGE(K28:K30))</f>
        <v/>
      </c>
      <c r="M30" s="401">
        <f>EXP($B$11*2025.7500+$B$12+$B$13)/(1+EXP($B$11*2025.7500+$B$12+$B$13))</f>
        <v/>
      </c>
      <c r="N30" s="536">
        <f>IF(L30="","",L30-M30)</f>
        <v/>
      </c>
      <c r="O30">
        <f>IF(N30="","",IF(ABS(N30)&gt;$B$16*$B$14,IF(AND(ROW()&gt;21,ISNUMBER(N29),ABS(N29)&gt;$B$16*$B$14),"경보","주의"),"정상"))</f>
        <v/>
      </c>
      <c r="P30" s="401">
        <f>IFERROR(IF(원본_월별!K178="","",원본_월별!K178),"")</f>
        <v/>
      </c>
      <c r="Q30" s="401">
        <f>IFERROR(IF(원본_월별!K192="","",원본_월별!K192),"")</f>
        <v/>
      </c>
      <c r="R30" s="518">
        <f>IFERROR(IF(원본_월별!K234="","",원본_월별!K234),"")</f>
        <v/>
      </c>
    </row>
    <row r="31">
      <c r="A31" t="inlineStr">
        <is>
          <t>2026-02</t>
        </is>
      </c>
      <c r="B31">
        <f>IF(202602&lt;$B$6,"진입전",IF(202602&lt;$B$6+600,"전환기","안정기"))</f>
        <v/>
      </c>
      <c r="C31" s="493">
        <f>IFERROR(IF(원본_월별!L265="","",원본_월별!L265),"")</f>
        <v/>
      </c>
      <c r="D31" s="493">
        <f>IF(COUNT(C29:C31)&lt;3,"",AVERAGE(C29:C31))</f>
        <v/>
      </c>
      <c r="E31" s="401">
        <f>IFERROR(IF(OR(C31="",원본_월별!L264=""),"",C31/원본_월별!L264-1),"")</f>
        <v/>
      </c>
      <c r="F31" s="401">
        <f>IFERROR(IF(원본_월별!L206="","",원본_월별!L206),"")</f>
        <v/>
      </c>
      <c r="G31" s="401">
        <f>IF(COUNT(F29:F31)&lt;3,"",AVERAGE(F29:F31))</f>
        <v/>
      </c>
      <c r="H31" s="401">
        <f>($B$7*2025.8333+$B$8+$B$9)/100</f>
        <v/>
      </c>
      <c r="I31" s="536">
        <f>IF(G31="","",G31-H31)</f>
        <v/>
      </c>
      <c r="J31">
        <f>IF(I31="","",IF(ABS(I31)&gt;$B$16*$B$10,IF(AND(ROW()&gt;21,ISNUMBER(I30),ABS(I30)&gt;$B$16*$B$10),"경보","주의"),"정상"))</f>
        <v/>
      </c>
      <c r="K31" s="401">
        <f>IFERROR(IF(원본_월별!L220="","",원본_월별!L220),"")</f>
        <v/>
      </c>
      <c r="L31" s="401">
        <f>IF(COUNT(K29:K31)&lt;3,"",AVERAGE(K29:K31))</f>
        <v/>
      </c>
      <c r="M31" s="401">
        <f>EXP($B$11*2025.8333+$B$12+$B$13)/(1+EXP($B$11*2025.8333+$B$12+$B$13))</f>
        <v/>
      </c>
      <c r="N31" s="536">
        <f>IF(L31="","",L31-M31)</f>
        <v/>
      </c>
      <c r="O31">
        <f>IF(N31="","",IF(ABS(N31)&gt;$B$16*$B$14,IF(AND(ROW()&gt;21,ISNUMBER(N30),ABS(N30)&gt;$B$16*$B$14),"경보","주의"),"정상"))</f>
        <v/>
      </c>
      <c r="P31" s="401">
        <f>IFERROR(IF(원본_월별!L178="","",원본_월별!L178),"")</f>
        <v/>
      </c>
      <c r="Q31" s="401">
        <f>IFERROR(IF(원본_월별!L192="","",원본_월별!L192),"")</f>
        <v/>
      </c>
      <c r="R31" s="518">
        <f>IFERROR(IF(원본_월별!L234="","",원본_월별!L234),"")</f>
        <v/>
      </c>
    </row>
    <row r="32">
      <c r="A32" t="inlineStr">
        <is>
          <t>2026-03</t>
        </is>
      </c>
      <c r="B32">
        <f>IF(202603&lt;$B$6,"진입전",IF(202603&lt;$B$6+600,"전환기","안정기"))</f>
        <v/>
      </c>
      <c r="C32" s="493">
        <f>IFERROR(IF(원본_월별!M265="","",원본_월별!M265),"")</f>
        <v/>
      </c>
      <c r="D32" s="493">
        <f>IF(COUNT(C30:C32)&lt;3,"",AVERAGE(C30:C32))</f>
        <v/>
      </c>
      <c r="E32" s="401">
        <f>IFERROR(IF(OR(C32="",원본_월별!M264=""),"",C32/원본_월별!M264-1),"")</f>
        <v/>
      </c>
      <c r="F32" s="401">
        <f>IFERROR(IF(원본_월별!M206="","",원본_월별!M206),"")</f>
        <v/>
      </c>
      <c r="G32" s="401">
        <f>IF(COUNT(F30:F32)&lt;3,"",AVERAGE(F30:F32))</f>
        <v/>
      </c>
      <c r="H32" s="401">
        <f>($B$7*2025.9167+$B$8+$B$9)/100</f>
        <v/>
      </c>
      <c r="I32" s="536">
        <f>IF(G32="","",G32-H32)</f>
        <v/>
      </c>
      <c r="J32">
        <f>IF(I32="","",IF(ABS(I32)&gt;$B$16*$B$10,IF(AND(ROW()&gt;21,ISNUMBER(I31),ABS(I31)&gt;$B$16*$B$10),"경보","주의"),"정상"))</f>
        <v/>
      </c>
      <c r="K32" s="401">
        <f>IFERROR(IF(원본_월별!M220="","",원본_월별!M220),"")</f>
        <v/>
      </c>
      <c r="L32" s="401">
        <f>IF(COUNT(K30:K32)&lt;3,"",AVERAGE(K30:K32))</f>
        <v/>
      </c>
      <c r="M32" s="401">
        <f>EXP($B$11*2025.9167+$B$12+$B$13)/(1+EXP($B$11*2025.9167+$B$12+$B$13))</f>
        <v/>
      </c>
      <c r="N32" s="536">
        <f>IF(L32="","",L32-M32)</f>
        <v/>
      </c>
      <c r="O32">
        <f>IF(N32="","",IF(ABS(N32)&gt;$B$16*$B$14,IF(AND(ROW()&gt;21,ISNUMBER(N31),ABS(N31)&gt;$B$16*$B$14),"경보","주의"),"정상"))</f>
        <v/>
      </c>
      <c r="P32" s="401">
        <f>IFERROR(IF(원본_월별!M178="","",원본_월별!M178),"")</f>
        <v/>
      </c>
      <c r="Q32" s="401">
        <f>IFERROR(IF(원본_월별!M192="","",원본_월별!M192),"")</f>
        <v/>
      </c>
      <c r="R32" s="518">
        <f>IFERROR(IF(원본_월별!M234="","",원본_월별!M234),"")</f>
        <v/>
      </c>
    </row>
    <row r="33">
      <c r="A33" t="inlineStr">
        <is>
          <t>2026-04</t>
        </is>
      </c>
      <c r="B33">
        <f>IF(202604&lt;$B$6,"진입전",IF(202604&lt;$B$6+600,"전환기","안정기"))</f>
        <v/>
      </c>
      <c r="C33" s="493">
        <f>IFERROR(IF(원본_월별!B266="","",원본_월별!B266),"")</f>
        <v/>
      </c>
      <c r="D33" s="493">
        <f>IF(COUNT(C31:C33)&lt;3,"",AVERAGE(C31:C33))</f>
        <v/>
      </c>
      <c r="E33" s="401">
        <f>IFERROR(IF(OR(C33="",원본_월별!B265=""),"",C33/원본_월별!B265-1),"")</f>
        <v/>
      </c>
      <c r="F33" s="401">
        <f>IFERROR(IF(원본_월별!B207="","",원본_월별!B207),"")</f>
        <v/>
      </c>
      <c r="G33" s="401">
        <f>IF(COUNT(F31:F33)&lt;3,"",AVERAGE(F31:F33))</f>
        <v/>
      </c>
      <c r="H33" s="401">
        <f>($B$7*2026.0000+$B$8+$B$9)/100</f>
        <v/>
      </c>
      <c r="I33" s="536">
        <f>IF(G33="","",G33-H33)</f>
        <v/>
      </c>
      <c r="J33">
        <f>IF(I33="","",IF(ABS(I33)&gt;$B$16*$B$10,IF(AND(ROW()&gt;21,ISNUMBER(I32),ABS(I32)&gt;$B$16*$B$10),"경보","주의"),"정상"))</f>
        <v/>
      </c>
      <c r="K33" s="401">
        <f>IFERROR(IF(원본_월별!B221="","",원본_월별!B221),"")</f>
        <v/>
      </c>
      <c r="L33" s="401">
        <f>IF(COUNT(K31:K33)&lt;3,"",AVERAGE(K31:K33))</f>
        <v/>
      </c>
      <c r="M33" s="401">
        <f>EXP($B$11*2026.0000+$B$12+$B$13)/(1+EXP($B$11*2026.0000+$B$12+$B$13))</f>
        <v/>
      </c>
      <c r="N33" s="536">
        <f>IF(L33="","",L33-M33)</f>
        <v/>
      </c>
      <c r="O33">
        <f>IF(N33="","",IF(ABS(N33)&gt;$B$16*$B$14,IF(AND(ROW()&gt;21,ISNUMBER(N32),ABS(N32)&gt;$B$16*$B$14),"경보","주의"),"정상"))</f>
        <v/>
      </c>
      <c r="P33" s="401">
        <f>IFERROR(IF(원본_월별!B179="","",원본_월별!B179),"")</f>
        <v/>
      </c>
      <c r="Q33" s="401">
        <f>IFERROR(IF(원본_월별!B193="","",원본_월별!B193),"")</f>
        <v/>
      </c>
      <c r="R33" s="518">
        <f>IFERROR(IF(원본_월별!B235="","",원본_월별!B235),"")</f>
        <v/>
      </c>
    </row>
    <row r="34">
      <c r="A34" t="inlineStr">
        <is>
          <t>2026-05</t>
        </is>
      </c>
      <c r="B34">
        <f>IF(202605&lt;$B$6,"진입전",IF(202605&lt;$B$6+600,"전환기","안정기"))</f>
        <v/>
      </c>
      <c r="C34" s="493">
        <f>IFERROR(IF(원본_월별!C266="","",원본_월별!C266),"")</f>
        <v/>
      </c>
      <c r="D34" s="493">
        <f>IF(COUNT(C32:C34)&lt;3,"",AVERAGE(C32:C34))</f>
        <v/>
      </c>
      <c r="E34" s="401">
        <f>IFERROR(IF(OR(C34="",원본_월별!C265=""),"",C34/원본_월별!C265-1),"")</f>
        <v/>
      </c>
      <c r="F34" s="401">
        <f>IFERROR(IF(원본_월별!C207="","",원본_월별!C207),"")</f>
        <v/>
      </c>
      <c r="G34" s="401">
        <f>IF(COUNT(F32:F34)&lt;3,"",AVERAGE(F32:F34))</f>
        <v/>
      </c>
      <c r="H34" s="401">
        <f>($B$7*2026.0833+$B$8+$B$9)/100</f>
        <v/>
      </c>
      <c r="I34" s="536">
        <f>IF(G34="","",G34-H34)</f>
        <v/>
      </c>
      <c r="J34">
        <f>IF(I34="","",IF(ABS(I34)&gt;$B$16*$B$10,IF(AND(ROW()&gt;21,ISNUMBER(I33),ABS(I33)&gt;$B$16*$B$10),"경보","주의"),"정상"))</f>
        <v/>
      </c>
      <c r="K34" s="401">
        <f>IFERROR(IF(원본_월별!C221="","",원본_월별!C221),"")</f>
        <v/>
      </c>
      <c r="L34" s="401">
        <f>IF(COUNT(K32:K34)&lt;3,"",AVERAGE(K32:K34))</f>
        <v/>
      </c>
      <c r="M34" s="401">
        <f>EXP($B$11*2026.0833+$B$12+$B$13)/(1+EXP($B$11*2026.0833+$B$12+$B$13))</f>
        <v/>
      </c>
      <c r="N34" s="536">
        <f>IF(L34="","",L34-M34)</f>
        <v/>
      </c>
      <c r="O34">
        <f>IF(N34="","",IF(ABS(N34)&gt;$B$16*$B$14,IF(AND(ROW()&gt;21,ISNUMBER(N33),ABS(N33)&gt;$B$16*$B$14),"경보","주의"),"정상"))</f>
        <v/>
      </c>
      <c r="P34" s="401">
        <f>IFERROR(IF(원본_월별!C179="","",원본_월별!C179),"")</f>
        <v/>
      </c>
      <c r="Q34" s="401">
        <f>IFERROR(IF(원본_월별!C193="","",원본_월별!C193),"")</f>
        <v/>
      </c>
      <c r="R34" s="518">
        <f>IFERROR(IF(원본_월별!C235="","",원본_월별!C235),"")</f>
        <v/>
      </c>
    </row>
    <row r="35">
      <c r="A35" t="inlineStr">
        <is>
          <t>2026-06</t>
        </is>
      </c>
      <c r="B35">
        <f>IF(202606&lt;$B$6,"진입전",IF(202606&lt;$B$6+600,"전환기","안정기"))</f>
        <v/>
      </c>
      <c r="C35" s="493">
        <f>IFERROR(IF(원본_월별!D266="","",원본_월별!D266),"")</f>
        <v/>
      </c>
      <c r="D35" s="493">
        <f>IF(COUNT(C33:C35)&lt;3,"",AVERAGE(C33:C35))</f>
        <v/>
      </c>
      <c r="E35" s="401">
        <f>IFERROR(IF(OR(C35="",원본_월별!D265=""),"",C35/원본_월별!D265-1),"")</f>
        <v/>
      </c>
      <c r="F35" s="401">
        <f>IFERROR(IF(원본_월별!D207="","",원본_월별!D207),"")</f>
        <v/>
      </c>
      <c r="G35" s="401">
        <f>IF(COUNT(F33:F35)&lt;3,"",AVERAGE(F33:F35))</f>
        <v/>
      </c>
      <c r="H35" s="401">
        <f>($B$7*2026.1667+$B$8+$B$9)/100</f>
        <v/>
      </c>
      <c r="I35" s="536">
        <f>IF(G35="","",G35-H35)</f>
        <v/>
      </c>
      <c r="J35">
        <f>IF(I35="","",IF(ABS(I35)&gt;$B$16*$B$10,IF(AND(ROW()&gt;21,ISNUMBER(I34),ABS(I34)&gt;$B$16*$B$10),"경보","주의"),"정상"))</f>
        <v/>
      </c>
      <c r="K35" s="401">
        <f>IFERROR(IF(원본_월별!D221="","",원본_월별!D221),"")</f>
        <v/>
      </c>
      <c r="L35" s="401">
        <f>IF(COUNT(K33:K35)&lt;3,"",AVERAGE(K33:K35))</f>
        <v/>
      </c>
      <c r="M35" s="401">
        <f>EXP($B$11*2026.1667+$B$12+$B$13)/(1+EXP($B$11*2026.1667+$B$12+$B$13))</f>
        <v/>
      </c>
      <c r="N35" s="536">
        <f>IF(L35="","",L35-M35)</f>
        <v/>
      </c>
      <c r="O35">
        <f>IF(N35="","",IF(ABS(N35)&gt;$B$16*$B$14,IF(AND(ROW()&gt;21,ISNUMBER(N34),ABS(N34)&gt;$B$16*$B$14),"경보","주의"),"정상"))</f>
        <v/>
      </c>
      <c r="P35" s="401">
        <f>IFERROR(IF(원본_월별!D179="","",원본_월별!D179),"")</f>
        <v/>
      </c>
      <c r="Q35" s="401">
        <f>IFERROR(IF(원본_월별!D193="","",원본_월별!D193),"")</f>
        <v/>
      </c>
      <c r="R35" s="518">
        <f>IFERROR(IF(원본_월별!D235="","",원본_월별!D235),"")</f>
        <v/>
      </c>
    </row>
    <row r="36">
      <c r="A36" t="inlineStr">
        <is>
          <t>2026-07</t>
        </is>
      </c>
      <c r="B36">
        <f>IF(202607&lt;$B$6,"진입전",IF(202607&lt;$B$6+600,"전환기","안정기"))</f>
        <v/>
      </c>
      <c r="C36" s="493">
        <f>IFERROR(IF(원본_월별!E266="","",원본_월별!E266),"")</f>
        <v/>
      </c>
      <c r="D36" s="493">
        <f>IF(COUNT(C34:C36)&lt;3,"",AVERAGE(C34:C36))</f>
        <v/>
      </c>
      <c r="E36" s="401">
        <f>IFERROR(IF(OR(C36="",원본_월별!E265=""),"",C36/원본_월별!E265-1),"")</f>
        <v/>
      </c>
      <c r="F36" s="401">
        <f>IFERROR(IF(원본_월별!E207="","",원본_월별!E207),"")</f>
        <v/>
      </c>
      <c r="G36" s="401">
        <f>IF(COUNT(F34:F36)&lt;3,"",AVERAGE(F34:F36))</f>
        <v/>
      </c>
      <c r="H36" s="401">
        <f>($B$7*2026.2500+$B$8+$B$9)/100</f>
        <v/>
      </c>
      <c r="I36" s="536">
        <f>IF(G36="","",G36-H36)</f>
        <v/>
      </c>
      <c r="J36">
        <f>IF(I36="","",IF(ABS(I36)&gt;$B$16*$B$10,IF(AND(ROW()&gt;21,ISNUMBER(I35),ABS(I35)&gt;$B$16*$B$10),"경보","주의"),"정상"))</f>
        <v/>
      </c>
      <c r="K36" s="401">
        <f>IFERROR(IF(원본_월별!E221="","",원본_월별!E221),"")</f>
        <v/>
      </c>
      <c r="L36" s="401">
        <f>IF(COUNT(K34:K36)&lt;3,"",AVERAGE(K34:K36))</f>
        <v/>
      </c>
      <c r="M36" s="401">
        <f>EXP($B$11*2026.2500+$B$12+$B$13)/(1+EXP($B$11*2026.2500+$B$12+$B$13))</f>
        <v/>
      </c>
      <c r="N36" s="536">
        <f>IF(L36="","",L36-M36)</f>
        <v/>
      </c>
      <c r="O36">
        <f>IF(N36="","",IF(ABS(N36)&gt;$B$16*$B$14,IF(AND(ROW()&gt;21,ISNUMBER(N35),ABS(N35)&gt;$B$16*$B$14),"경보","주의"),"정상"))</f>
        <v/>
      </c>
      <c r="P36" s="401">
        <f>IFERROR(IF(원본_월별!E179="","",원본_월별!E179),"")</f>
        <v/>
      </c>
      <c r="Q36" s="401">
        <f>IFERROR(IF(원본_월별!E193="","",원본_월별!E193),"")</f>
        <v/>
      </c>
      <c r="R36" s="518">
        <f>IFERROR(IF(원본_월별!E235="","",원본_월별!E235),"")</f>
        <v/>
      </c>
    </row>
    <row r="37">
      <c r="A37" t="inlineStr">
        <is>
          <t>2026-08</t>
        </is>
      </c>
      <c r="B37">
        <f>IF(202608&lt;$B$6,"진입전",IF(202608&lt;$B$6+600,"전환기","안정기"))</f>
        <v/>
      </c>
      <c r="C37" s="493">
        <f>IFERROR(IF(원본_월별!F266="","",원본_월별!F266),"")</f>
        <v/>
      </c>
      <c r="D37" s="493">
        <f>IF(COUNT(C35:C37)&lt;3,"",AVERAGE(C35:C37))</f>
        <v/>
      </c>
      <c r="E37" s="401">
        <f>IFERROR(IF(OR(C37="",원본_월별!F265=""),"",C37/원본_월별!F265-1),"")</f>
        <v/>
      </c>
      <c r="F37" s="401">
        <f>IFERROR(IF(원본_월별!F207="","",원본_월별!F207),"")</f>
        <v/>
      </c>
      <c r="G37" s="401">
        <f>IF(COUNT(F35:F37)&lt;3,"",AVERAGE(F35:F37))</f>
        <v/>
      </c>
      <c r="H37" s="401">
        <f>($B$7*2026.3333+$B$8+$B$9)/100</f>
        <v/>
      </c>
      <c r="I37" s="536">
        <f>IF(G37="","",G37-H37)</f>
        <v/>
      </c>
      <c r="J37">
        <f>IF(I37="","",IF(ABS(I37)&gt;$B$16*$B$10,IF(AND(ROW()&gt;21,ISNUMBER(I36),ABS(I36)&gt;$B$16*$B$10),"경보","주의"),"정상"))</f>
        <v/>
      </c>
      <c r="K37" s="401">
        <f>IFERROR(IF(원본_월별!F221="","",원본_월별!F221),"")</f>
        <v/>
      </c>
      <c r="L37" s="401">
        <f>IF(COUNT(K35:K37)&lt;3,"",AVERAGE(K35:K37))</f>
        <v/>
      </c>
      <c r="M37" s="401">
        <f>EXP($B$11*2026.3333+$B$12+$B$13)/(1+EXP($B$11*2026.3333+$B$12+$B$13))</f>
        <v/>
      </c>
      <c r="N37" s="536">
        <f>IF(L37="","",L37-M37)</f>
        <v/>
      </c>
      <c r="O37">
        <f>IF(N37="","",IF(ABS(N37)&gt;$B$16*$B$14,IF(AND(ROW()&gt;21,ISNUMBER(N36),ABS(N36)&gt;$B$16*$B$14),"경보","주의"),"정상"))</f>
        <v/>
      </c>
      <c r="P37" s="401">
        <f>IFERROR(IF(원본_월별!F179="","",원본_월별!F179),"")</f>
        <v/>
      </c>
      <c r="Q37" s="401">
        <f>IFERROR(IF(원본_월별!F193="","",원본_월별!F193),"")</f>
        <v/>
      </c>
      <c r="R37" s="518">
        <f>IFERROR(IF(원본_월별!F235="","",원본_월별!F235),"")</f>
        <v/>
      </c>
    </row>
    <row r="38">
      <c r="A38" t="inlineStr">
        <is>
          <t>2026-09</t>
        </is>
      </c>
      <c r="B38">
        <f>IF(202609&lt;$B$6,"진입전",IF(202609&lt;$B$6+600,"전환기","안정기"))</f>
        <v/>
      </c>
      <c r="C38" s="493">
        <f>IFERROR(IF(원본_월별!G266="","",원본_월별!G266),"")</f>
        <v/>
      </c>
      <c r="D38" s="493">
        <f>IF(COUNT(C36:C38)&lt;3,"",AVERAGE(C36:C38))</f>
        <v/>
      </c>
      <c r="E38" s="401">
        <f>IFERROR(IF(OR(C38="",원본_월별!G265=""),"",C38/원본_월별!G265-1),"")</f>
        <v/>
      </c>
      <c r="F38" s="401">
        <f>IFERROR(IF(원본_월별!G207="","",원본_월별!G207),"")</f>
        <v/>
      </c>
      <c r="G38" s="401">
        <f>IF(COUNT(F36:F38)&lt;3,"",AVERAGE(F36:F38))</f>
        <v/>
      </c>
      <c r="H38" s="401">
        <f>($B$7*2026.4167+$B$8+$B$9)/100</f>
        <v/>
      </c>
      <c r="I38" s="536">
        <f>IF(G38="","",G38-H38)</f>
        <v/>
      </c>
      <c r="J38">
        <f>IF(I38="","",IF(ABS(I38)&gt;$B$16*$B$10,IF(AND(ROW()&gt;21,ISNUMBER(I37),ABS(I37)&gt;$B$16*$B$10),"경보","주의"),"정상"))</f>
        <v/>
      </c>
      <c r="K38" s="401">
        <f>IFERROR(IF(원본_월별!G221="","",원본_월별!G221),"")</f>
        <v/>
      </c>
      <c r="L38" s="401">
        <f>IF(COUNT(K36:K38)&lt;3,"",AVERAGE(K36:K38))</f>
        <v/>
      </c>
      <c r="M38" s="401">
        <f>EXP($B$11*2026.4167+$B$12+$B$13)/(1+EXP($B$11*2026.4167+$B$12+$B$13))</f>
        <v/>
      </c>
      <c r="N38" s="536">
        <f>IF(L38="","",L38-M38)</f>
        <v/>
      </c>
      <c r="O38">
        <f>IF(N38="","",IF(ABS(N38)&gt;$B$16*$B$14,IF(AND(ROW()&gt;21,ISNUMBER(N37),ABS(N37)&gt;$B$16*$B$14),"경보","주의"),"정상"))</f>
        <v/>
      </c>
      <c r="P38" s="401">
        <f>IFERROR(IF(원본_월별!G179="","",원본_월별!G179),"")</f>
        <v/>
      </c>
      <c r="Q38" s="401">
        <f>IFERROR(IF(원본_월별!G193="","",원본_월별!G193),"")</f>
        <v/>
      </c>
      <c r="R38" s="518">
        <f>IFERROR(IF(원본_월별!G235="","",원본_월별!G235),"")</f>
        <v/>
      </c>
    </row>
    <row r="39">
      <c r="A39" t="inlineStr">
        <is>
          <t>2026-10</t>
        </is>
      </c>
      <c r="B39">
        <f>IF(202610&lt;$B$6,"진입전",IF(202610&lt;$B$6+600,"전환기","안정기"))</f>
        <v/>
      </c>
      <c r="C39" s="493">
        <f>IFERROR(IF(원본_월별!H266="","",원본_월별!H266),"")</f>
        <v/>
      </c>
      <c r="D39" s="493">
        <f>IF(COUNT(C37:C39)&lt;3,"",AVERAGE(C37:C39))</f>
        <v/>
      </c>
      <c r="E39" s="401">
        <f>IFERROR(IF(OR(C39="",원본_월별!H265=""),"",C39/원본_월별!H265-1),"")</f>
        <v/>
      </c>
      <c r="F39" s="401">
        <f>IFERROR(IF(원본_월별!H207="","",원본_월별!H207),"")</f>
        <v/>
      </c>
      <c r="G39" s="401">
        <f>IF(COUNT(F37:F39)&lt;3,"",AVERAGE(F37:F39))</f>
        <v/>
      </c>
      <c r="H39" s="401">
        <f>($B$7*2026.5000+$B$8+$B$9)/100</f>
        <v/>
      </c>
      <c r="I39" s="536">
        <f>IF(G39="","",G39-H39)</f>
        <v/>
      </c>
      <c r="J39">
        <f>IF(I39="","",IF(ABS(I39)&gt;$B$16*$B$10,IF(AND(ROW()&gt;21,ISNUMBER(I38),ABS(I38)&gt;$B$16*$B$10),"경보","주의"),"정상"))</f>
        <v/>
      </c>
      <c r="K39" s="401">
        <f>IFERROR(IF(원본_월별!H221="","",원본_월별!H221),"")</f>
        <v/>
      </c>
      <c r="L39" s="401">
        <f>IF(COUNT(K37:K39)&lt;3,"",AVERAGE(K37:K39))</f>
        <v/>
      </c>
      <c r="M39" s="401">
        <f>EXP($B$11*2026.5000+$B$12+$B$13)/(1+EXP($B$11*2026.5000+$B$12+$B$13))</f>
        <v/>
      </c>
      <c r="N39" s="536">
        <f>IF(L39="","",L39-M39)</f>
        <v/>
      </c>
      <c r="O39">
        <f>IF(N39="","",IF(ABS(N39)&gt;$B$16*$B$14,IF(AND(ROW()&gt;21,ISNUMBER(N38),ABS(N38)&gt;$B$16*$B$14),"경보","주의"),"정상"))</f>
        <v/>
      </c>
      <c r="P39" s="401">
        <f>IFERROR(IF(원본_월별!H179="","",원본_월별!H179),"")</f>
        <v/>
      </c>
      <c r="Q39" s="401">
        <f>IFERROR(IF(원본_월별!H193="","",원본_월별!H193),"")</f>
        <v/>
      </c>
      <c r="R39" s="518">
        <f>IFERROR(IF(원본_월별!H235="","",원본_월별!H235),"")</f>
        <v/>
      </c>
    </row>
    <row r="40">
      <c r="A40" t="inlineStr">
        <is>
          <t>2026-11</t>
        </is>
      </c>
      <c r="B40">
        <f>IF(202611&lt;$B$6,"진입전",IF(202611&lt;$B$6+600,"전환기","안정기"))</f>
        <v/>
      </c>
      <c r="C40" s="493">
        <f>IFERROR(IF(원본_월별!I266="","",원본_월별!I266),"")</f>
        <v/>
      </c>
      <c r="D40" s="493">
        <f>IF(COUNT(C38:C40)&lt;3,"",AVERAGE(C38:C40))</f>
        <v/>
      </c>
      <c r="E40" s="401">
        <f>IFERROR(IF(OR(C40="",원본_월별!I265=""),"",C40/원본_월별!I265-1),"")</f>
        <v/>
      </c>
      <c r="F40" s="401">
        <f>IFERROR(IF(원본_월별!I207="","",원본_월별!I207),"")</f>
        <v/>
      </c>
      <c r="G40" s="401">
        <f>IF(COUNT(F38:F40)&lt;3,"",AVERAGE(F38:F40))</f>
        <v/>
      </c>
      <c r="H40" s="401">
        <f>($B$7*2026.5833+$B$8+$B$9)/100</f>
        <v/>
      </c>
      <c r="I40" s="536">
        <f>IF(G40="","",G40-H40)</f>
        <v/>
      </c>
      <c r="J40">
        <f>IF(I40="","",IF(ABS(I40)&gt;$B$16*$B$10,IF(AND(ROW()&gt;21,ISNUMBER(I39),ABS(I39)&gt;$B$16*$B$10),"경보","주의"),"정상"))</f>
        <v/>
      </c>
      <c r="K40" s="401">
        <f>IFERROR(IF(원본_월별!I221="","",원본_월별!I221),"")</f>
        <v/>
      </c>
      <c r="L40" s="401">
        <f>IF(COUNT(K38:K40)&lt;3,"",AVERAGE(K38:K40))</f>
        <v/>
      </c>
      <c r="M40" s="401">
        <f>EXP($B$11*2026.5833+$B$12+$B$13)/(1+EXP($B$11*2026.5833+$B$12+$B$13))</f>
        <v/>
      </c>
      <c r="N40" s="536">
        <f>IF(L40="","",L40-M40)</f>
        <v/>
      </c>
      <c r="O40">
        <f>IF(N40="","",IF(ABS(N40)&gt;$B$16*$B$14,IF(AND(ROW()&gt;21,ISNUMBER(N39),ABS(N39)&gt;$B$16*$B$14),"경보","주의"),"정상"))</f>
        <v/>
      </c>
      <c r="P40" s="401">
        <f>IFERROR(IF(원본_월별!I179="","",원본_월별!I179),"")</f>
        <v/>
      </c>
      <c r="Q40" s="401">
        <f>IFERROR(IF(원본_월별!I193="","",원본_월별!I193),"")</f>
        <v/>
      </c>
      <c r="R40" s="518">
        <f>IFERROR(IF(원본_월별!I235="","",원본_월별!I235),"")</f>
        <v/>
      </c>
    </row>
    <row r="41">
      <c r="A41" t="inlineStr">
        <is>
          <t>2026-12</t>
        </is>
      </c>
      <c r="B41">
        <f>IF(202612&lt;$B$6,"진입전",IF(202612&lt;$B$6+600,"전환기","안정기"))</f>
        <v/>
      </c>
      <c r="C41" s="493">
        <f>IFERROR(IF(원본_월별!J266="","",원본_월별!J266),"")</f>
        <v/>
      </c>
      <c r="D41" s="493">
        <f>IF(COUNT(C39:C41)&lt;3,"",AVERAGE(C39:C41))</f>
        <v/>
      </c>
      <c r="E41" s="401">
        <f>IFERROR(IF(OR(C41="",원본_월별!J265=""),"",C41/원본_월별!J265-1),"")</f>
        <v/>
      </c>
      <c r="F41" s="401">
        <f>IFERROR(IF(원본_월별!J207="","",원본_월별!J207),"")</f>
        <v/>
      </c>
      <c r="G41" s="401">
        <f>IF(COUNT(F39:F41)&lt;3,"",AVERAGE(F39:F41))</f>
        <v/>
      </c>
      <c r="H41" s="401">
        <f>($B$7*2026.6667+$B$8+$B$9)/100</f>
        <v/>
      </c>
      <c r="I41" s="536">
        <f>IF(G41="","",G41-H41)</f>
        <v/>
      </c>
      <c r="J41">
        <f>IF(I41="","",IF(ABS(I41)&gt;$B$16*$B$10,IF(AND(ROW()&gt;21,ISNUMBER(I40),ABS(I40)&gt;$B$16*$B$10),"경보","주의"),"정상"))</f>
        <v/>
      </c>
      <c r="K41" s="401">
        <f>IFERROR(IF(원본_월별!J221="","",원본_월별!J221),"")</f>
        <v/>
      </c>
      <c r="L41" s="401">
        <f>IF(COUNT(K39:K41)&lt;3,"",AVERAGE(K39:K41))</f>
        <v/>
      </c>
      <c r="M41" s="401">
        <f>EXP($B$11*2026.6667+$B$12+$B$13)/(1+EXP($B$11*2026.6667+$B$12+$B$13))</f>
        <v/>
      </c>
      <c r="N41" s="536">
        <f>IF(L41="","",L41-M41)</f>
        <v/>
      </c>
      <c r="O41">
        <f>IF(N41="","",IF(ABS(N41)&gt;$B$16*$B$14,IF(AND(ROW()&gt;21,ISNUMBER(N40),ABS(N40)&gt;$B$16*$B$14),"경보","주의"),"정상"))</f>
        <v/>
      </c>
      <c r="P41" s="401">
        <f>IFERROR(IF(원본_월별!J179="","",원본_월별!J179),"")</f>
        <v/>
      </c>
      <c r="Q41" s="401">
        <f>IFERROR(IF(원본_월별!J193="","",원본_월별!J193),"")</f>
        <v/>
      </c>
      <c r="R41" s="518">
        <f>IFERROR(IF(원본_월별!J235="","",원본_월별!J235),"")</f>
        <v/>
      </c>
    </row>
    <row r="42">
      <c r="A42" t="inlineStr">
        <is>
          <t>2027-01</t>
        </is>
      </c>
      <c r="B42">
        <f>IF(202701&lt;$B$6,"진입전",IF(202701&lt;$B$6+600,"전환기","안정기"))</f>
        <v/>
      </c>
      <c r="C42" s="493">
        <f>IFERROR(IF(원본_월별!K266="","",원본_월별!K266),"")</f>
        <v/>
      </c>
      <c r="D42" s="493">
        <f>IF(COUNT(C40:C42)&lt;3,"",AVERAGE(C40:C42))</f>
        <v/>
      </c>
      <c r="E42" s="401">
        <f>IFERROR(IF(OR(C42="",원본_월별!K265=""),"",C42/원본_월별!K265-1),"")</f>
        <v/>
      </c>
      <c r="F42" s="401">
        <f>IFERROR(IF(원본_월별!K207="","",원본_월별!K207),"")</f>
        <v/>
      </c>
      <c r="G42" s="401">
        <f>IF(COUNT(F40:F42)&lt;3,"",AVERAGE(F40:F42))</f>
        <v/>
      </c>
      <c r="H42" s="401">
        <f>($B$7*2026.7500+$B$8+$B$9)/100</f>
        <v/>
      </c>
      <c r="I42" s="536">
        <f>IF(G42="","",G42-H42)</f>
        <v/>
      </c>
      <c r="J42">
        <f>IF(I42="","",IF(ABS(I42)&gt;$B$16*$B$10,IF(AND(ROW()&gt;21,ISNUMBER(I41),ABS(I41)&gt;$B$16*$B$10),"경보","주의"),"정상"))</f>
        <v/>
      </c>
      <c r="K42" s="401">
        <f>IFERROR(IF(원본_월별!K221="","",원본_월별!K221),"")</f>
        <v/>
      </c>
      <c r="L42" s="401">
        <f>IF(COUNT(K40:K42)&lt;3,"",AVERAGE(K40:K42))</f>
        <v/>
      </c>
      <c r="M42" s="401">
        <f>EXP($B$11*2026.7500+$B$12+$B$13)/(1+EXP($B$11*2026.7500+$B$12+$B$13))</f>
        <v/>
      </c>
      <c r="N42" s="536">
        <f>IF(L42="","",L42-M42)</f>
        <v/>
      </c>
      <c r="O42">
        <f>IF(N42="","",IF(ABS(N42)&gt;$B$16*$B$14,IF(AND(ROW()&gt;21,ISNUMBER(N41),ABS(N41)&gt;$B$16*$B$14),"경보","주의"),"정상"))</f>
        <v/>
      </c>
      <c r="P42" s="401">
        <f>IFERROR(IF(원본_월별!K179="","",원본_월별!K179),"")</f>
        <v/>
      </c>
      <c r="Q42" s="401">
        <f>IFERROR(IF(원본_월별!K193="","",원본_월별!K193),"")</f>
        <v/>
      </c>
      <c r="R42" s="518">
        <f>IFERROR(IF(원본_월별!K235="","",원본_월별!K235),"")</f>
        <v/>
      </c>
    </row>
    <row r="43">
      <c r="A43" t="inlineStr">
        <is>
          <t>2027-02</t>
        </is>
      </c>
      <c r="B43">
        <f>IF(202702&lt;$B$6,"진입전",IF(202702&lt;$B$6+600,"전환기","안정기"))</f>
        <v/>
      </c>
      <c r="C43" s="493">
        <f>IFERROR(IF(원본_월별!L266="","",원본_월별!L266),"")</f>
        <v/>
      </c>
      <c r="D43" s="493">
        <f>IF(COUNT(C41:C43)&lt;3,"",AVERAGE(C41:C43))</f>
        <v/>
      </c>
      <c r="E43" s="401">
        <f>IFERROR(IF(OR(C43="",원본_월별!L265=""),"",C43/원본_월별!L265-1),"")</f>
        <v/>
      </c>
      <c r="F43" s="401">
        <f>IFERROR(IF(원본_월별!L207="","",원본_월별!L207),"")</f>
        <v/>
      </c>
      <c r="G43" s="401">
        <f>IF(COUNT(F41:F43)&lt;3,"",AVERAGE(F41:F43))</f>
        <v/>
      </c>
      <c r="H43" s="401">
        <f>($B$7*2026.8333+$B$8+$B$9)/100</f>
        <v/>
      </c>
      <c r="I43" s="536">
        <f>IF(G43="","",G43-H43)</f>
        <v/>
      </c>
      <c r="J43">
        <f>IF(I43="","",IF(ABS(I43)&gt;$B$16*$B$10,IF(AND(ROW()&gt;21,ISNUMBER(I42),ABS(I42)&gt;$B$16*$B$10),"경보","주의"),"정상"))</f>
        <v/>
      </c>
      <c r="K43" s="401">
        <f>IFERROR(IF(원본_월별!L221="","",원본_월별!L221),"")</f>
        <v/>
      </c>
      <c r="L43" s="401">
        <f>IF(COUNT(K41:K43)&lt;3,"",AVERAGE(K41:K43))</f>
        <v/>
      </c>
      <c r="M43" s="401">
        <f>EXP($B$11*2026.8333+$B$12+$B$13)/(1+EXP($B$11*2026.8333+$B$12+$B$13))</f>
        <v/>
      </c>
      <c r="N43" s="536">
        <f>IF(L43="","",L43-M43)</f>
        <v/>
      </c>
      <c r="O43">
        <f>IF(N43="","",IF(ABS(N43)&gt;$B$16*$B$14,IF(AND(ROW()&gt;21,ISNUMBER(N42),ABS(N42)&gt;$B$16*$B$14),"경보","주의"),"정상"))</f>
        <v/>
      </c>
      <c r="P43" s="401">
        <f>IFERROR(IF(원본_월별!L179="","",원본_월별!L179),"")</f>
        <v/>
      </c>
      <c r="Q43" s="401">
        <f>IFERROR(IF(원본_월별!L193="","",원본_월별!L193),"")</f>
        <v/>
      </c>
      <c r="R43" s="518">
        <f>IFERROR(IF(원본_월별!L235="","",원본_월별!L235),"")</f>
        <v/>
      </c>
    </row>
    <row r="44">
      <c r="A44" t="inlineStr">
        <is>
          <t>2027-03</t>
        </is>
      </c>
      <c r="B44">
        <f>IF(202703&lt;$B$6,"진입전",IF(202703&lt;$B$6+600,"전환기","안정기"))</f>
        <v/>
      </c>
      <c r="C44" s="493">
        <f>IFERROR(IF(원본_월별!M266="","",원본_월별!M266),"")</f>
        <v/>
      </c>
      <c r="D44" s="493">
        <f>IF(COUNT(C42:C44)&lt;3,"",AVERAGE(C42:C44))</f>
        <v/>
      </c>
      <c r="E44" s="401">
        <f>IFERROR(IF(OR(C44="",원본_월별!M265=""),"",C44/원본_월별!M265-1),"")</f>
        <v/>
      </c>
      <c r="F44" s="401">
        <f>IFERROR(IF(원본_월별!M207="","",원본_월별!M207),"")</f>
        <v/>
      </c>
      <c r="G44" s="401">
        <f>IF(COUNT(F42:F44)&lt;3,"",AVERAGE(F42:F44))</f>
        <v/>
      </c>
      <c r="H44" s="401">
        <f>($B$7*2026.9167+$B$8+$B$9)/100</f>
        <v/>
      </c>
      <c r="I44" s="536">
        <f>IF(G44="","",G44-H44)</f>
        <v/>
      </c>
      <c r="J44">
        <f>IF(I44="","",IF(ABS(I44)&gt;$B$16*$B$10,IF(AND(ROW()&gt;21,ISNUMBER(I43),ABS(I43)&gt;$B$16*$B$10),"경보","주의"),"정상"))</f>
        <v/>
      </c>
      <c r="K44" s="401">
        <f>IFERROR(IF(원본_월별!M221="","",원본_월별!M221),"")</f>
        <v/>
      </c>
      <c r="L44" s="401">
        <f>IF(COUNT(K42:K44)&lt;3,"",AVERAGE(K42:K44))</f>
        <v/>
      </c>
      <c r="M44" s="401">
        <f>EXP($B$11*2026.9167+$B$12+$B$13)/(1+EXP($B$11*2026.9167+$B$12+$B$13))</f>
        <v/>
      </c>
      <c r="N44" s="536">
        <f>IF(L44="","",L44-M44)</f>
        <v/>
      </c>
      <c r="O44">
        <f>IF(N44="","",IF(ABS(N44)&gt;$B$16*$B$14,IF(AND(ROW()&gt;21,ISNUMBER(N43),ABS(N43)&gt;$B$16*$B$14),"경보","주의"),"정상"))</f>
        <v/>
      </c>
      <c r="P44" s="401">
        <f>IFERROR(IF(원본_월별!M179="","",원본_월별!M179),"")</f>
        <v/>
      </c>
      <c r="Q44" s="401">
        <f>IFERROR(IF(원본_월별!M193="","",원본_월별!M193),"")</f>
        <v/>
      </c>
      <c r="R44" s="518">
        <f>IFERROR(IF(원본_월별!M235="","",원본_월별!M235),"")</f>
        <v/>
      </c>
    </row>
    <row r="46">
      <c r="A46" s="459" t="inlineStr">
        <is>
          <t>※ 읽는 법</t>
        </is>
      </c>
    </row>
    <row r="47">
      <c r="A47" s="490" t="inlineStr">
        <is>
          <t xml:space="preserve">  · 벤치마크 = 근거_SVK HCT처방량 ■파라미터의 Original 비율 회귀(HP 직접선형, GP 로짓)를 월 단위 t로 평가한 값. 3M 롤링 실측과 비교합니다.</t>
        </is>
      </c>
    </row>
    <row r="48">
      <c r="A48" s="490" t="inlineStr">
        <is>
          <t xml:space="preserve">  · 신호 = |이탈| &gt; 임계배수 × SE 이면 '주의', 직전 월도 초과하면 '경보'. 단월 이탈은 노이즈일 수 있어 2개월 연속을 요구합니다.</t>
        </is>
      </c>
    </row>
    <row r="49">
      <c r="A49" s="490" t="inlineStr">
        <is>
          <t xml:space="preserve">  · 경보가 뜨면 예측 가정(Original 비율 회귀 구간·기울기)을 재검토합니다. 평상시에는 예측을 건드리지 않습니다.</t>
        </is>
      </c>
    </row>
    <row r="50">
      <c r="A50" s="490" t="inlineStr">
        <is>
          <t xml:space="preserve">  · 국면 — 진입전 / 전환기(진입 후 6개월: 회귀 정지, 관측만) / 안정기: 3M 롤링 + 회귀 정상 운영 (세비카HCT는 이미 안정기)</t>
        </is>
      </c>
    </row>
    <row r="51">
      <c r="A51" s="490" t="inlineStr">
        <is>
          <t xml:space="preserve">  · 기준월(B6)을 바꾸면 국면 판정이 이동합니다. 회귀 파라미터는 근거_SVK HCT처방량에서 자동 연동되므로 여기서는 수정하지 마십시오.</t>
        </is>
      </c>
    </row>
    <row r="53">
      <c r="A53" s="459" t="inlineStr">
        <is>
          <t>■ 부록 — FY2027 Budget 분기 배분 (ARB 시장 FY2023~25 분기 실측 비중 적용)</t>
        </is>
      </c>
    </row>
    <row r="54">
      <c r="A54" s="512" t="inlineStr">
        <is>
          <t>구분</t>
        </is>
      </c>
      <c r="B54" s="512" t="inlineStr">
        <is>
          <t>Q1 (4~6월)</t>
        </is>
      </c>
      <c r="C54" s="512" t="inlineStr">
        <is>
          <t>Q2 (7~9월)</t>
        </is>
      </c>
      <c r="D54" s="512" t="inlineStr">
        <is>
          <t>Q3 (10~12월)</t>
        </is>
      </c>
      <c r="E54" s="512" t="inlineStr">
        <is>
          <t>Q4 (1~3월)</t>
        </is>
      </c>
    </row>
    <row r="55">
      <c r="A55" t="inlineStr">
        <is>
          <t>배분 비중</t>
        </is>
      </c>
      <c r="B55" s="401">
        <f>SUM(근거_ARB처방량!Z5:Z7)/SUM(근거_ARB처방량!$Z$5:$AC$7)</f>
        <v/>
      </c>
      <c r="C55" s="401">
        <f>SUM(근거_ARB처방량!AA5:AA7)/SUM(근거_ARB처방량!$Z$5:$AC$7)</f>
        <v/>
      </c>
      <c r="D55" s="401">
        <f>SUM(근거_ARB처방량!AB5:AB7)/SUM(근거_ARB처방량!$Z$5:$AC$7)</f>
        <v/>
      </c>
      <c r="E55" s="401">
        <f>SUM(근거_ARB처방량!AC5:AC7)/SUM(근거_ARB처방량!$Z$5:$AC$7)</f>
        <v/>
      </c>
    </row>
    <row r="56">
      <c r="A56" t="inlineStr">
        <is>
          <t>Realistic 금액 (Model Base, 백만원)</t>
        </is>
      </c>
      <c r="B56" s="493">
        <f>근거_매출!K28*B55</f>
        <v/>
      </c>
      <c r="C56" s="493">
        <f>근거_매출!K28*C55</f>
        <v/>
      </c>
      <c r="D56" s="493">
        <f>근거_매출!K28*D55</f>
        <v/>
      </c>
      <c r="E56" s="493">
        <f>근거_매출!K28*E55</f>
        <v/>
      </c>
    </row>
    <row r="57">
      <c r="A57" t="inlineStr">
        <is>
          <t>Budget 라인 금액 (MKT Base, 백만원)</t>
        </is>
      </c>
      <c r="B57" s="493">
        <f>근거_매출!K30*B55</f>
        <v/>
      </c>
      <c r="C57" s="493">
        <f>근거_매출!K30*C55</f>
        <v/>
      </c>
      <c r="D57" s="493">
        <f>근거_매출!K30*D55</f>
        <v/>
      </c>
      <c r="E57" s="493">
        <f>근거_매출!K30*E55</f>
        <v/>
      </c>
    </row>
    <row r="58">
      <c r="A58" s="490" t="inlineStr">
        <is>
          <t>※ 분기 비중은 ARB 전체 시장의 계절성(FY23~25 평균) — 분기 실적 평가 기준선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AA0A8"/>
    <outlinePr summaryBelow="1" summaryRight="1"/>
    <pageSetUpPr/>
  </sheetPr>
  <dimension ref="A1:BK22"/>
  <sheetViews>
    <sheetView showGridLines="0" tabSelected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34" customWidth="1" style="9" min="5" max="5"/>
    <col width="14" customWidth="1" style="9" min="6" max="6"/>
    <col width="10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  <col width="12" customWidth="1" style="9" min="13" max="13"/>
    <col width="12" customWidth="1" style="9" min="14" max="14"/>
    <col width="12" customWidth="1" style="9" min="15" max="15"/>
    <col width="12" customWidth="1" style="9" min="16" max="16"/>
    <col width="12" customWidth="1" style="9" min="17" max="17"/>
    <col width="12" customWidth="1" style="9" min="18" max="18"/>
    <col width="12" customWidth="1" style="9" min="19" max="19"/>
    <col width="12" customWidth="1" style="9" min="20" max="20"/>
    <col width="12" customWidth="1" style="9" min="21" max="21"/>
    <col width="12" customWidth="1" style="9" min="22" max="22"/>
    <col width="12" customWidth="1" style="9" min="23" max="23"/>
    <col width="12" customWidth="1" style="9" min="24" max="24"/>
    <col width="12" customWidth="1" style="9" min="25" max="25"/>
    <col width="12" customWidth="1" style="9" min="26" max="26"/>
    <col width="12" customWidth="1" style="9" min="27" max="27"/>
    <col width="12" customWidth="1" style="9" min="28" max="28"/>
    <col width="12" customWidth="1" style="9" min="29" max="29"/>
    <col width="12" customWidth="1" style="9" min="30" max="30"/>
    <col width="12" customWidth="1" style="9" min="31" max="31"/>
    <col width="12" customWidth="1" style="9" min="32" max="32"/>
    <col width="12" customWidth="1" style="9" min="33" max="33"/>
    <col width="12" customWidth="1" style="9" min="34" max="34"/>
    <col width="12" customWidth="1" style="9" min="35" max="35"/>
    <col width="12" customWidth="1" style="9" min="36" max="36"/>
    <col width="12" customWidth="1" style="9" min="37" max="37"/>
    <col width="12" customWidth="1" style="9" min="38" max="38"/>
    <col width="12" customWidth="1" style="9" min="39" max="39"/>
    <col width="12" customWidth="1" style="9" min="40" max="40"/>
    <col width="12" customWidth="1" style="9" min="41" max="41"/>
    <col width="12" customWidth="1" style="9" min="42" max="42"/>
    <col width="12" customWidth="1" style="9" min="43" max="43"/>
    <col width="12" customWidth="1" style="9" min="44" max="44"/>
    <col width="12" customWidth="1" style="9" min="45" max="45"/>
    <col width="12" customWidth="1" style="9" min="46" max="46"/>
    <col width="12" customWidth="1" style="9" min="47" max="47"/>
    <col width="12" customWidth="1" style="9" min="48" max="48"/>
    <col width="12" customWidth="1" style="9" min="49" max="49"/>
    <col width="12" customWidth="1" style="9" min="50" max="50"/>
    <col width="12" customWidth="1" style="9" min="51" max="51"/>
    <col width="12" customWidth="1" style="9" min="52" max="52"/>
    <col width="12" customWidth="1" style="9" min="53" max="53"/>
    <col width="12" customWidth="1" style="9" min="54" max="54"/>
    <col width="12" customWidth="1" style="9" min="55" max="55"/>
    <col width="12" customWidth="1" style="9" min="56" max="56"/>
    <col width="12" customWidth="1" style="9" min="57" max="57"/>
    <col width="12" customWidth="1" style="9" min="58" max="58"/>
    <col width="12" customWidth="1" style="9" min="59" max="59"/>
    <col width="12" customWidth="1" style="9" min="60" max="60"/>
    <col width="12" customWidth="1" style="9" min="61" max="61"/>
    <col width="12" customWidth="1" style="9" min="62" max="62"/>
    <col width="12" customWidth="1" style="9" min="63" max="63"/>
  </cols>
  <sheetData>
    <row r="1">
      <c r="A1" s="495" t="inlineStr">
        <is>
          <t>원본_RAW — UBIST 파일 붙여넣기 영역 (매달 1회)</t>
        </is>
      </c>
    </row>
    <row r="2">
      <c r="A2" s="490" t="inlineStr">
        <is>
          <t>사용법: 매달 UBIST 다운로드 파일(Udata_SVK_..._처방_조제.xlsx)의 데이터 시트 전체(A1부터)를 아래 A21에 값으로 붙여넣습니다. 열 구성은 ATC / 제조사 / 제품 / 제조사 / 성분 / 종별 / Generic / 월별 처방량(H열~) 을 가정합니다.</t>
        </is>
      </c>
    </row>
    <row r="3">
      <c r="A3" s="490" t="inlineStr">
        <is>
          <t>집계 규칙: HP=상급종합+종합 / GP=병원+의원+보건소+기타. ARB 계열은 QD이므로 수량 보정 없음. 성분 판정: "olmesartan"+"amlodipine"+"hydrochlorothiazide" 동시 포함 = 세비카HCT 성분, "amlodipine"+"hydrochlorothiazide" 포함 = ARB+CCB+DU 3제.</t>
        </is>
      </c>
    </row>
    <row r="4">
      <c r="A4" s="527" t="inlineStr">
        <is>
          <t>헬퍼 ▶ 월 (5~20행은 수식 영역 — 값을 직접 입력하지 마십시오)</t>
        </is>
      </c>
      <c r="H4" s="527" t="inlineStr">
        <is>
          <t>2026년 4월</t>
        </is>
      </c>
      <c r="I4" s="527" t="inlineStr">
        <is>
          <t>2026년 5월</t>
        </is>
      </c>
      <c r="J4" s="527" t="inlineStr">
        <is>
          <t>2026년 6월</t>
        </is>
      </c>
      <c r="K4" s="527" t="inlineStr">
        <is>
          <t>2026년 7월</t>
        </is>
      </c>
      <c r="L4" s="527" t="inlineStr">
        <is>
          <t>2026년 8월</t>
        </is>
      </c>
      <c r="M4" s="527" t="inlineStr">
        <is>
          <t>2026년 9월</t>
        </is>
      </c>
      <c r="N4" s="527" t="inlineStr">
        <is>
          <t>2026년 10월</t>
        </is>
      </c>
      <c r="O4" s="527" t="inlineStr">
        <is>
          <t>2026년 11월</t>
        </is>
      </c>
      <c r="P4" s="527" t="inlineStr">
        <is>
          <t>2026년 12월</t>
        </is>
      </c>
      <c r="Q4" s="527" t="inlineStr">
        <is>
          <t>2027년 1월</t>
        </is>
      </c>
      <c r="R4" s="527" t="inlineStr">
        <is>
          <t>2027년 2월</t>
        </is>
      </c>
      <c r="S4" s="527" t="inlineStr">
        <is>
          <t>2027년 3월</t>
        </is>
      </c>
      <c r="T4" s="527" t="inlineStr">
        <is>
          <t>2027년 4월</t>
        </is>
      </c>
      <c r="U4" s="527" t="inlineStr">
        <is>
          <t>2027년 5월</t>
        </is>
      </c>
      <c r="V4" s="527" t="inlineStr">
        <is>
          <t>2027년 6월</t>
        </is>
      </c>
      <c r="W4" s="527" t="inlineStr">
        <is>
          <t>2027년 7월</t>
        </is>
      </c>
      <c r="X4" s="527" t="inlineStr">
        <is>
          <t>2027년 8월</t>
        </is>
      </c>
      <c r="Y4" s="527" t="inlineStr">
        <is>
          <t>2027년 9월</t>
        </is>
      </c>
      <c r="Z4" s="527" t="inlineStr">
        <is>
          <t>2027년 10월</t>
        </is>
      </c>
      <c r="AA4" s="527" t="inlineStr">
        <is>
          <t>2027년 11월</t>
        </is>
      </c>
      <c r="AB4" s="527" t="inlineStr">
        <is>
          <t>2027년 12월</t>
        </is>
      </c>
      <c r="AC4" s="527" t="inlineStr">
        <is>
          <t>2028년 1월</t>
        </is>
      </c>
      <c r="AD4" s="527" t="inlineStr">
        <is>
          <t>2028년 2월</t>
        </is>
      </c>
      <c r="AE4" s="527" t="inlineStr">
        <is>
          <t>2028년 3월</t>
        </is>
      </c>
      <c r="AF4" s="527" t="inlineStr">
        <is>
          <t>2028년 4월</t>
        </is>
      </c>
      <c r="AG4" s="527" t="inlineStr">
        <is>
          <t>2028년 5월</t>
        </is>
      </c>
      <c r="AH4" s="527" t="inlineStr">
        <is>
          <t>2028년 6월</t>
        </is>
      </c>
      <c r="AI4" s="527" t="inlineStr">
        <is>
          <t>2028년 7월</t>
        </is>
      </c>
      <c r="AJ4" s="527" t="inlineStr">
        <is>
          <t>2028년 8월</t>
        </is>
      </c>
      <c r="AK4" s="527" t="inlineStr">
        <is>
          <t>2028년 9월</t>
        </is>
      </c>
      <c r="AL4" s="527" t="inlineStr">
        <is>
          <t>2028년 10월</t>
        </is>
      </c>
      <c r="AM4" s="527" t="inlineStr">
        <is>
          <t>2028년 11월</t>
        </is>
      </c>
      <c r="AN4" s="527" t="inlineStr">
        <is>
          <t>2028년 12월</t>
        </is>
      </c>
      <c r="AO4" s="527" t="inlineStr">
        <is>
          <t>2029년 1월</t>
        </is>
      </c>
      <c r="AP4" s="527" t="inlineStr">
        <is>
          <t>2029년 2월</t>
        </is>
      </c>
      <c r="AQ4" s="527" t="inlineStr">
        <is>
          <t>2029년 3월</t>
        </is>
      </c>
      <c r="AR4" s="527" t="inlineStr">
        <is>
          <t>2029년 4월</t>
        </is>
      </c>
      <c r="AS4" s="527" t="inlineStr">
        <is>
          <t>2029년 5월</t>
        </is>
      </c>
      <c r="AT4" s="527" t="inlineStr">
        <is>
          <t>2029년 6월</t>
        </is>
      </c>
      <c r="AU4" s="527" t="inlineStr">
        <is>
          <t>2029년 7월</t>
        </is>
      </c>
      <c r="AV4" s="527" t="inlineStr">
        <is>
          <t>2029년 8월</t>
        </is>
      </c>
      <c r="AW4" s="527" t="inlineStr">
        <is>
          <t>2029년 9월</t>
        </is>
      </c>
      <c r="AX4" s="527" t="inlineStr">
        <is>
          <t>2029년 10월</t>
        </is>
      </c>
      <c r="AY4" s="527" t="inlineStr">
        <is>
          <t>2029년 11월</t>
        </is>
      </c>
      <c r="AZ4" s="527" t="inlineStr">
        <is>
          <t>2029년 12월</t>
        </is>
      </c>
      <c r="BA4" s="527" t="inlineStr">
        <is>
          <t>2030년 1월</t>
        </is>
      </c>
      <c r="BB4" s="527" t="inlineStr">
        <is>
          <t>2030년 2월</t>
        </is>
      </c>
      <c r="BC4" s="527" t="inlineStr">
        <is>
          <t>2030년 3월</t>
        </is>
      </c>
      <c r="BD4" s="527" t="inlineStr">
        <is>
          <t>2030년 4월</t>
        </is>
      </c>
      <c r="BE4" s="527" t="inlineStr">
        <is>
          <t>2030년 5월</t>
        </is>
      </c>
      <c r="BF4" s="527" t="inlineStr">
        <is>
          <t>2030년 6월</t>
        </is>
      </c>
      <c r="BG4" s="527" t="inlineStr">
        <is>
          <t>2030년 7월</t>
        </is>
      </c>
      <c r="BH4" s="527" t="inlineStr">
        <is>
          <t>2030년 8월</t>
        </is>
      </c>
      <c r="BI4" s="527" t="inlineStr">
        <is>
          <t>2030년 9월</t>
        </is>
      </c>
      <c r="BJ4" s="527" t="inlineStr">
        <is>
          <t>2030년 10월</t>
        </is>
      </c>
      <c r="BK4" s="527" t="inlineStr">
        <is>
          <t>2030년 11월</t>
        </is>
      </c>
    </row>
    <row r="5">
      <c r="A5" s="476" t="inlineStr">
        <is>
          <t>ARB_TOTAL</t>
        </is>
      </c>
      <c r="H5" s="493">
        <f>IFERROR(IF(SUMPRODUCT(N(ISNUMBER(INDEX($H$23:$BK$400,0,MATCH(H$4,$H$22:$BK$22,0)))))=0,"",SUMPRODUCT(1*INDEX($H$23:$BK$400,0,MATCH(H$4,$H$22:$BK$22,0)))),"")</f>
        <v/>
      </c>
      <c r="I5" s="493">
        <f>IFERROR(IF(SUMPRODUCT(N(ISNUMBER(INDEX($H$23:$BK$400,0,MATCH(I$4,$H$22:$BK$22,0)))))=0,"",SUMPRODUCT(1*INDEX($H$23:$BK$400,0,MATCH(I$4,$H$22:$BK$22,0)))),"")</f>
        <v/>
      </c>
      <c r="J5" s="493">
        <f>IFERROR(IF(SUMPRODUCT(N(ISNUMBER(INDEX($H$23:$BK$400,0,MATCH(J$4,$H$22:$BK$22,0)))))=0,"",SUMPRODUCT(1*INDEX($H$23:$BK$400,0,MATCH(J$4,$H$22:$BK$22,0)))),"")</f>
        <v/>
      </c>
      <c r="K5" s="493">
        <f>IFERROR(IF(SUMPRODUCT(N(ISNUMBER(INDEX($H$23:$BK$400,0,MATCH(K$4,$H$22:$BK$22,0)))))=0,"",SUMPRODUCT(1*INDEX($H$23:$BK$400,0,MATCH(K$4,$H$22:$BK$22,0)))),"")</f>
        <v/>
      </c>
      <c r="L5" s="493">
        <f>IFERROR(IF(SUMPRODUCT(N(ISNUMBER(INDEX($H$23:$BK$400,0,MATCH(L$4,$H$22:$BK$22,0)))))=0,"",SUMPRODUCT(1*INDEX($H$23:$BK$400,0,MATCH(L$4,$H$22:$BK$22,0)))),"")</f>
        <v/>
      </c>
      <c r="M5" s="493">
        <f>IFERROR(IF(SUMPRODUCT(N(ISNUMBER(INDEX($H$23:$BK$400,0,MATCH(M$4,$H$22:$BK$22,0)))))=0,"",SUMPRODUCT(1*INDEX($H$23:$BK$400,0,MATCH(M$4,$H$22:$BK$22,0)))),"")</f>
        <v/>
      </c>
      <c r="N5" s="493">
        <f>IFERROR(IF(SUMPRODUCT(N(ISNUMBER(INDEX($H$23:$BK$400,0,MATCH(N$4,$H$22:$BK$22,0)))))=0,"",SUMPRODUCT(1*INDEX($H$23:$BK$400,0,MATCH(N$4,$H$22:$BK$22,0)))),"")</f>
        <v/>
      </c>
      <c r="O5" s="493">
        <f>IFERROR(IF(SUMPRODUCT(N(ISNUMBER(INDEX($H$23:$BK$400,0,MATCH(O$4,$H$22:$BK$22,0)))))=0,"",SUMPRODUCT(1*INDEX($H$23:$BK$400,0,MATCH(O$4,$H$22:$BK$22,0)))),"")</f>
        <v/>
      </c>
      <c r="P5" s="493">
        <f>IFERROR(IF(SUMPRODUCT(N(ISNUMBER(INDEX($H$23:$BK$400,0,MATCH(P$4,$H$22:$BK$22,0)))))=0,"",SUMPRODUCT(1*INDEX($H$23:$BK$400,0,MATCH(P$4,$H$22:$BK$22,0)))),"")</f>
        <v/>
      </c>
      <c r="Q5" s="493">
        <f>IFERROR(IF(SUMPRODUCT(N(ISNUMBER(INDEX($H$23:$BK$400,0,MATCH(Q$4,$H$22:$BK$22,0)))))=0,"",SUMPRODUCT(1*INDEX($H$23:$BK$400,0,MATCH(Q$4,$H$22:$BK$22,0)))),"")</f>
        <v/>
      </c>
      <c r="R5" s="493">
        <f>IFERROR(IF(SUMPRODUCT(N(ISNUMBER(INDEX($H$23:$BK$400,0,MATCH(R$4,$H$22:$BK$22,0)))))=0,"",SUMPRODUCT(1*INDEX($H$23:$BK$400,0,MATCH(R$4,$H$22:$BK$22,0)))),"")</f>
        <v/>
      </c>
      <c r="S5" s="493">
        <f>IFERROR(IF(SUMPRODUCT(N(ISNUMBER(INDEX($H$23:$BK$400,0,MATCH(S$4,$H$22:$BK$22,0)))))=0,"",SUMPRODUCT(1*INDEX($H$23:$BK$400,0,MATCH(S$4,$H$22:$BK$22,0)))),"")</f>
        <v/>
      </c>
      <c r="T5" s="493">
        <f>IFERROR(IF(SUMPRODUCT(N(ISNUMBER(INDEX($H$23:$BK$400,0,MATCH(T$4,$H$22:$BK$22,0)))))=0,"",SUMPRODUCT(1*INDEX($H$23:$BK$400,0,MATCH(T$4,$H$22:$BK$22,0)))),"")</f>
        <v/>
      </c>
      <c r="U5" s="493">
        <f>IFERROR(IF(SUMPRODUCT(N(ISNUMBER(INDEX($H$23:$BK$400,0,MATCH(U$4,$H$22:$BK$22,0)))))=0,"",SUMPRODUCT(1*INDEX($H$23:$BK$400,0,MATCH(U$4,$H$22:$BK$22,0)))),"")</f>
        <v/>
      </c>
      <c r="V5" s="493">
        <f>IFERROR(IF(SUMPRODUCT(N(ISNUMBER(INDEX($H$23:$BK$400,0,MATCH(V$4,$H$22:$BK$22,0)))))=0,"",SUMPRODUCT(1*INDEX($H$23:$BK$400,0,MATCH(V$4,$H$22:$BK$22,0)))),"")</f>
        <v/>
      </c>
      <c r="W5" s="493">
        <f>IFERROR(IF(SUMPRODUCT(N(ISNUMBER(INDEX($H$23:$BK$400,0,MATCH(W$4,$H$22:$BK$22,0)))))=0,"",SUMPRODUCT(1*INDEX($H$23:$BK$400,0,MATCH(W$4,$H$22:$BK$22,0)))),"")</f>
        <v/>
      </c>
      <c r="X5" s="493">
        <f>IFERROR(IF(SUMPRODUCT(N(ISNUMBER(INDEX($H$23:$BK$400,0,MATCH(X$4,$H$22:$BK$22,0)))))=0,"",SUMPRODUCT(1*INDEX($H$23:$BK$400,0,MATCH(X$4,$H$22:$BK$22,0)))),"")</f>
        <v/>
      </c>
      <c r="Y5" s="493">
        <f>IFERROR(IF(SUMPRODUCT(N(ISNUMBER(INDEX($H$23:$BK$400,0,MATCH(Y$4,$H$22:$BK$22,0)))))=0,"",SUMPRODUCT(1*INDEX($H$23:$BK$400,0,MATCH(Y$4,$H$22:$BK$22,0)))),"")</f>
        <v/>
      </c>
      <c r="Z5" s="493">
        <f>IFERROR(IF(SUMPRODUCT(N(ISNUMBER(INDEX($H$23:$BK$400,0,MATCH(Z$4,$H$22:$BK$22,0)))))=0,"",SUMPRODUCT(1*INDEX($H$23:$BK$400,0,MATCH(Z$4,$H$22:$BK$22,0)))),"")</f>
        <v/>
      </c>
      <c r="AA5" s="493">
        <f>IFERROR(IF(SUMPRODUCT(N(ISNUMBER(INDEX($H$23:$BK$400,0,MATCH(AA$4,$H$22:$BK$22,0)))))=0,"",SUMPRODUCT(1*INDEX($H$23:$BK$400,0,MATCH(AA$4,$H$22:$BK$22,0)))),"")</f>
        <v/>
      </c>
      <c r="AB5" s="493">
        <f>IFERROR(IF(SUMPRODUCT(N(ISNUMBER(INDEX($H$23:$BK$400,0,MATCH(AB$4,$H$22:$BK$22,0)))))=0,"",SUMPRODUCT(1*INDEX($H$23:$BK$400,0,MATCH(AB$4,$H$22:$BK$22,0)))),"")</f>
        <v/>
      </c>
      <c r="AC5" s="493">
        <f>IFERROR(IF(SUMPRODUCT(N(ISNUMBER(INDEX($H$23:$BK$400,0,MATCH(AC$4,$H$22:$BK$22,0)))))=0,"",SUMPRODUCT(1*INDEX($H$23:$BK$400,0,MATCH(AC$4,$H$22:$BK$22,0)))),"")</f>
        <v/>
      </c>
      <c r="AD5" s="493">
        <f>IFERROR(IF(SUMPRODUCT(N(ISNUMBER(INDEX($H$23:$BK$400,0,MATCH(AD$4,$H$22:$BK$22,0)))))=0,"",SUMPRODUCT(1*INDEX($H$23:$BK$400,0,MATCH(AD$4,$H$22:$BK$22,0)))),"")</f>
        <v/>
      </c>
      <c r="AE5" s="493">
        <f>IFERROR(IF(SUMPRODUCT(N(ISNUMBER(INDEX($H$23:$BK$400,0,MATCH(AE$4,$H$22:$BK$22,0)))))=0,"",SUMPRODUCT(1*INDEX($H$23:$BK$400,0,MATCH(AE$4,$H$22:$BK$22,0)))),"")</f>
        <v/>
      </c>
      <c r="AF5" s="493">
        <f>IFERROR(IF(SUMPRODUCT(N(ISNUMBER(INDEX($H$23:$BK$400,0,MATCH(AF$4,$H$22:$BK$22,0)))))=0,"",SUMPRODUCT(1*INDEX($H$23:$BK$400,0,MATCH(AF$4,$H$22:$BK$22,0)))),"")</f>
        <v/>
      </c>
      <c r="AG5" s="493">
        <f>IFERROR(IF(SUMPRODUCT(N(ISNUMBER(INDEX($H$23:$BK$400,0,MATCH(AG$4,$H$22:$BK$22,0)))))=0,"",SUMPRODUCT(1*INDEX($H$23:$BK$400,0,MATCH(AG$4,$H$22:$BK$22,0)))),"")</f>
        <v/>
      </c>
      <c r="AH5" s="493">
        <f>IFERROR(IF(SUMPRODUCT(N(ISNUMBER(INDEX($H$23:$BK$400,0,MATCH(AH$4,$H$22:$BK$22,0)))))=0,"",SUMPRODUCT(1*INDEX($H$23:$BK$400,0,MATCH(AH$4,$H$22:$BK$22,0)))),"")</f>
        <v/>
      </c>
      <c r="AI5" s="493">
        <f>IFERROR(IF(SUMPRODUCT(N(ISNUMBER(INDEX($H$23:$BK$400,0,MATCH(AI$4,$H$22:$BK$22,0)))))=0,"",SUMPRODUCT(1*INDEX($H$23:$BK$400,0,MATCH(AI$4,$H$22:$BK$22,0)))),"")</f>
        <v/>
      </c>
      <c r="AJ5" s="493">
        <f>IFERROR(IF(SUMPRODUCT(N(ISNUMBER(INDEX($H$23:$BK$400,0,MATCH(AJ$4,$H$22:$BK$22,0)))))=0,"",SUMPRODUCT(1*INDEX($H$23:$BK$400,0,MATCH(AJ$4,$H$22:$BK$22,0)))),"")</f>
        <v/>
      </c>
      <c r="AK5" s="493">
        <f>IFERROR(IF(SUMPRODUCT(N(ISNUMBER(INDEX($H$23:$BK$400,0,MATCH(AK$4,$H$22:$BK$22,0)))))=0,"",SUMPRODUCT(1*INDEX($H$23:$BK$400,0,MATCH(AK$4,$H$22:$BK$22,0)))),"")</f>
        <v/>
      </c>
      <c r="AL5" s="493">
        <f>IFERROR(IF(SUMPRODUCT(N(ISNUMBER(INDEX($H$23:$BK$400,0,MATCH(AL$4,$H$22:$BK$22,0)))))=0,"",SUMPRODUCT(1*INDEX($H$23:$BK$400,0,MATCH(AL$4,$H$22:$BK$22,0)))),"")</f>
        <v/>
      </c>
      <c r="AM5" s="493">
        <f>IFERROR(IF(SUMPRODUCT(N(ISNUMBER(INDEX($H$23:$BK$400,0,MATCH(AM$4,$H$22:$BK$22,0)))))=0,"",SUMPRODUCT(1*INDEX($H$23:$BK$400,0,MATCH(AM$4,$H$22:$BK$22,0)))),"")</f>
        <v/>
      </c>
      <c r="AN5" s="493">
        <f>IFERROR(IF(SUMPRODUCT(N(ISNUMBER(INDEX($H$23:$BK$400,0,MATCH(AN$4,$H$22:$BK$22,0)))))=0,"",SUMPRODUCT(1*INDEX($H$23:$BK$400,0,MATCH(AN$4,$H$22:$BK$22,0)))),"")</f>
        <v/>
      </c>
      <c r="AO5" s="493">
        <f>IFERROR(IF(SUMPRODUCT(N(ISNUMBER(INDEX($H$23:$BK$400,0,MATCH(AO$4,$H$22:$BK$22,0)))))=0,"",SUMPRODUCT(1*INDEX($H$23:$BK$400,0,MATCH(AO$4,$H$22:$BK$22,0)))),"")</f>
        <v/>
      </c>
      <c r="AP5" s="493">
        <f>IFERROR(IF(SUMPRODUCT(N(ISNUMBER(INDEX($H$23:$BK$400,0,MATCH(AP$4,$H$22:$BK$22,0)))))=0,"",SUMPRODUCT(1*INDEX($H$23:$BK$400,0,MATCH(AP$4,$H$22:$BK$22,0)))),"")</f>
        <v/>
      </c>
      <c r="AQ5" s="493">
        <f>IFERROR(IF(SUMPRODUCT(N(ISNUMBER(INDEX($H$23:$BK$400,0,MATCH(AQ$4,$H$22:$BK$22,0)))))=0,"",SUMPRODUCT(1*INDEX($H$23:$BK$400,0,MATCH(AQ$4,$H$22:$BK$22,0)))),"")</f>
        <v/>
      </c>
      <c r="AR5" s="493">
        <f>IFERROR(IF(SUMPRODUCT(N(ISNUMBER(INDEX($H$23:$BK$400,0,MATCH(AR$4,$H$22:$BK$22,0)))))=0,"",SUMPRODUCT(1*INDEX($H$23:$BK$400,0,MATCH(AR$4,$H$22:$BK$22,0)))),"")</f>
        <v/>
      </c>
      <c r="AS5" s="493">
        <f>IFERROR(IF(SUMPRODUCT(N(ISNUMBER(INDEX($H$23:$BK$400,0,MATCH(AS$4,$H$22:$BK$22,0)))))=0,"",SUMPRODUCT(1*INDEX($H$23:$BK$400,0,MATCH(AS$4,$H$22:$BK$22,0)))),"")</f>
        <v/>
      </c>
      <c r="AT5" s="493">
        <f>IFERROR(IF(SUMPRODUCT(N(ISNUMBER(INDEX($H$23:$BK$400,0,MATCH(AT$4,$H$22:$BK$22,0)))))=0,"",SUMPRODUCT(1*INDEX($H$23:$BK$400,0,MATCH(AT$4,$H$22:$BK$22,0)))),"")</f>
        <v/>
      </c>
      <c r="AU5" s="493">
        <f>IFERROR(IF(SUMPRODUCT(N(ISNUMBER(INDEX($H$23:$BK$400,0,MATCH(AU$4,$H$22:$BK$22,0)))))=0,"",SUMPRODUCT(1*INDEX($H$23:$BK$400,0,MATCH(AU$4,$H$22:$BK$22,0)))),"")</f>
        <v/>
      </c>
      <c r="AV5" s="493">
        <f>IFERROR(IF(SUMPRODUCT(N(ISNUMBER(INDEX($H$23:$BK$400,0,MATCH(AV$4,$H$22:$BK$22,0)))))=0,"",SUMPRODUCT(1*INDEX($H$23:$BK$400,0,MATCH(AV$4,$H$22:$BK$22,0)))),"")</f>
        <v/>
      </c>
      <c r="AW5" s="493">
        <f>IFERROR(IF(SUMPRODUCT(N(ISNUMBER(INDEX($H$23:$BK$400,0,MATCH(AW$4,$H$22:$BK$22,0)))))=0,"",SUMPRODUCT(1*INDEX($H$23:$BK$400,0,MATCH(AW$4,$H$22:$BK$22,0)))),"")</f>
        <v/>
      </c>
      <c r="AX5" s="493">
        <f>IFERROR(IF(SUMPRODUCT(N(ISNUMBER(INDEX($H$23:$BK$400,0,MATCH(AX$4,$H$22:$BK$22,0)))))=0,"",SUMPRODUCT(1*INDEX($H$23:$BK$400,0,MATCH(AX$4,$H$22:$BK$22,0)))),"")</f>
        <v/>
      </c>
      <c r="AY5" s="493">
        <f>IFERROR(IF(SUMPRODUCT(N(ISNUMBER(INDEX($H$23:$BK$400,0,MATCH(AY$4,$H$22:$BK$22,0)))))=0,"",SUMPRODUCT(1*INDEX($H$23:$BK$400,0,MATCH(AY$4,$H$22:$BK$22,0)))),"")</f>
        <v/>
      </c>
      <c r="AZ5" s="493">
        <f>IFERROR(IF(SUMPRODUCT(N(ISNUMBER(INDEX($H$23:$BK$400,0,MATCH(AZ$4,$H$22:$BK$22,0)))))=0,"",SUMPRODUCT(1*INDEX($H$23:$BK$400,0,MATCH(AZ$4,$H$22:$BK$22,0)))),"")</f>
        <v/>
      </c>
      <c r="BA5" s="493">
        <f>IFERROR(IF(SUMPRODUCT(N(ISNUMBER(INDEX($H$23:$BK$400,0,MATCH(BA$4,$H$22:$BK$22,0)))))=0,"",SUMPRODUCT(1*INDEX($H$23:$BK$400,0,MATCH(BA$4,$H$22:$BK$22,0)))),"")</f>
        <v/>
      </c>
      <c r="BB5" s="493">
        <f>IFERROR(IF(SUMPRODUCT(N(ISNUMBER(INDEX($H$23:$BK$400,0,MATCH(BB$4,$H$22:$BK$22,0)))))=0,"",SUMPRODUCT(1*INDEX($H$23:$BK$400,0,MATCH(BB$4,$H$22:$BK$22,0)))),"")</f>
        <v/>
      </c>
      <c r="BC5" s="493">
        <f>IFERROR(IF(SUMPRODUCT(N(ISNUMBER(INDEX($H$23:$BK$400,0,MATCH(BC$4,$H$22:$BK$22,0)))))=0,"",SUMPRODUCT(1*INDEX($H$23:$BK$400,0,MATCH(BC$4,$H$22:$BK$22,0)))),"")</f>
        <v/>
      </c>
      <c r="BD5" s="493">
        <f>IFERROR(IF(SUMPRODUCT(N(ISNUMBER(INDEX($H$23:$BK$400,0,MATCH(BD$4,$H$22:$BK$22,0)))))=0,"",SUMPRODUCT(1*INDEX($H$23:$BK$400,0,MATCH(BD$4,$H$22:$BK$22,0)))),"")</f>
        <v/>
      </c>
      <c r="BE5" s="493">
        <f>IFERROR(IF(SUMPRODUCT(N(ISNUMBER(INDEX($H$23:$BK$400,0,MATCH(BE$4,$H$22:$BK$22,0)))))=0,"",SUMPRODUCT(1*INDEX($H$23:$BK$400,0,MATCH(BE$4,$H$22:$BK$22,0)))),"")</f>
        <v/>
      </c>
      <c r="BF5" s="493">
        <f>IFERROR(IF(SUMPRODUCT(N(ISNUMBER(INDEX($H$23:$BK$400,0,MATCH(BF$4,$H$22:$BK$22,0)))))=0,"",SUMPRODUCT(1*INDEX($H$23:$BK$400,0,MATCH(BF$4,$H$22:$BK$22,0)))),"")</f>
        <v/>
      </c>
      <c r="BG5" s="493">
        <f>IFERROR(IF(SUMPRODUCT(N(ISNUMBER(INDEX($H$23:$BK$400,0,MATCH(BG$4,$H$22:$BK$22,0)))))=0,"",SUMPRODUCT(1*INDEX($H$23:$BK$400,0,MATCH(BG$4,$H$22:$BK$22,0)))),"")</f>
        <v/>
      </c>
      <c r="BH5" s="493">
        <f>IFERROR(IF(SUMPRODUCT(N(ISNUMBER(INDEX($H$23:$BK$400,0,MATCH(BH$4,$H$22:$BK$22,0)))))=0,"",SUMPRODUCT(1*INDEX($H$23:$BK$400,0,MATCH(BH$4,$H$22:$BK$22,0)))),"")</f>
        <v/>
      </c>
      <c r="BI5" s="493">
        <f>IFERROR(IF(SUMPRODUCT(N(ISNUMBER(INDEX($H$23:$BK$400,0,MATCH(BI$4,$H$22:$BK$22,0)))))=0,"",SUMPRODUCT(1*INDEX($H$23:$BK$400,0,MATCH(BI$4,$H$22:$BK$22,0)))),"")</f>
        <v/>
      </c>
      <c r="BJ5" s="493">
        <f>IFERROR(IF(SUMPRODUCT(N(ISNUMBER(INDEX($H$23:$BK$400,0,MATCH(BJ$4,$H$22:$BK$22,0)))))=0,"",SUMPRODUCT(1*INDEX($H$23:$BK$400,0,MATCH(BJ$4,$H$22:$BK$22,0)))),"")</f>
        <v/>
      </c>
      <c r="BK5" s="493">
        <f>IFERROR(IF(SUMPRODUCT(N(ISNUMBER(INDEX($H$23:$BK$400,0,MATCH(BK$4,$H$22:$BK$22,0)))))=0,"",SUMPRODUCT(1*INDEX($H$23:$BK$400,0,MATCH(BK$4,$H$22:$BK$22,0)))),"")</f>
        <v/>
      </c>
    </row>
    <row r="6">
      <c r="A6" s="476" t="inlineStr">
        <is>
          <t>ARB_HP</t>
        </is>
      </c>
      <c r="H6" s="493">
        <f>IFERROR(IF(SUMPRODUCT(N(ISNUMBER(INDEX($H$23:$BK$400,0,MATCH(H$4,$H$22:$BK$22,0)))))=0,"",SUMPRODUCT((($F$23:$F$400="상급종합병원")+($F$23:$F$400="종합병원"))*INDEX($H$23:$BK$400,0,MATCH(H$4,$H$22:$BK$22,0)))),"")</f>
        <v/>
      </c>
      <c r="I6" s="493">
        <f>IFERROR(IF(SUMPRODUCT(N(ISNUMBER(INDEX($H$23:$BK$400,0,MATCH(I$4,$H$22:$BK$22,0)))))=0,"",SUMPRODUCT((($F$23:$F$400="상급종합병원")+($F$23:$F$400="종합병원"))*INDEX($H$23:$BK$400,0,MATCH(I$4,$H$22:$BK$22,0)))),"")</f>
        <v/>
      </c>
      <c r="J6" s="493">
        <f>IFERROR(IF(SUMPRODUCT(N(ISNUMBER(INDEX($H$23:$BK$400,0,MATCH(J$4,$H$22:$BK$22,0)))))=0,"",SUMPRODUCT((($F$23:$F$400="상급종합병원")+($F$23:$F$400="종합병원"))*INDEX($H$23:$BK$400,0,MATCH(J$4,$H$22:$BK$22,0)))),"")</f>
        <v/>
      </c>
      <c r="K6" s="493">
        <f>IFERROR(IF(SUMPRODUCT(N(ISNUMBER(INDEX($H$23:$BK$400,0,MATCH(K$4,$H$22:$BK$22,0)))))=0,"",SUMPRODUCT((($F$23:$F$400="상급종합병원")+($F$23:$F$400="종합병원"))*INDEX($H$23:$BK$400,0,MATCH(K$4,$H$22:$BK$22,0)))),"")</f>
        <v/>
      </c>
      <c r="L6" s="493">
        <f>IFERROR(IF(SUMPRODUCT(N(ISNUMBER(INDEX($H$23:$BK$400,0,MATCH(L$4,$H$22:$BK$22,0)))))=0,"",SUMPRODUCT((($F$23:$F$400="상급종합병원")+($F$23:$F$400="종합병원"))*INDEX($H$23:$BK$400,0,MATCH(L$4,$H$22:$BK$22,0)))),"")</f>
        <v/>
      </c>
      <c r="M6" s="493">
        <f>IFERROR(IF(SUMPRODUCT(N(ISNUMBER(INDEX($H$23:$BK$400,0,MATCH(M$4,$H$22:$BK$22,0)))))=0,"",SUMPRODUCT((($F$23:$F$400="상급종합병원")+($F$23:$F$400="종합병원"))*INDEX($H$23:$BK$400,0,MATCH(M$4,$H$22:$BK$22,0)))),"")</f>
        <v/>
      </c>
      <c r="N6" s="493">
        <f>IFERROR(IF(SUMPRODUCT(N(ISNUMBER(INDEX($H$23:$BK$400,0,MATCH(N$4,$H$22:$BK$22,0)))))=0,"",SUMPRODUCT((($F$23:$F$400="상급종합병원")+($F$23:$F$400="종합병원"))*INDEX($H$23:$BK$400,0,MATCH(N$4,$H$22:$BK$22,0)))),"")</f>
        <v/>
      </c>
      <c r="O6" s="493">
        <f>IFERROR(IF(SUMPRODUCT(N(ISNUMBER(INDEX($H$23:$BK$400,0,MATCH(O$4,$H$22:$BK$22,0)))))=0,"",SUMPRODUCT((($F$23:$F$400="상급종합병원")+($F$23:$F$400="종합병원"))*INDEX($H$23:$BK$400,0,MATCH(O$4,$H$22:$BK$22,0)))),"")</f>
        <v/>
      </c>
      <c r="P6" s="493">
        <f>IFERROR(IF(SUMPRODUCT(N(ISNUMBER(INDEX($H$23:$BK$400,0,MATCH(P$4,$H$22:$BK$22,0)))))=0,"",SUMPRODUCT((($F$23:$F$400="상급종합병원")+($F$23:$F$400="종합병원"))*INDEX($H$23:$BK$400,0,MATCH(P$4,$H$22:$BK$22,0)))),"")</f>
        <v/>
      </c>
      <c r="Q6" s="493">
        <f>IFERROR(IF(SUMPRODUCT(N(ISNUMBER(INDEX($H$23:$BK$400,0,MATCH(Q$4,$H$22:$BK$22,0)))))=0,"",SUMPRODUCT((($F$23:$F$400="상급종합병원")+($F$23:$F$400="종합병원"))*INDEX($H$23:$BK$400,0,MATCH(Q$4,$H$22:$BK$22,0)))),"")</f>
        <v/>
      </c>
      <c r="R6" s="493">
        <f>IFERROR(IF(SUMPRODUCT(N(ISNUMBER(INDEX($H$23:$BK$400,0,MATCH(R$4,$H$22:$BK$22,0)))))=0,"",SUMPRODUCT((($F$23:$F$400="상급종합병원")+($F$23:$F$400="종합병원"))*INDEX($H$23:$BK$400,0,MATCH(R$4,$H$22:$BK$22,0)))),"")</f>
        <v/>
      </c>
      <c r="S6" s="493">
        <f>IFERROR(IF(SUMPRODUCT(N(ISNUMBER(INDEX($H$23:$BK$400,0,MATCH(S$4,$H$22:$BK$22,0)))))=0,"",SUMPRODUCT((($F$23:$F$400="상급종합병원")+($F$23:$F$400="종합병원"))*INDEX($H$23:$BK$400,0,MATCH(S$4,$H$22:$BK$22,0)))),"")</f>
        <v/>
      </c>
      <c r="T6" s="493">
        <f>IFERROR(IF(SUMPRODUCT(N(ISNUMBER(INDEX($H$23:$BK$400,0,MATCH(T$4,$H$22:$BK$22,0)))))=0,"",SUMPRODUCT((($F$23:$F$400="상급종합병원")+($F$23:$F$400="종합병원"))*INDEX($H$23:$BK$400,0,MATCH(T$4,$H$22:$BK$22,0)))),"")</f>
        <v/>
      </c>
      <c r="U6" s="493">
        <f>IFERROR(IF(SUMPRODUCT(N(ISNUMBER(INDEX($H$23:$BK$400,0,MATCH(U$4,$H$22:$BK$22,0)))))=0,"",SUMPRODUCT((($F$23:$F$400="상급종합병원")+($F$23:$F$400="종합병원"))*INDEX($H$23:$BK$400,0,MATCH(U$4,$H$22:$BK$22,0)))),"")</f>
        <v/>
      </c>
      <c r="V6" s="493">
        <f>IFERROR(IF(SUMPRODUCT(N(ISNUMBER(INDEX($H$23:$BK$400,0,MATCH(V$4,$H$22:$BK$22,0)))))=0,"",SUMPRODUCT((($F$23:$F$400="상급종합병원")+($F$23:$F$400="종합병원"))*INDEX($H$23:$BK$400,0,MATCH(V$4,$H$22:$BK$22,0)))),"")</f>
        <v/>
      </c>
      <c r="W6" s="493">
        <f>IFERROR(IF(SUMPRODUCT(N(ISNUMBER(INDEX($H$23:$BK$400,0,MATCH(W$4,$H$22:$BK$22,0)))))=0,"",SUMPRODUCT((($F$23:$F$400="상급종합병원")+($F$23:$F$400="종합병원"))*INDEX($H$23:$BK$400,0,MATCH(W$4,$H$22:$BK$22,0)))),"")</f>
        <v/>
      </c>
      <c r="X6" s="493">
        <f>IFERROR(IF(SUMPRODUCT(N(ISNUMBER(INDEX($H$23:$BK$400,0,MATCH(X$4,$H$22:$BK$22,0)))))=0,"",SUMPRODUCT((($F$23:$F$400="상급종합병원")+($F$23:$F$400="종합병원"))*INDEX($H$23:$BK$400,0,MATCH(X$4,$H$22:$BK$22,0)))),"")</f>
        <v/>
      </c>
      <c r="Y6" s="493">
        <f>IFERROR(IF(SUMPRODUCT(N(ISNUMBER(INDEX($H$23:$BK$400,0,MATCH(Y$4,$H$22:$BK$22,0)))))=0,"",SUMPRODUCT((($F$23:$F$400="상급종합병원")+($F$23:$F$400="종합병원"))*INDEX($H$23:$BK$400,0,MATCH(Y$4,$H$22:$BK$22,0)))),"")</f>
        <v/>
      </c>
      <c r="Z6" s="493">
        <f>IFERROR(IF(SUMPRODUCT(N(ISNUMBER(INDEX($H$23:$BK$400,0,MATCH(Z$4,$H$22:$BK$22,0)))))=0,"",SUMPRODUCT((($F$23:$F$400="상급종합병원")+($F$23:$F$400="종합병원"))*INDEX($H$23:$BK$400,0,MATCH(Z$4,$H$22:$BK$22,0)))),"")</f>
        <v/>
      </c>
      <c r="AA6" s="493">
        <f>IFERROR(IF(SUMPRODUCT(N(ISNUMBER(INDEX($H$23:$BK$400,0,MATCH(AA$4,$H$22:$BK$22,0)))))=0,"",SUMPRODUCT((($F$23:$F$400="상급종합병원")+($F$23:$F$400="종합병원"))*INDEX($H$23:$BK$400,0,MATCH(AA$4,$H$22:$BK$22,0)))),"")</f>
        <v/>
      </c>
      <c r="AB6" s="493">
        <f>IFERROR(IF(SUMPRODUCT(N(ISNUMBER(INDEX($H$23:$BK$400,0,MATCH(AB$4,$H$22:$BK$22,0)))))=0,"",SUMPRODUCT((($F$23:$F$400="상급종합병원")+($F$23:$F$400="종합병원"))*INDEX($H$23:$BK$400,0,MATCH(AB$4,$H$22:$BK$22,0)))),"")</f>
        <v/>
      </c>
      <c r="AC6" s="493">
        <f>IFERROR(IF(SUMPRODUCT(N(ISNUMBER(INDEX($H$23:$BK$400,0,MATCH(AC$4,$H$22:$BK$22,0)))))=0,"",SUMPRODUCT((($F$23:$F$400="상급종합병원")+($F$23:$F$400="종합병원"))*INDEX($H$23:$BK$400,0,MATCH(AC$4,$H$22:$BK$22,0)))),"")</f>
        <v/>
      </c>
      <c r="AD6" s="493">
        <f>IFERROR(IF(SUMPRODUCT(N(ISNUMBER(INDEX($H$23:$BK$400,0,MATCH(AD$4,$H$22:$BK$22,0)))))=0,"",SUMPRODUCT((($F$23:$F$400="상급종합병원")+($F$23:$F$400="종합병원"))*INDEX($H$23:$BK$400,0,MATCH(AD$4,$H$22:$BK$22,0)))),"")</f>
        <v/>
      </c>
      <c r="AE6" s="493">
        <f>IFERROR(IF(SUMPRODUCT(N(ISNUMBER(INDEX($H$23:$BK$400,0,MATCH(AE$4,$H$22:$BK$22,0)))))=0,"",SUMPRODUCT((($F$23:$F$400="상급종합병원")+($F$23:$F$400="종합병원"))*INDEX($H$23:$BK$400,0,MATCH(AE$4,$H$22:$BK$22,0)))),"")</f>
        <v/>
      </c>
      <c r="AF6" s="493">
        <f>IFERROR(IF(SUMPRODUCT(N(ISNUMBER(INDEX($H$23:$BK$400,0,MATCH(AF$4,$H$22:$BK$22,0)))))=0,"",SUMPRODUCT((($F$23:$F$400="상급종합병원")+($F$23:$F$400="종합병원"))*INDEX($H$23:$BK$400,0,MATCH(AF$4,$H$22:$BK$22,0)))),"")</f>
        <v/>
      </c>
      <c r="AG6" s="493">
        <f>IFERROR(IF(SUMPRODUCT(N(ISNUMBER(INDEX($H$23:$BK$400,0,MATCH(AG$4,$H$22:$BK$22,0)))))=0,"",SUMPRODUCT((($F$23:$F$400="상급종합병원")+($F$23:$F$400="종합병원"))*INDEX($H$23:$BK$400,0,MATCH(AG$4,$H$22:$BK$22,0)))),"")</f>
        <v/>
      </c>
      <c r="AH6" s="493">
        <f>IFERROR(IF(SUMPRODUCT(N(ISNUMBER(INDEX($H$23:$BK$400,0,MATCH(AH$4,$H$22:$BK$22,0)))))=0,"",SUMPRODUCT((($F$23:$F$400="상급종합병원")+($F$23:$F$400="종합병원"))*INDEX($H$23:$BK$400,0,MATCH(AH$4,$H$22:$BK$22,0)))),"")</f>
        <v/>
      </c>
      <c r="AI6" s="493">
        <f>IFERROR(IF(SUMPRODUCT(N(ISNUMBER(INDEX($H$23:$BK$400,0,MATCH(AI$4,$H$22:$BK$22,0)))))=0,"",SUMPRODUCT((($F$23:$F$400="상급종합병원")+($F$23:$F$400="종합병원"))*INDEX($H$23:$BK$400,0,MATCH(AI$4,$H$22:$BK$22,0)))),"")</f>
        <v/>
      </c>
      <c r="AJ6" s="493">
        <f>IFERROR(IF(SUMPRODUCT(N(ISNUMBER(INDEX($H$23:$BK$400,0,MATCH(AJ$4,$H$22:$BK$22,0)))))=0,"",SUMPRODUCT((($F$23:$F$400="상급종합병원")+($F$23:$F$400="종합병원"))*INDEX($H$23:$BK$400,0,MATCH(AJ$4,$H$22:$BK$22,0)))),"")</f>
        <v/>
      </c>
      <c r="AK6" s="493">
        <f>IFERROR(IF(SUMPRODUCT(N(ISNUMBER(INDEX($H$23:$BK$400,0,MATCH(AK$4,$H$22:$BK$22,0)))))=0,"",SUMPRODUCT((($F$23:$F$400="상급종합병원")+($F$23:$F$400="종합병원"))*INDEX($H$23:$BK$400,0,MATCH(AK$4,$H$22:$BK$22,0)))),"")</f>
        <v/>
      </c>
      <c r="AL6" s="493">
        <f>IFERROR(IF(SUMPRODUCT(N(ISNUMBER(INDEX($H$23:$BK$400,0,MATCH(AL$4,$H$22:$BK$22,0)))))=0,"",SUMPRODUCT((($F$23:$F$400="상급종합병원")+($F$23:$F$400="종합병원"))*INDEX($H$23:$BK$400,0,MATCH(AL$4,$H$22:$BK$22,0)))),"")</f>
        <v/>
      </c>
      <c r="AM6" s="493">
        <f>IFERROR(IF(SUMPRODUCT(N(ISNUMBER(INDEX($H$23:$BK$400,0,MATCH(AM$4,$H$22:$BK$22,0)))))=0,"",SUMPRODUCT((($F$23:$F$400="상급종합병원")+($F$23:$F$400="종합병원"))*INDEX($H$23:$BK$400,0,MATCH(AM$4,$H$22:$BK$22,0)))),"")</f>
        <v/>
      </c>
      <c r="AN6" s="493">
        <f>IFERROR(IF(SUMPRODUCT(N(ISNUMBER(INDEX($H$23:$BK$400,0,MATCH(AN$4,$H$22:$BK$22,0)))))=0,"",SUMPRODUCT((($F$23:$F$400="상급종합병원")+($F$23:$F$400="종합병원"))*INDEX($H$23:$BK$400,0,MATCH(AN$4,$H$22:$BK$22,0)))),"")</f>
        <v/>
      </c>
      <c r="AO6" s="493">
        <f>IFERROR(IF(SUMPRODUCT(N(ISNUMBER(INDEX($H$23:$BK$400,0,MATCH(AO$4,$H$22:$BK$22,0)))))=0,"",SUMPRODUCT((($F$23:$F$400="상급종합병원")+($F$23:$F$400="종합병원"))*INDEX($H$23:$BK$400,0,MATCH(AO$4,$H$22:$BK$22,0)))),"")</f>
        <v/>
      </c>
      <c r="AP6" s="493">
        <f>IFERROR(IF(SUMPRODUCT(N(ISNUMBER(INDEX($H$23:$BK$400,0,MATCH(AP$4,$H$22:$BK$22,0)))))=0,"",SUMPRODUCT((($F$23:$F$400="상급종합병원")+($F$23:$F$400="종합병원"))*INDEX($H$23:$BK$400,0,MATCH(AP$4,$H$22:$BK$22,0)))),"")</f>
        <v/>
      </c>
      <c r="AQ6" s="493">
        <f>IFERROR(IF(SUMPRODUCT(N(ISNUMBER(INDEX($H$23:$BK$400,0,MATCH(AQ$4,$H$22:$BK$22,0)))))=0,"",SUMPRODUCT((($F$23:$F$400="상급종합병원")+($F$23:$F$400="종합병원"))*INDEX($H$23:$BK$400,0,MATCH(AQ$4,$H$22:$BK$22,0)))),"")</f>
        <v/>
      </c>
      <c r="AR6" s="493">
        <f>IFERROR(IF(SUMPRODUCT(N(ISNUMBER(INDEX($H$23:$BK$400,0,MATCH(AR$4,$H$22:$BK$22,0)))))=0,"",SUMPRODUCT((($F$23:$F$400="상급종합병원")+($F$23:$F$400="종합병원"))*INDEX($H$23:$BK$400,0,MATCH(AR$4,$H$22:$BK$22,0)))),"")</f>
        <v/>
      </c>
      <c r="AS6" s="493">
        <f>IFERROR(IF(SUMPRODUCT(N(ISNUMBER(INDEX($H$23:$BK$400,0,MATCH(AS$4,$H$22:$BK$22,0)))))=0,"",SUMPRODUCT((($F$23:$F$400="상급종합병원")+($F$23:$F$400="종합병원"))*INDEX($H$23:$BK$400,0,MATCH(AS$4,$H$22:$BK$22,0)))),"")</f>
        <v/>
      </c>
      <c r="AT6" s="493">
        <f>IFERROR(IF(SUMPRODUCT(N(ISNUMBER(INDEX($H$23:$BK$400,0,MATCH(AT$4,$H$22:$BK$22,0)))))=0,"",SUMPRODUCT((($F$23:$F$400="상급종합병원")+($F$23:$F$400="종합병원"))*INDEX($H$23:$BK$400,0,MATCH(AT$4,$H$22:$BK$22,0)))),"")</f>
        <v/>
      </c>
      <c r="AU6" s="493">
        <f>IFERROR(IF(SUMPRODUCT(N(ISNUMBER(INDEX($H$23:$BK$400,0,MATCH(AU$4,$H$22:$BK$22,0)))))=0,"",SUMPRODUCT((($F$23:$F$400="상급종합병원")+($F$23:$F$400="종합병원"))*INDEX($H$23:$BK$400,0,MATCH(AU$4,$H$22:$BK$22,0)))),"")</f>
        <v/>
      </c>
      <c r="AV6" s="493">
        <f>IFERROR(IF(SUMPRODUCT(N(ISNUMBER(INDEX($H$23:$BK$400,0,MATCH(AV$4,$H$22:$BK$22,0)))))=0,"",SUMPRODUCT((($F$23:$F$400="상급종합병원")+($F$23:$F$400="종합병원"))*INDEX($H$23:$BK$400,0,MATCH(AV$4,$H$22:$BK$22,0)))),"")</f>
        <v/>
      </c>
      <c r="AW6" s="493">
        <f>IFERROR(IF(SUMPRODUCT(N(ISNUMBER(INDEX($H$23:$BK$400,0,MATCH(AW$4,$H$22:$BK$22,0)))))=0,"",SUMPRODUCT((($F$23:$F$400="상급종합병원")+($F$23:$F$400="종합병원"))*INDEX($H$23:$BK$400,0,MATCH(AW$4,$H$22:$BK$22,0)))),"")</f>
        <v/>
      </c>
      <c r="AX6" s="493">
        <f>IFERROR(IF(SUMPRODUCT(N(ISNUMBER(INDEX($H$23:$BK$400,0,MATCH(AX$4,$H$22:$BK$22,0)))))=0,"",SUMPRODUCT((($F$23:$F$400="상급종합병원")+($F$23:$F$400="종합병원"))*INDEX($H$23:$BK$400,0,MATCH(AX$4,$H$22:$BK$22,0)))),"")</f>
        <v/>
      </c>
      <c r="AY6" s="493">
        <f>IFERROR(IF(SUMPRODUCT(N(ISNUMBER(INDEX($H$23:$BK$400,0,MATCH(AY$4,$H$22:$BK$22,0)))))=0,"",SUMPRODUCT((($F$23:$F$400="상급종합병원")+($F$23:$F$400="종합병원"))*INDEX($H$23:$BK$400,0,MATCH(AY$4,$H$22:$BK$22,0)))),"")</f>
        <v/>
      </c>
      <c r="AZ6" s="493">
        <f>IFERROR(IF(SUMPRODUCT(N(ISNUMBER(INDEX($H$23:$BK$400,0,MATCH(AZ$4,$H$22:$BK$22,0)))))=0,"",SUMPRODUCT((($F$23:$F$400="상급종합병원")+($F$23:$F$400="종합병원"))*INDEX($H$23:$BK$400,0,MATCH(AZ$4,$H$22:$BK$22,0)))),"")</f>
        <v/>
      </c>
      <c r="BA6" s="493">
        <f>IFERROR(IF(SUMPRODUCT(N(ISNUMBER(INDEX($H$23:$BK$400,0,MATCH(BA$4,$H$22:$BK$22,0)))))=0,"",SUMPRODUCT((($F$23:$F$400="상급종합병원")+($F$23:$F$400="종합병원"))*INDEX($H$23:$BK$400,0,MATCH(BA$4,$H$22:$BK$22,0)))),"")</f>
        <v/>
      </c>
      <c r="BB6" s="493">
        <f>IFERROR(IF(SUMPRODUCT(N(ISNUMBER(INDEX($H$23:$BK$400,0,MATCH(BB$4,$H$22:$BK$22,0)))))=0,"",SUMPRODUCT((($F$23:$F$400="상급종합병원")+($F$23:$F$400="종합병원"))*INDEX($H$23:$BK$400,0,MATCH(BB$4,$H$22:$BK$22,0)))),"")</f>
        <v/>
      </c>
      <c r="BC6" s="493">
        <f>IFERROR(IF(SUMPRODUCT(N(ISNUMBER(INDEX($H$23:$BK$400,0,MATCH(BC$4,$H$22:$BK$22,0)))))=0,"",SUMPRODUCT((($F$23:$F$400="상급종합병원")+($F$23:$F$400="종합병원"))*INDEX($H$23:$BK$400,0,MATCH(BC$4,$H$22:$BK$22,0)))),"")</f>
        <v/>
      </c>
      <c r="BD6" s="493">
        <f>IFERROR(IF(SUMPRODUCT(N(ISNUMBER(INDEX($H$23:$BK$400,0,MATCH(BD$4,$H$22:$BK$22,0)))))=0,"",SUMPRODUCT((($F$23:$F$400="상급종합병원")+($F$23:$F$400="종합병원"))*INDEX($H$23:$BK$400,0,MATCH(BD$4,$H$22:$BK$22,0)))),"")</f>
        <v/>
      </c>
      <c r="BE6" s="493">
        <f>IFERROR(IF(SUMPRODUCT(N(ISNUMBER(INDEX($H$23:$BK$400,0,MATCH(BE$4,$H$22:$BK$22,0)))))=0,"",SUMPRODUCT((($F$23:$F$400="상급종합병원")+($F$23:$F$400="종합병원"))*INDEX($H$23:$BK$400,0,MATCH(BE$4,$H$22:$BK$22,0)))),"")</f>
        <v/>
      </c>
      <c r="BF6" s="493">
        <f>IFERROR(IF(SUMPRODUCT(N(ISNUMBER(INDEX($H$23:$BK$400,0,MATCH(BF$4,$H$22:$BK$22,0)))))=0,"",SUMPRODUCT((($F$23:$F$400="상급종합병원")+($F$23:$F$400="종합병원"))*INDEX($H$23:$BK$400,0,MATCH(BF$4,$H$22:$BK$22,0)))),"")</f>
        <v/>
      </c>
      <c r="BG6" s="493">
        <f>IFERROR(IF(SUMPRODUCT(N(ISNUMBER(INDEX($H$23:$BK$400,0,MATCH(BG$4,$H$22:$BK$22,0)))))=0,"",SUMPRODUCT((($F$23:$F$400="상급종합병원")+($F$23:$F$400="종합병원"))*INDEX($H$23:$BK$400,0,MATCH(BG$4,$H$22:$BK$22,0)))),"")</f>
        <v/>
      </c>
      <c r="BH6" s="493">
        <f>IFERROR(IF(SUMPRODUCT(N(ISNUMBER(INDEX($H$23:$BK$400,0,MATCH(BH$4,$H$22:$BK$22,0)))))=0,"",SUMPRODUCT((($F$23:$F$400="상급종합병원")+($F$23:$F$400="종합병원"))*INDEX($H$23:$BK$400,0,MATCH(BH$4,$H$22:$BK$22,0)))),"")</f>
        <v/>
      </c>
      <c r="BI6" s="493">
        <f>IFERROR(IF(SUMPRODUCT(N(ISNUMBER(INDEX($H$23:$BK$400,0,MATCH(BI$4,$H$22:$BK$22,0)))))=0,"",SUMPRODUCT((($F$23:$F$400="상급종합병원")+($F$23:$F$400="종합병원"))*INDEX($H$23:$BK$400,0,MATCH(BI$4,$H$22:$BK$22,0)))),"")</f>
        <v/>
      </c>
      <c r="BJ6" s="493">
        <f>IFERROR(IF(SUMPRODUCT(N(ISNUMBER(INDEX($H$23:$BK$400,0,MATCH(BJ$4,$H$22:$BK$22,0)))))=0,"",SUMPRODUCT((($F$23:$F$400="상급종합병원")+($F$23:$F$400="종합병원"))*INDEX($H$23:$BK$400,0,MATCH(BJ$4,$H$22:$BK$22,0)))),"")</f>
        <v/>
      </c>
      <c r="BK6" s="493">
        <f>IFERROR(IF(SUMPRODUCT(N(ISNUMBER(INDEX($H$23:$BK$400,0,MATCH(BK$4,$H$22:$BK$22,0)))))=0,"",SUMPRODUCT((($F$23:$F$400="상급종합병원")+($F$23:$F$400="종합병원"))*INDEX($H$23:$BK$400,0,MATCH(BK$4,$H$22:$BK$22,0)))),"")</f>
        <v/>
      </c>
    </row>
    <row r="7">
      <c r="A7" s="476" t="inlineStr">
        <is>
          <t>ARB_GP</t>
        </is>
      </c>
      <c r="H7" s="493">
        <f>IFERROR(IF(SUMPRODUCT(N(ISNUMBER(INDEX($H$23:$BK$400,0,MATCH(H$4,$H$22:$BK$22,0)))))=0,"",SUMPRODUCT((($F$23:$F$400="병원")+($F$23:$F$400="의원")+($F$23:$F$400="보건소")+($F$23:$F$400="기타(치과의원, 치과병원 등)"))*INDEX($H$23:$BK$400,0,MATCH(H$4,$H$22:$BK$22,0)))),"")</f>
        <v/>
      </c>
      <c r="I7" s="493">
        <f>IFERROR(IF(SUMPRODUCT(N(ISNUMBER(INDEX($H$23:$BK$400,0,MATCH(I$4,$H$22:$BK$22,0)))))=0,"",SUMPRODUCT((($F$23:$F$400="병원")+($F$23:$F$400="의원")+($F$23:$F$400="보건소")+($F$23:$F$400="기타(치과의원, 치과병원 등)"))*INDEX($H$23:$BK$400,0,MATCH(I$4,$H$22:$BK$22,0)))),"")</f>
        <v/>
      </c>
      <c r="J7" s="493">
        <f>IFERROR(IF(SUMPRODUCT(N(ISNUMBER(INDEX($H$23:$BK$400,0,MATCH(J$4,$H$22:$BK$22,0)))))=0,"",SUMPRODUCT((($F$23:$F$400="병원")+($F$23:$F$400="의원")+($F$23:$F$400="보건소")+($F$23:$F$400="기타(치과의원, 치과병원 등)"))*INDEX($H$23:$BK$400,0,MATCH(J$4,$H$22:$BK$22,0)))),"")</f>
        <v/>
      </c>
      <c r="K7" s="493">
        <f>IFERROR(IF(SUMPRODUCT(N(ISNUMBER(INDEX($H$23:$BK$400,0,MATCH(K$4,$H$22:$BK$22,0)))))=0,"",SUMPRODUCT((($F$23:$F$400="병원")+($F$23:$F$400="의원")+($F$23:$F$400="보건소")+($F$23:$F$400="기타(치과의원, 치과병원 등)"))*INDEX($H$23:$BK$400,0,MATCH(K$4,$H$22:$BK$22,0)))),"")</f>
        <v/>
      </c>
      <c r="L7" s="493">
        <f>IFERROR(IF(SUMPRODUCT(N(ISNUMBER(INDEX($H$23:$BK$400,0,MATCH(L$4,$H$22:$BK$22,0)))))=0,"",SUMPRODUCT((($F$23:$F$400="병원")+($F$23:$F$400="의원")+($F$23:$F$400="보건소")+($F$23:$F$400="기타(치과의원, 치과병원 등)"))*INDEX($H$23:$BK$400,0,MATCH(L$4,$H$22:$BK$22,0)))),"")</f>
        <v/>
      </c>
      <c r="M7" s="493">
        <f>IFERROR(IF(SUMPRODUCT(N(ISNUMBER(INDEX($H$23:$BK$400,0,MATCH(M$4,$H$22:$BK$22,0)))))=0,"",SUMPRODUCT((($F$23:$F$400="병원")+($F$23:$F$400="의원")+($F$23:$F$400="보건소")+($F$23:$F$400="기타(치과의원, 치과병원 등)"))*INDEX($H$23:$BK$400,0,MATCH(M$4,$H$22:$BK$22,0)))),"")</f>
        <v/>
      </c>
      <c r="N7" s="493">
        <f>IFERROR(IF(SUMPRODUCT(N(ISNUMBER(INDEX($H$23:$BK$400,0,MATCH(N$4,$H$22:$BK$22,0)))))=0,"",SUMPRODUCT((($F$23:$F$400="병원")+($F$23:$F$400="의원")+($F$23:$F$400="보건소")+($F$23:$F$400="기타(치과의원, 치과병원 등)"))*INDEX($H$23:$BK$400,0,MATCH(N$4,$H$22:$BK$22,0)))),"")</f>
        <v/>
      </c>
      <c r="O7" s="493">
        <f>IFERROR(IF(SUMPRODUCT(N(ISNUMBER(INDEX($H$23:$BK$400,0,MATCH(O$4,$H$22:$BK$22,0)))))=0,"",SUMPRODUCT((($F$23:$F$400="병원")+($F$23:$F$400="의원")+($F$23:$F$400="보건소")+($F$23:$F$400="기타(치과의원, 치과병원 등)"))*INDEX($H$23:$BK$400,0,MATCH(O$4,$H$22:$BK$22,0)))),"")</f>
        <v/>
      </c>
      <c r="P7" s="493">
        <f>IFERROR(IF(SUMPRODUCT(N(ISNUMBER(INDEX($H$23:$BK$400,0,MATCH(P$4,$H$22:$BK$22,0)))))=0,"",SUMPRODUCT((($F$23:$F$400="병원")+($F$23:$F$400="의원")+($F$23:$F$400="보건소")+($F$23:$F$400="기타(치과의원, 치과병원 등)"))*INDEX($H$23:$BK$400,0,MATCH(P$4,$H$22:$BK$22,0)))),"")</f>
        <v/>
      </c>
      <c r="Q7" s="493">
        <f>IFERROR(IF(SUMPRODUCT(N(ISNUMBER(INDEX($H$23:$BK$400,0,MATCH(Q$4,$H$22:$BK$22,0)))))=0,"",SUMPRODUCT((($F$23:$F$400="병원")+($F$23:$F$400="의원")+($F$23:$F$400="보건소")+($F$23:$F$400="기타(치과의원, 치과병원 등)"))*INDEX($H$23:$BK$400,0,MATCH(Q$4,$H$22:$BK$22,0)))),"")</f>
        <v/>
      </c>
      <c r="R7" s="493">
        <f>IFERROR(IF(SUMPRODUCT(N(ISNUMBER(INDEX($H$23:$BK$400,0,MATCH(R$4,$H$22:$BK$22,0)))))=0,"",SUMPRODUCT((($F$23:$F$400="병원")+($F$23:$F$400="의원")+($F$23:$F$400="보건소")+($F$23:$F$400="기타(치과의원, 치과병원 등)"))*INDEX($H$23:$BK$400,0,MATCH(R$4,$H$22:$BK$22,0)))),"")</f>
        <v/>
      </c>
      <c r="S7" s="493">
        <f>IFERROR(IF(SUMPRODUCT(N(ISNUMBER(INDEX($H$23:$BK$400,0,MATCH(S$4,$H$22:$BK$22,0)))))=0,"",SUMPRODUCT((($F$23:$F$400="병원")+($F$23:$F$400="의원")+($F$23:$F$400="보건소")+($F$23:$F$400="기타(치과의원, 치과병원 등)"))*INDEX($H$23:$BK$400,0,MATCH(S$4,$H$22:$BK$22,0)))),"")</f>
        <v/>
      </c>
      <c r="T7" s="493">
        <f>IFERROR(IF(SUMPRODUCT(N(ISNUMBER(INDEX($H$23:$BK$400,0,MATCH(T$4,$H$22:$BK$22,0)))))=0,"",SUMPRODUCT((($F$23:$F$400="병원")+($F$23:$F$400="의원")+($F$23:$F$400="보건소")+($F$23:$F$400="기타(치과의원, 치과병원 등)"))*INDEX($H$23:$BK$400,0,MATCH(T$4,$H$22:$BK$22,0)))),"")</f>
        <v/>
      </c>
      <c r="U7" s="493">
        <f>IFERROR(IF(SUMPRODUCT(N(ISNUMBER(INDEX($H$23:$BK$400,0,MATCH(U$4,$H$22:$BK$22,0)))))=0,"",SUMPRODUCT((($F$23:$F$400="병원")+($F$23:$F$400="의원")+($F$23:$F$400="보건소")+($F$23:$F$400="기타(치과의원, 치과병원 등)"))*INDEX($H$23:$BK$400,0,MATCH(U$4,$H$22:$BK$22,0)))),"")</f>
        <v/>
      </c>
      <c r="V7" s="493">
        <f>IFERROR(IF(SUMPRODUCT(N(ISNUMBER(INDEX($H$23:$BK$400,0,MATCH(V$4,$H$22:$BK$22,0)))))=0,"",SUMPRODUCT((($F$23:$F$400="병원")+($F$23:$F$400="의원")+($F$23:$F$400="보건소")+($F$23:$F$400="기타(치과의원, 치과병원 등)"))*INDEX($H$23:$BK$400,0,MATCH(V$4,$H$22:$BK$22,0)))),"")</f>
        <v/>
      </c>
      <c r="W7" s="493">
        <f>IFERROR(IF(SUMPRODUCT(N(ISNUMBER(INDEX($H$23:$BK$400,0,MATCH(W$4,$H$22:$BK$22,0)))))=0,"",SUMPRODUCT((($F$23:$F$400="병원")+($F$23:$F$400="의원")+($F$23:$F$400="보건소")+($F$23:$F$400="기타(치과의원, 치과병원 등)"))*INDEX($H$23:$BK$400,0,MATCH(W$4,$H$22:$BK$22,0)))),"")</f>
        <v/>
      </c>
      <c r="X7" s="493">
        <f>IFERROR(IF(SUMPRODUCT(N(ISNUMBER(INDEX($H$23:$BK$400,0,MATCH(X$4,$H$22:$BK$22,0)))))=0,"",SUMPRODUCT((($F$23:$F$400="병원")+($F$23:$F$400="의원")+($F$23:$F$400="보건소")+($F$23:$F$400="기타(치과의원, 치과병원 등)"))*INDEX($H$23:$BK$400,0,MATCH(X$4,$H$22:$BK$22,0)))),"")</f>
        <v/>
      </c>
      <c r="Y7" s="493">
        <f>IFERROR(IF(SUMPRODUCT(N(ISNUMBER(INDEX($H$23:$BK$400,0,MATCH(Y$4,$H$22:$BK$22,0)))))=0,"",SUMPRODUCT((($F$23:$F$400="병원")+($F$23:$F$400="의원")+($F$23:$F$400="보건소")+($F$23:$F$400="기타(치과의원, 치과병원 등)"))*INDEX($H$23:$BK$400,0,MATCH(Y$4,$H$22:$BK$22,0)))),"")</f>
        <v/>
      </c>
      <c r="Z7" s="493">
        <f>IFERROR(IF(SUMPRODUCT(N(ISNUMBER(INDEX($H$23:$BK$400,0,MATCH(Z$4,$H$22:$BK$22,0)))))=0,"",SUMPRODUCT((($F$23:$F$400="병원")+($F$23:$F$400="의원")+($F$23:$F$400="보건소")+($F$23:$F$400="기타(치과의원, 치과병원 등)"))*INDEX($H$23:$BK$400,0,MATCH(Z$4,$H$22:$BK$22,0)))),"")</f>
        <v/>
      </c>
      <c r="AA7" s="493">
        <f>IFERROR(IF(SUMPRODUCT(N(ISNUMBER(INDEX($H$23:$BK$400,0,MATCH(AA$4,$H$22:$BK$22,0)))))=0,"",SUMPRODUCT((($F$23:$F$400="병원")+($F$23:$F$400="의원")+($F$23:$F$400="보건소")+($F$23:$F$400="기타(치과의원, 치과병원 등)"))*INDEX($H$23:$BK$400,0,MATCH(AA$4,$H$22:$BK$22,0)))),"")</f>
        <v/>
      </c>
      <c r="AB7" s="493">
        <f>IFERROR(IF(SUMPRODUCT(N(ISNUMBER(INDEX($H$23:$BK$400,0,MATCH(AB$4,$H$22:$BK$22,0)))))=0,"",SUMPRODUCT((($F$23:$F$400="병원")+($F$23:$F$400="의원")+($F$23:$F$400="보건소")+($F$23:$F$400="기타(치과의원, 치과병원 등)"))*INDEX($H$23:$BK$400,0,MATCH(AB$4,$H$22:$BK$22,0)))),"")</f>
        <v/>
      </c>
      <c r="AC7" s="493">
        <f>IFERROR(IF(SUMPRODUCT(N(ISNUMBER(INDEX($H$23:$BK$400,0,MATCH(AC$4,$H$22:$BK$22,0)))))=0,"",SUMPRODUCT((($F$23:$F$400="병원")+($F$23:$F$400="의원")+($F$23:$F$400="보건소")+($F$23:$F$400="기타(치과의원, 치과병원 등)"))*INDEX($H$23:$BK$400,0,MATCH(AC$4,$H$22:$BK$22,0)))),"")</f>
        <v/>
      </c>
      <c r="AD7" s="493">
        <f>IFERROR(IF(SUMPRODUCT(N(ISNUMBER(INDEX($H$23:$BK$400,0,MATCH(AD$4,$H$22:$BK$22,0)))))=0,"",SUMPRODUCT((($F$23:$F$400="병원")+($F$23:$F$400="의원")+($F$23:$F$400="보건소")+($F$23:$F$400="기타(치과의원, 치과병원 등)"))*INDEX($H$23:$BK$400,0,MATCH(AD$4,$H$22:$BK$22,0)))),"")</f>
        <v/>
      </c>
      <c r="AE7" s="493">
        <f>IFERROR(IF(SUMPRODUCT(N(ISNUMBER(INDEX($H$23:$BK$400,0,MATCH(AE$4,$H$22:$BK$22,0)))))=0,"",SUMPRODUCT((($F$23:$F$400="병원")+($F$23:$F$400="의원")+($F$23:$F$400="보건소")+($F$23:$F$400="기타(치과의원, 치과병원 등)"))*INDEX($H$23:$BK$400,0,MATCH(AE$4,$H$22:$BK$22,0)))),"")</f>
        <v/>
      </c>
      <c r="AF7" s="493">
        <f>IFERROR(IF(SUMPRODUCT(N(ISNUMBER(INDEX($H$23:$BK$400,0,MATCH(AF$4,$H$22:$BK$22,0)))))=0,"",SUMPRODUCT((($F$23:$F$400="병원")+($F$23:$F$400="의원")+($F$23:$F$400="보건소")+($F$23:$F$400="기타(치과의원, 치과병원 등)"))*INDEX($H$23:$BK$400,0,MATCH(AF$4,$H$22:$BK$22,0)))),"")</f>
        <v/>
      </c>
      <c r="AG7" s="493">
        <f>IFERROR(IF(SUMPRODUCT(N(ISNUMBER(INDEX($H$23:$BK$400,0,MATCH(AG$4,$H$22:$BK$22,0)))))=0,"",SUMPRODUCT((($F$23:$F$400="병원")+($F$23:$F$400="의원")+($F$23:$F$400="보건소")+($F$23:$F$400="기타(치과의원, 치과병원 등)"))*INDEX($H$23:$BK$400,0,MATCH(AG$4,$H$22:$BK$22,0)))),"")</f>
        <v/>
      </c>
      <c r="AH7" s="493">
        <f>IFERROR(IF(SUMPRODUCT(N(ISNUMBER(INDEX($H$23:$BK$400,0,MATCH(AH$4,$H$22:$BK$22,0)))))=0,"",SUMPRODUCT((($F$23:$F$400="병원")+($F$23:$F$400="의원")+($F$23:$F$400="보건소")+($F$23:$F$400="기타(치과의원, 치과병원 등)"))*INDEX($H$23:$BK$400,0,MATCH(AH$4,$H$22:$BK$22,0)))),"")</f>
        <v/>
      </c>
      <c r="AI7" s="493">
        <f>IFERROR(IF(SUMPRODUCT(N(ISNUMBER(INDEX($H$23:$BK$400,0,MATCH(AI$4,$H$22:$BK$22,0)))))=0,"",SUMPRODUCT((($F$23:$F$400="병원")+($F$23:$F$400="의원")+($F$23:$F$400="보건소")+($F$23:$F$400="기타(치과의원, 치과병원 등)"))*INDEX($H$23:$BK$400,0,MATCH(AI$4,$H$22:$BK$22,0)))),"")</f>
        <v/>
      </c>
      <c r="AJ7" s="493">
        <f>IFERROR(IF(SUMPRODUCT(N(ISNUMBER(INDEX($H$23:$BK$400,0,MATCH(AJ$4,$H$22:$BK$22,0)))))=0,"",SUMPRODUCT((($F$23:$F$400="병원")+($F$23:$F$400="의원")+($F$23:$F$400="보건소")+($F$23:$F$400="기타(치과의원, 치과병원 등)"))*INDEX($H$23:$BK$400,0,MATCH(AJ$4,$H$22:$BK$22,0)))),"")</f>
        <v/>
      </c>
      <c r="AK7" s="493">
        <f>IFERROR(IF(SUMPRODUCT(N(ISNUMBER(INDEX($H$23:$BK$400,0,MATCH(AK$4,$H$22:$BK$22,0)))))=0,"",SUMPRODUCT((($F$23:$F$400="병원")+($F$23:$F$400="의원")+($F$23:$F$400="보건소")+($F$23:$F$400="기타(치과의원, 치과병원 등)"))*INDEX($H$23:$BK$400,0,MATCH(AK$4,$H$22:$BK$22,0)))),"")</f>
        <v/>
      </c>
      <c r="AL7" s="493">
        <f>IFERROR(IF(SUMPRODUCT(N(ISNUMBER(INDEX($H$23:$BK$400,0,MATCH(AL$4,$H$22:$BK$22,0)))))=0,"",SUMPRODUCT((($F$23:$F$400="병원")+($F$23:$F$400="의원")+($F$23:$F$400="보건소")+($F$23:$F$400="기타(치과의원, 치과병원 등)"))*INDEX($H$23:$BK$400,0,MATCH(AL$4,$H$22:$BK$22,0)))),"")</f>
        <v/>
      </c>
      <c r="AM7" s="493">
        <f>IFERROR(IF(SUMPRODUCT(N(ISNUMBER(INDEX($H$23:$BK$400,0,MATCH(AM$4,$H$22:$BK$22,0)))))=0,"",SUMPRODUCT((($F$23:$F$400="병원")+($F$23:$F$400="의원")+($F$23:$F$400="보건소")+($F$23:$F$400="기타(치과의원, 치과병원 등)"))*INDEX($H$23:$BK$400,0,MATCH(AM$4,$H$22:$BK$22,0)))),"")</f>
        <v/>
      </c>
      <c r="AN7" s="493">
        <f>IFERROR(IF(SUMPRODUCT(N(ISNUMBER(INDEX($H$23:$BK$400,0,MATCH(AN$4,$H$22:$BK$22,0)))))=0,"",SUMPRODUCT((($F$23:$F$400="병원")+($F$23:$F$400="의원")+($F$23:$F$400="보건소")+($F$23:$F$400="기타(치과의원, 치과병원 등)"))*INDEX($H$23:$BK$400,0,MATCH(AN$4,$H$22:$BK$22,0)))),"")</f>
        <v/>
      </c>
      <c r="AO7" s="493">
        <f>IFERROR(IF(SUMPRODUCT(N(ISNUMBER(INDEX($H$23:$BK$400,0,MATCH(AO$4,$H$22:$BK$22,0)))))=0,"",SUMPRODUCT((($F$23:$F$400="병원")+($F$23:$F$400="의원")+($F$23:$F$400="보건소")+($F$23:$F$400="기타(치과의원, 치과병원 등)"))*INDEX($H$23:$BK$400,0,MATCH(AO$4,$H$22:$BK$22,0)))),"")</f>
        <v/>
      </c>
      <c r="AP7" s="493">
        <f>IFERROR(IF(SUMPRODUCT(N(ISNUMBER(INDEX($H$23:$BK$400,0,MATCH(AP$4,$H$22:$BK$22,0)))))=0,"",SUMPRODUCT((($F$23:$F$400="병원")+($F$23:$F$400="의원")+($F$23:$F$400="보건소")+($F$23:$F$400="기타(치과의원, 치과병원 등)"))*INDEX($H$23:$BK$400,0,MATCH(AP$4,$H$22:$BK$22,0)))),"")</f>
        <v/>
      </c>
      <c r="AQ7" s="493">
        <f>IFERROR(IF(SUMPRODUCT(N(ISNUMBER(INDEX($H$23:$BK$400,0,MATCH(AQ$4,$H$22:$BK$22,0)))))=0,"",SUMPRODUCT((($F$23:$F$400="병원")+($F$23:$F$400="의원")+($F$23:$F$400="보건소")+($F$23:$F$400="기타(치과의원, 치과병원 등)"))*INDEX($H$23:$BK$400,0,MATCH(AQ$4,$H$22:$BK$22,0)))),"")</f>
        <v/>
      </c>
      <c r="AR7" s="493">
        <f>IFERROR(IF(SUMPRODUCT(N(ISNUMBER(INDEX($H$23:$BK$400,0,MATCH(AR$4,$H$22:$BK$22,0)))))=0,"",SUMPRODUCT((($F$23:$F$400="병원")+($F$23:$F$400="의원")+($F$23:$F$400="보건소")+($F$23:$F$400="기타(치과의원, 치과병원 등)"))*INDEX($H$23:$BK$400,0,MATCH(AR$4,$H$22:$BK$22,0)))),"")</f>
        <v/>
      </c>
      <c r="AS7" s="493">
        <f>IFERROR(IF(SUMPRODUCT(N(ISNUMBER(INDEX($H$23:$BK$400,0,MATCH(AS$4,$H$22:$BK$22,0)))))=0,"",SUMPRODUCT((($F$23:$F$400="병원")+($F$23:$F$400="의원")+($F$23:$F$400="보건소")+($F$23:$F$400="기타(치과의원, 치과병원 등)"))*INDEX($H$23:$BK$400,0,MATCH(AS$4,$H$22:$BK$22,0)))),"")</f>
        <v/>
      </c>
      <c r="AT7" s="493">
        <f>IFERROR(IF(SUMPRODUCT(N(ISNUMBER(INDEX($H$23:$BK$400,0,MATCH(AT$4,$H$22:$BK$22,0)))))=0,"",SUMPRODUCT((($F$23:$F$400="병원")+($F$23:$F$400="의원")+($F$23:$F$400="보건소")+($F$23:$F$400="기타(치과의원, 치과병원 등)"))*INDEX($H$23:$BK$400,0,MATCH(AT$4,$H$22:$BK$22,0)))),"")</f>
        <v/>
      </c>
      <c r="AU7" s="493">
        <f>IFERROR(IF(SUMPRODUCT(N(ISNUMBER(INDEX($H$23:$BK$400,0,MATCH(AU$4,$H$22:$BK$22,0)))))=0,"",SUMPRODUCT((($F$23:$F$400="병원")+($F$23:$F$400="의원")+($F$23:$F$400="보건소")+($F$23:$F$400="기타(치과의원, 치과병원 등)"))*INDEX($H$23:$BK$400,0,MATCH(AU$4,$H$22:$BK$22,0)))),"")</f>
        <v/>
      </c>
      <c r="AV7" s="493">
        <f>IFERROR(IF(SUMPRODUCT(N(ISNUMBER(INDEX($H$23:$BK$400,0,MATCH(AV$4,$H$22:$BK$22,0)))))=0,"",SUMPRODUCT((($F$23:$F$400="병원")+($F$23:$F$400="의원")+($F$23:$F$400="보건소")+($F$23:$F$400="기타(치과의원, 치과병원 등)"))*INDEX($H$23:$BK$400,0,MATCH(AV$4,$H$22:$BK$22,0)))),"")</f>
        <v/>
      </c>
      <c r="AW7" s="493">
        <f>IFERROR(IF(SUMPRODUCT(N(ISNUMBER(INDEX($H$23:$BK$400,0,MATCH(AW$4,$H$22:$BK$22,0)))))=0,"",SUMPRODUCT((($F$23:$F$400="병원")+($F$23:$F$400="의원")+($F$23:$F$400="보건소")+($F$23:$F$400="기타(치과의원, 치과병원 등)"))*INDEX($H$23:$BK$400,0,MATCH(AW$4,$H$22:$BK$22,0)))),"")</f>
        <v/>
      </c>
      <c r="AX7" s="493">
        <f>IFERROR(IF(SUMPRODUCT(N(ISNUMBER(INDEX($H$23:$BK$400,0,MATCH(AX$4,$H$22:$BK$22,0)))))=0,"",SUMPRODUCT((($F$23:$F$400="병원")+($F$23:$F$400="의원")+($F$23:$F$400="보건소")+($F$23:$F$400="기타(치과의원, 치과병원 등)"))*INDEX($H$23:$BK$400,0,MATCH(AX$4,$H$22:$BK$22,0)))),"")</f>
        <v/>
      </c>
      <c r="AY7" s="493">
        <f>IFERROR(IF(SUMPRODUCT(N(ISNUMBER(INDEX($H$23:$BK$400,0,MATCH(AY$4,$H$22:$BK$22,0)))))=0,"",SUMPRODUCT((($F$23:$F$400="병원")+($F$23:$F$400="의원")+($F$23:$F$400="보건소")+($F$23:$F$400="기타(치과의원, 치과병원 등)"))*INDEX($H$23:$BK$400,0,MATCH(AY$4,$H$22:$BK$22,0)))),"")</f>
        <v/>
      </c>
      <c r="AZ7" s="493">
        <f>IFERROR(IF(SUMPRODUCT(N(ISNUMBER(INDEX($H$23:$BK$400,0,MATCH(AZ$4,$H$22:$BK$22,0)))))=0,"",SUMPRODUCT((($F$23:$F$400="병원")+($F$23:$F$400="의원")+($F$23:$F$400="보건소")+($F$23:$F$400="기타(치과의원, 치과병원 등)"))*INDEX($H$23:$BK$400,0,MATCH(AZ$4,$H$22:$BK$22,0)))),"")</f>
        <v/>
      </c>
      <c r="BA7" s="493">
        <f>IFERROR(IF(SUMPRODUCT(N(ISNUMBER(INDEX($H$23:$BK$400,0,MATCH(BA$4,$H$22:$BK$22,0)))))=0,"",SUMPRODUCT((($F$23:$F$400="병원")+($F$23:$F$400="의원")+($F$23:$F$400="보건소")+($F$23:$F$400="기타(치과의원, 치과병원 등)"))*INDEX($H$23:$BK$400,0,MATCH(BA$4,$H$22:$BK$22,0)))),"")</f>
        <v/>
      </c>
      <c r="BB7" s="493">
        <f>IFERROR(IF(SUMPRODUCT(N(ISNUMBER(INDEX($H$23:$BK$400,0,MATCH(BB$4,$H$22:$BK$22,0)))))=0,"",SUMPRODUCT((($F$23:$F$400="병원")+($F$23:$F$400="의원")+($F$23:$F$400="보건소")+($F$23:$F$400="기타(치과의원, 치과병원 등)"))*INDEX($H$23:$BK$400,0,MATCH(BB$4,$H$22:$BK$22,0)))),"")</f>
        <v/>
      </c>
      <c r="BC7" s="493">
        <f>IFERROR(IF(SUMPRODUCT(N(ISNUMBER(INDEX($H$23:$BK$400,0,MATCH(BC$4,$H$22:$BK$22,0)))))=0,"",SUMPRODUCT((($F$23:$F$400="병원")+($F$23:$F$400="의원")+($F$23:$F$400="보건소")+($F$23:$F$400="기타(치과의원, 치과병원 등)"))*INDEX($H$23:$BK$400,0,MATCH(BC$4,$H$22:$BK$22,0)))),"")</f>
        <v/>
      </c>
      <c r="BD7" s="493">
        <f>IFERROR(IF(SUMPRODUCT(N(ISNUMBER(INDEX($H$23:$BK$400,0,MATCH(BD$4,$H$22:$BK$22,0)))))=0,"",SUMPRODUCT((($F$23:$F$400="병원")+($F$23:$F$400="의원")+($F$23:$F$400="보건소")+($F$23:$F$400="기타(치과의원, 치과병원 등)"))*INDEX($H$23:$BK$400,0,MATCH(BD$4,$H$22:$BK$22,0)))),"")</f>
        <v/>
      </c>
      <c r="BE7" s="493">
        <f>IFERROR(IF(SUMPRODUCT(N(ISNUMBER(INDEX($H$23:$BK$400,0,MATCH(BE$4,$H$22:$BK$22,0)))))=0,"",SUMPRODUCT((($F$23:$F$400="병원")+($F$23:$F$400="의원")+($F$23:$F$400="보건소")+($F$23:$F$400="기타(치과의원, 치과병원 등)"))*INDEX($H$23:$BK$400,0,MATCH(BE$4,$H$22:$BK$22,0)))),"")</f>
        <v/>
      </c>
      <c r="BF7" s="493">
        <f>IFERROR(IF(SUMPRODUCT(N(ISNUMBER(INDEX($H$23:$BK$400,0,MATCH(BF$4,$H$22:$BK$22,0)))))=0,"",SUMPRODUCT((($F$23:$F$400="병원")+($F$23:$F$400="의원")+($F$23:$F$400="보건소")+($F$23:$F$400="기타(치과의원, 치과병원 등)"))*INDEX($H$23:$BK$400,0,MATCH(BF$4,$H$22:$BK$22,0)))),"")</f>
        <v/>
      </c>
      <c r="BG7" s="493">
        <f>IFERROR(IF(SUMPRODUCT(N(ISNUMBER(INDEX($H$23:$BK$400,0,MATCH(BG$4,$H$22:$BK$22,0)))))=0,"",SUMPRODUCT((($F$23:$F$400="병원")+($F$23:$F$400="의원")+($F$23:$F$400="보건소")+($F$23:$F$400="기타(치과의원, 치과병원 등)"))*INDEX($H$23:$BK$400,0,MATCH(BG$4,$H$22:$BK$22,0)))),"")</f>
        <v/>
      </c>
      <c r="BH7" s="493">
        <f>IFERROR(IF(SUMPRODUCT(N(ISNUMBER(INDEX($H$23:$BK$400,0,MATCH(BH$4,$H$22:$BK$22,0)))))=0,"",SUMPRODUCT((($F$23:$F$400="병원")+($F$23:$F$400="의원")+($F$23:$F$400="보건소")+($F$23:$F$400="기타(치과의원, 치과병원 등)"))*INDEX($H$23:$BK$400,0,MATCH(BH$4,$H$22:$BK$22,0)))),"")</f>
        <v/>
      </c>
      <c r="BI7" s="493">
        <f>IFERROR(IF(SUMPRODUCT(N(ISNUMBER(INDEX($H$23:$BK$400,0,MATCH(BI$4,$H$22:$BK$22,0)))))=0,"",SUMPRODUCT((($F$23:$F$400="병원")+($F$23:$F$400="의원")+($F$23:$F$400="보건소")+($F$23:$F$400="기타(치과의원, 치과병원 등)"))*INDEX($H$23:$BK$400,0,MATCH(BI$4,$H$22:$BK$22,0)))),"")</f>
        <v/>
      </c>
      <c r="BJ7" s="493">
        <f>IFERROR(IF(SUMPRODUCT(N(ISNUMBER(INDEX($H$23:$BK$400,0,MATCH(BJ$4,$H$22:$BK$22,0)))))=0,"",SUMPRODUCT((($F$23:$F$400="병원")+($F$23:$F$400="의원")+($F$23:$F$400="보건소")+($F$23:$F$400="기타(치과의원, 치과병원 등)"))*INDEX($H$23:$BK$400,0,MATCH(BJ$4,$H$22:$BK$22,0)))),"")</f>
        <v/>
      </c>
      <c r="BK7" s="493">
        <f>IFERROR(IF(SUMPRODUCT(N(ISNUMBER(INDEX($H$23:$BK$400,0,MATCH(BK$4,$H$22:$BK$22,0)))))=0,"",SUMPRODUCT((($F$23:$F$400="병원")+($F$23:$F$400="의원")+($F$23:$F$400="보건소")+($F$23:$F$400="기타(치과의원, 치과병원 등)"))*INDEX($H$23:$BK$400,0,MATCH(BK$4,$H$22:$BK$22,0)))),"")</f>
        <v/>
      </c>
    </row>
    <row r="8">
      <c r="A8" s="476" t="inlineStr">
        <is>
          <t>ARBCCBDU_HP</t>
        </is>
      </c>
      <c r="H8" s="493">
        <f>IFERROR(IF(SUMPRODUCT(N(ISNUMBER(INDEX($H$23:$BK$400,0,MATCH(H$4,$H$22:$BK$22,0)))))=0,"",SUMPRODUCT(ISNUMBER(SEARCH("amlodipine",$E$23:$E$400))*ISNUMBER(SEARCH("hydrochlorothiazide",$E$23:$E$400))*(($F$23:$F$400="상급종합병원")+($F$23:$F$400="종합병원"))*INDEX($H$23:$BK$400,0,MATCH(H$4,$H$22:$BK$22,0)))),"")</f>
        <v/>
      </c>
      <c r="I8" s="493">
        <f>IFERROR(IF(SUMPRODUCT(N(ISNUMBER(INDEX($H$23:$BK$400,0,MATCH(I$4,$H$22:$BK$22,0)))))=0,"",SUMPRODUCT(ISNUMBER(SEARCH("amlodipine",$E$23:$E$400))*ISNUMBER(SEARCH("hydrochlorothiazide",$E$23:$E$400))*(($F$23:$F$400="상급종합병원")+($F$23:$F$400="종합병원"))*INDEX($H$23:$BK$400,0,MATCH(I$4,$H$22:$BK$22,0)))),"")</f>
        <v/>
      </c>
      <c r="J8" s="493">
        <f>IFERROR(IF(SUMPRODUCT(N(ISNUMBER(INDEX($H$23:$BK$400,0,MATCH(J$4,$H$22:$BK$22,0)))))=0,"",SUMPRODUCT(ISNUMBER(SEARCH("amlodipine",$E$23:$E$400))*ISNUMBER(SEARCH("hydrochlorothiazide",$E$23:$E$400))*(($F$23:$F$400="상급종합병원")+($F$23:$F$400="종합병원"))*INDEX($H$23:$BK$400,0,MATCH(J$4,$H$22:$BK$22,0)))),"")</f>
        <v/>
      </c>
      <c r="K8" s="493">
        <f>IFERROR(IF(SUMPRODUCT(N(ISNUMBER(INDEX($H$23:$BK$400,0,MATCH(K$4,$H$22:$BK$22,0)))))=0,"",SUMPRODUCT(ISNUMBER(SEARCH("amlodipine",$E$23:$E$400))*ISNUMBER(SEARCH("hydrochlorothiazide",$E$23:$E$400))*(($F$23:$F$400="상급종합병원")+($F$23:$F$400="종합병원"))*INDEX($H$23:$BK$400,0,MATCH(K$4,$H$22:$BK$22,0)))),"")</f>
        <v/>
      </c>
      <c r="L8" s="493">
        <f>IFERROR(IF(SUMPRODUCT(N(ISNUMBER(INDEX($H$23:$BK$400,0,MATCH(L$4,$H$22:$BK$22,0)))))=0,"",SUMPRODUCT(ISNUMBER(SEARCH("amlodipine",$E$23:$E$400))*ISNUMBER(SEARCH("hydrochlorothiazide",$E$23:$E$400))*(($F$23:$F$400="상급종합병원")+($F$23:$F$400="종합병원"))*INDEX($H$23:$BK$400,0,MATCH(L$4,$H$22:$BK$22,0)))),"")</f>
        <v/>
      </c>
      <c r="M8" s="493">
        <f>IFERROR(IF(SUMPRODUCT(N(ISNUMBER(INDEX($H$23:$BK$400,0,MATCH(M$4,$H$22:$BK$22,0)))))=0,"",SUMPRODUCT(ISNUMBER(SEARCH("amlodipine",$E$23:$E$400))*ISNUMBER(SEARCH("hydrochlorothiazide",$E$23:$E$400))*(($F$23:$F$400="상급종합병원")+($F$23:$F$400="종합병원"))*INDEX($H$23:$BK$400,0,MATCH(M$4,$H$22:$BK$22,0)))),"")</f>
        <v/>
      </c>
      <c r="N8" s="493">
        <f>IFERROR(IF(SUMPRODUCT(N(ISNUMBER(INDEX($H$23:$BK$400,0,MATCH(N$4,$H$22:$BK$22,0)))))=0,"",SUMPRODUCT(ISNUMBER(SEARCH("amlodipine",$E$23:$E$400))*ISNUMBER(SEARCH("hydrochlorothiazide",$E$23:$E$400))*(($F$23:$F$400="상급종합병원")+($F$23:$F$400="종합병원"))*INDEX($H$23:$BK$400,0,MATCH(N$4,$H$22:$BK$22,0)))),"")</f>
        <v/>
      </c>
      <c r="O8" s="493">
        <f>IFERROR(IF(SUMPRODUCT(N(ISNUMBER(INDEX($H$23:$BK$400,0,MATCH(O$4,$H$22:$BK$22,0)))))=0,"",SUMPRODUCT(ISNUMBER(SEARCH("amlodipine",$E$23:$E$400))*ISNUMBER(SEARCH("hydrochlorothiazide",$E$23:$E$400))*(($F$23:$F$400="상급종합병원")+($F$23:$F$400="종합병원"))*INDEX($H$23:$BK$400,0,MATCH(O$4,$H$22:$BK$22,0)))),"")</f>
        <v/>
      </c>
      <c r="P8" s="493">
        <f>IFERROR(IF(SUMPRODUCT(N(ISNUMBER(INDEX($H$23:$BK$400,0,MATCH(P$4,$H$22:$BK$22,0)))))=0,"",SUMPRODUCT(ISNUMBER(SEARCH("amlodipine",$E$23:$E$400))*ISNUMBER(SEARCH("hydrochlorothiazide",$E$23:$E$400))*(($F$23:$F$400="상급종합병원")+($F$23:$F$400="종합병원"))*INDEX($H$23:$BK$400,0,MATCH(P$4,$H$22:$BK$22,0)))),"")</f>
        <v/>
      </c>
      <c r="Q8" s="493">
        <f>IFERROR(IF(SUMPRODUCT(N(ISNUMBER(INDEX($H$23:$BK$400,0,MATCH(Q$4,$H$22:$BK$22,0)))))=0,"",SUMPRODUCT(ISNUMBER(SEARCH("amlodipine",$E$23:$E$400))*ISNUMBER(SEARCH("hydrochlorothiazide",$E$23:$E$400))*(($F$23:$F$400="상급종합병원")+($F$23:$F$400="종합병원"))*INDEX($H$23:$BK$400,0,MATCH(Q$4,$H$22:$BK$22,0)))),"")</f>
        <v/>
      </c>
      <c r="R8" s="493">
        <f>IFERROR(IF(SUMPRODUCT(N(ISNUMBER(INDEX($H$23:$BK$400,0,MATCH(R$4,$H$22:$BK$22,0)))))=0,"",SUMPRODUCT(ISNUMBER(SEARCH("amlodipine",$E$23:$E$400))*ISNUMBER(SEARCH("hydrochlorothiazide",$E$23:$E$400))*(($F$23:$F$400="상급종합병원")+($F$23:$F$400="종합병원"))*INDEX($H$23:$BK$400,0,MATCH(R$4,$H$22:$BK$22,0)))),"")</f>
        <v/>
      </c>
      <c r="S8" s="493">
        <f>IFERROR(IF(SUMPRODUCT(N(ISNUMBER(INDEX($H$23:$BK$400,0,MATCH(S$4,$H$22:$BK$22,0)))))=0,"",SUMPRODUCT(ISNUMBER(SEARCH("amlodipine",$E$23:$E$400))*ISNUMBER(SEARCH("hydrochlorothiazide",$E$23:$E$400))*(($F$23:$F$400="상급종합병원")+($F$23:$F$400="종합병원"))*INDEX($H$23:$BK$400,0,MATCH(S$4,$H$22:$BK$22,0)))),"")</f>
        <v/>
      </c>
      <c r="T8" s="493">
        <f>IFERROR(IF(SUMPRODUCT(N(ISNUMBER(INDEX($H$23:$BK$400,0,MATCH(T$4,$H$22:$BK$22,0)))))=0,"",SUMPRODUCT(ISNUMBER(SEARCH("amlodipine",$E$23:$E$400))*ISNUMBER(SEARCH("hydrochlorothiazide",$E$23:$E$400))*(($F$23:$F$400="상급종합병원")+($F$23:$F$400="종합병원"))*INDEX($H$23:$BK$400,0,MATCH(T$4,$H$22:$BK$22,0)))),"")</f>
        <v/>
      </c>
      <c r="U8" s="493">
        <f>IFERROR(IF(SUMPRODUCT(N(ISNUMBER(INDEX($H$23:$BK$400,0,MATCH(U$4,$H$22:$BK$22,0)))))=0,"",SUMPRODUCT(ISNUMBER(SEARCH("amlodipine",$E$23:$E$400))*ISNUMBER(SEARCH("hydrochlorothiazide",$E$23:$E$400))*(($F$23:$F$400="상급종합병원")+($F$23:$F$400="종합병원"))*INDEX($H$23:$BK$400,0,MATCH(U$4,$H$22:$BK$22,0)))),"")</f>
        <v/>
      </c>
      <c r="V8" s="493">
        <f>IFERROR(IF(SUMPRODUCT(N(ISNUMBER(INDEX($H$23:$BK$400,0,MATCH(V$4,$H$22:$BK$22,0)))))=0,"",SUMPRODUCT(ISNUMBER(SEARCH("amlodipine",$E$23:$E$400))*ISNUMBER(SEARCH("hydrochlorothiazide",$E$23:$E$400))*(($F$23:$F$400="상급종합병원")+($F$23:$F$400="종합병원"))*INDEX($H$23:$BK$400,0,MATCH(V$4,$H$22:$BK$22,0)))),"")</f>
        <v/>
      </c>
      <c r="W8" s="493">
        <f>IFERROR(IF(SUMPRODUCT(N(ISNUMBER(INDEX($H$23:$BK$400,0,MATCH(W$4,$H$22:$BK$22,0)))))=0,"",SUMPRODUCT(ISNUMBER(SEARCH("amlodipine",$E$23:$E$400))*ISNUMBER(SEARCH("hydrochlorothiazide",$E$23:$E$400))*(($F$23:$F$400="상급종합병원")+($F$23:$F$400="종합병원"))*INDEX($H$23:$BK$400,0,MATCH(W$4,$H$22:$BK$22,0)))),"")</f>
        <v/>
      </c>
      <c r="X8" s="493">
        <f>IFERROR(IF(SUMPRODUCT(N(ISNUMBER(INDEX($H$23:$BK$400,0,MATCH(X$4,$H$22:$BK$22,0)))))=0,"",SUMPRODUCT(ISNUMBER(SEARCH("amlodipine",$E$23:$E$400))*ISNUMBER(SEARCH("hydrochlorothiazide",$E$23:$E$400))*(($F$23:$F$400="상급종합병원")+($F$23:$F$400="종합병원"))*INDEX($H$23:$BK$400,0,MATCH(X$4,$H$22:$BK$22,0)))),"")</f>
        <v/>
      </c>
      <c r="Y8" s="493">
        <f>IFERROR(IF(SUMPRODUCT(N(ISNUMBER(INDEX($H$23:$BK$400,0,MATCH(Y$4,$H$22:$BK$22,0)))))=0,"",SUMPRODUCT(ISNUMBER(SEARCH("amlodipine",$E$23:$E$400))*ISNUMBER(SEARCH("hydrochlorothiazide",$E$23:$E$400))*(($F$23:$F$400="상급종합병원")+($F$23:$F$400="종합병원"))*INDEX($H$23:$BK$400,0,MATCH(Y$4,$H$22:$BK$22,0)))),"")</f>
        <v/>
      </c>
      <c r="Z8" s="493">
        <f>IFERROR(IF(SUMPRODUCT(N(ISNUMBER(INDEX($H$23:$BK$400,0,MATCH(Z$4,$H$22:$BK$22,0)))))=0,"",SUMPRODUCT(ISNUMBER(SEARCH("amlodipine",$E$23:$E$400))*ISNUMBER(SEARCH("hydrochlorothiazide",$E$23:$E$400))*(($F$23:$F$400="상급종합병원")+($F$23:$F$400="종합병원"))*INDEX($H$23:$BK$400,0,MATCH(Z$4,$H$22:$BK$22,0)))),"")</f>
        <v/>
      </c>
      <c r="AA8" s="493">
        <f>IFERROR(IF(SUMPRODUCT(N(ISNUMBER(INDEX($H$23:$BK$400,0,MATCH(AA$4,$H$22:$BK$22,0)))))=0,"",SUMPRODUCT(ISNUMBER(SEARCH("amlodipine",$E$23:$E$400))*ISNUMBER(SEARCH("hydrochlorothiazide",$E$23:$E$400))*(($F$23:$F$400="상급종합병원")+($F$23:$F$400="종합병원"))*INDEX($H$23:$BK$400,0,MATCH(AA$4,$H$22:$BK$22,0)))),"")</f>
        <v/>
      </c>
      <c r="AB8" s="493">
        <f>IFERROR(IF(SUMPRODUCT(N(ISNUMBER(INDEX($H$23:$BK$400,0,MATCH(AB$4,$H$22:$BK$22,0)))))=0,"",SUMPRODUCT(ISNUMBER(SEARCH("amlodipine",$E$23:$E$400))*ISNUMBER(SEARCH("hydrochlorothiazide",$E$23:$E$400))*(($F$23:$F$400="상급종합병원")+($F$23:$F$400="종합병원"))*INDEX($H$23:$BK$400,0,MATCH(AB$4,$H$22:$BK$22,0)))),"")</f>
        <v/>
      </c>
      <c r="AC8" s="493">
        <f>IFERROR(IF(SUMPRODUCT(N(ISNUMBER(INDEX($H$23:$BK$400,0,MATCH(AC$4,$H$22:$BK$22,0)))))=0,"",SUMPRODUCT(ISNUMBER(SEARCH("amlodipine",$E$23:$E$400))*ISNUMBER(SEARCH("hydrochlorothiazide",$E$23:$E$400))*(($F$23:$F$400="상급종합병원")+($F$23:$F$400="종합병원"))*INDEX($H$23:$BK$400,0,MATCH(AC$4,$H$22:$BK$22,0)))),"")</f>
        <v/>
      </c>
      <c r="AD8" s="493">
        <f>IFERROR(IF(SUMPRODUCT(N(ISNUMBER(INDEX($H$23:$BK$400,0,MATCH(AD$4,$H$22:$BK$22,0)))))=0,"",SUMPRODUCT(ISNUMBER(SEARCH("amlodipine",$E$23:$E$400))*ISNUMBER(SEARCH("hydrochlorothiazide",$E$23:$E$400))*(($F$23:$F$400="상급종합병원")+($F$23:$F$400="종합병원"))*INDEX($H$23:$BK$400,0,MATCH(AD$4,$H$22:$BK$22,0)))),"")</f>
        <v/>
      </c>
      <c r="AE8" s="493">
        <f>IFERROR(IF(SUMPRODUCT(N(ISNUMBER(INDEX($H$23:$BK$400,0,MATCH(AE$4,$H$22:$BK$22,0)))))=0,"",SUMPRODUCT(ISNUMBER(SEARCH("amlodipine",$E$23:$E$400))*ISNUMBER(SEARCH("hydrochlorothiazide",$E$23:$E$400))*(($F$23:$F$400="상급종합병원")+($F$23:$F$400="종합병원"))*INDEX($H$23:$BK$400,0,MATCH(AE$4,$H$22:$BK$22,0)))),"")</f>
        <v/>
      </c>
      <c r="AF8" s="493">
        <f>IFERROR(IF(SUMPRODUCT(N(ISNUMBER(INDEX($H$23:$BK$400,0,MATCH(AF$4,$H$22:$BK$22,0)))))=0,"",SUMPRODUCT(ISNUMBER(SEARCH("amlodipine",$E$23:$E$400))*ISNUMBER(SEARCH("hydrochlorothiazide",$E$23:$E$400))*(($F$23:$F$400="상급종합병원")+($F$23:$F$400="종합병원"))*INDEX($H$23:$BK$400,0,MATCH(AF$4,$H$22:$BK$22,0)))),"")</f>
        <v/>
      </c>
      <c r="AG8" s="493">
        <f>IFERROR(IF(SUMPRODUCT(N(ISNUMBER(INDEX($H$23:$BK$400,0,MATCH(AG$4,$H$22:$BK$22,0)))))=0,"",SUMPRODUCT(ISNUMBER(SEARCH("amlodipine",$E$23:$E$400))*ISNUMBER(SEARCH("hydrochlorothiazide",$E$23:$E$400))*(($F$23:$F$400="상급종합병원")+($F$23:$F$400="종합병원"))*INDEX($H$23:$BK$400,0,MATCH(AG$4,$H$22:$BK$22,0)))),"")</f>
        <v/>
      </c>
      <c r="AH8" s="493">
        <f>IFERROR(IF(SUMPRODUCT(N(ISNUMBER(INDEX($H$23:$BK$400,0,MATCH(AH$4,$H$22:$BK$22,0)))))=0,"",SUMPRODUCT(ISNUMBER(SEARCH("amlodipine",$E$23:$E$400))*ISNUMBER(SEARCH("hydrochlorothiazide",$E$23:$E$400))*(($F$23:$F$400="상급종합병원")+($F$23:$F$400="종합병원"))*INDEX($H$23:$BK$400,0,MATCH(AH$4,$H$22:$BK$22,0)))),"")</f>
        <v/>
      </c>
      <c r="AI8" s="493">
        <f>IFERROR(IF(SUMPRODUCT(N(ISNUMBER(INDEX($H$23:$BK$400,0,MATCH(AI$4,$H$22:$BK$22,0)))))=0,"",SUMPRODUCT(ISNUMBER(SEARCH("amlodipine",$E$23:$E$400))*ISNUMBER(SEARCH("hydrochlorothiazide",$E$23:$E$400))*(($F$23:$F$400="상급종합병원")+($F$23:$F$400="종합병원"))*INDEX($H$23:$BK$400,0,MATCH(AI$4,$H$22:$BK$22,0)))),"")</f>
        <v/>
      </c>
      <c r="AJ8" s="493">
        <f>IFERROR(IF(SUMPRODUCT(N(ISNUMBER(INDEX($H$23:$BK$400,0,MATCH(AJ$4,$H$22:$BK$22,0)))))=0,"",SUMPRODUCT(ISNUMBER(SEARCH("amlodipine",$E$23:$E$400))*ISNUMBER(SEARCH("hydrochlorothiazide",$E$23:$E$400))*(($F$23:$F$400="상급종합병원")+($F$23:$F$400="종합병원"))*INDEX($H$23:$BK$400,0,MATCH(AJ$4,$H$22:$BK$22,0)))),"")</f>
        <v/>
      </c>
      <c r="AK8" s="493">
        <f>IFERROR(IF(SUMPRODUCT(N(ISNUMBER(INDEX($H$23:$BK$400,0,MATCH(AK$4,$H$22:$BK$22,0)))))=0,"",SUMPRODUCT(ISNUMBER(SEARCH("amlodipine",$E$23:$E$400))*ISNUMBER(SEARCH("hydrochlorothiazide",$E$23:$E$400))*(($F$23:$F$400="상급종합병원")+($F$23:$F$400="종합병원"))*INDEX($H$23:$BK$400,0,MATCH(AK$4,$H$22:$BK$22,0)))),"")</f>
        <v/>
      </c>
      <c r="AL8" s="493">
        <f>IFERROR(IF(SUMPRODUCT(N(ISNUMBER(INDEX($H$23:$BK$400,0,MATCH(AL$4,$H$22:$BK$22,0)))))=0,"",SUMPRODUCT(ISNUMBER(SEARCH("amlodipine",$E$23:$E$400))*ISNUMBER(SEARCH("hydrochlorothiazide",$E$23:$E$400))*(($F$23:$F$400="상급종합병원")+($F$23:$F$400="종합병원"))*INDEX($H$23:$BK$400,0,MATCH(AL$4,$H$22:$BK$22,0)))),"")</f>
        <v/>
      </c>
      <c r="AM8" s="493">
        <f>IFERROR(IF(SUMPRODUCT(N(ISNUMBER(INDEX($H$23:$BK$400,0,MATCH(AM$4,$H$22:$BK$22,0)))))=0,"",SUMPRODUCT(ISNUMBER(SEARCH("amlodipine",$E$23:$E$400))*ISNUMBER(SEARCH("hydrochlorothiazide",$E$23:$E$400))*(($F$23:$F$400="상급종합병원")+($F$23:$F$400="종합병원"))*INDEX($H$23:$BK$400,0,MATCH(AM$4,$H$22:$BK$22,0)))),"")</f>
        <v/>
      </c>
      <c r="AN8" s="493">
        <f>IFERROR(IF(SUMPRODUCT(N(ISNUMBER(INDEX($H$23:$BK$400,0,MATCH(AN$4,$H$22:$BK$22,0)))))=0,"",SUMPRODUCT(ISNUMBER(SEARCH("amlodipine",$E$23:$E$400))*ISNUMBER(SEARCH("hydrochlorothiazide",$E$23:$E$400))*(($F$23:$F$400="상급종합병원")+($F$23:$F$400="종합병원"))*INDEX($H$23:$BK$400,0,MATCH(AN$4,$H$22:$BK$22,0)))),"")</f>
        <v/>
      </c>
      <c r="AO8" s="493">
        <f>IFERROR(IF(SUMPRODUCT(N(ISNUMBER(INDEX($H$23:$BK$400,0,MATCH(AO$4,$H$22:$BK$22,0)))))=0,"",SUMPRODUCT(ISNUMBER(SEARCH("amlodipine",$E$23:$E$400))*ISNUMBER(SEARCH("hydrochlorothiazide",$E$23:$E$400))*(($F$23:$F$400="상급종합병원")+($F$23:$F$400="종합병원"))*INDEX($H$23:$BK$400,0,MATCH(AO$4,$H$22:$BK$22,0)))),"")</f>
        <v/>
      </c>
      <c r="AP8" s="493">
        <f>IFERROR(IF(SUMPRODUCT(N(ISNUMBER(INDEX($H$23:$BK$400,0,MATCH(AP$4,$H$22:$BK$22,0)))))=0,"",SUMPRODUCT(ISNUMBER(SEARCH("amlodipine",$E$23:$E$400))*ISNUMBER(SEARCH("hydrochlorothiazide",$E$23:$E$400))*(($F$23:$F$400="상급종합병원")+($F$23:$F$400="종합병원"))*INDEX($H$23:$BK$400,0,MATCH(AP$4,$H$22:$BK$22,0)))),"")</f>
        <v/>
      </c>
      <c r="AQ8" s="493">
        <f>IFERROR(IF(SUMPRODUCT(N(ISNUMBER(INDEX($H$23:$BK$400,0,MATCH(AQ$4,$H$22:$BK$22,0)))))=0,"",SUMPRODUCT(ISNUMBER(SEARCH("amlodipine",$E$23:$E$400))*ISNUMBER(SEARCH("hydrochlorothiazide",$E$23:$E$400))*(($F$23:$F$400="상급종합병원")+($F$23:$F$400="종합병원"))*INDEX($H$23:$BK$400,0,MATCH(AQ$4,$H$22:$BK$22,0)))),"")</f>
        <v/>
      </c>
      <c r="AR8" s="493">
        <f>IFERROR(IF(SUMPRODUCT(N(ISNUMBER(INDEX($H$23:$BK$400,0,MATCH(AR$4,$H$22:$BK$22,0)))))=0,"",SUMPRODUCT(ISNUMBER(SEARCH("amlodipine",$E$23:$E$400))*ISNUMBER(SEARCH("hydrochlorothiazide",$E$23:$E$400))*(($F$23:$F$400="상급종합병원")+($F$23:$F$400="종합병원"))*INDEX($H$23:$BK$400,0,MATCH(AR$4,$H$22:$BK$22,0)))),"")</f>
        <v/>
      </c>
      <c r="AS8" s="493">
        <f>IFERROR(IF(SUMPRODUCT(N(ISNUMBER(INDEX($H$23:$BK$400,0,MATCH(AS$4,$H$22:$BK$22,0)))))=0,"",SUMPRODUCT(ISNUMBER(SEARCH("amlodipine",$E$23:$E$400))*ISNUMBER(SEARCH("hydrochlorothiazide",$E$23:$E$400))*(($F$23:$F$400="상급종합병원")+($F$23:$F$400="종합병원"))*INDEX($H$23:$BK$400,0,MATCH(AS$4,$H$22:$BK$22,0)))),"")</f>
        <v/>
      </c>
      <c r="AT8" s="493">
        <f>IFERROR(IF(SUMPRODUCT(N(ISNUMBER(INDEX($H$23:$BK$400,0,MATCH(AT$4,$H$22:$BK$22,0)))))=0,"",SUMPRODUCT(ISNUMBER(SEARCH("amlodipine",$E$23:$E$400))*ISNUMBER(SEARCH("hydrochlorothiazide",$E$23:$E$400))*(($F$23:$F$400="상급종합병원")+($F$23:$F$400="종합병원"))*INDEX($H$23:$BK$400,0,MATCH(AT$4,$H$22:$BK$22,0)))),"")</f>
        <v/>
      </c>
      <c r="AU8" s="493">
        <f>IFERROR(IF(SUMPRODUCT(N(ISNUMBER(INDEX($H$23:$BK$400,0,MATCH(AU$4,$H$22:$BK$22,0)))))=0,"",SUMPRODUCT(ISNUMBER(SEARCH("amlodipine",$E$23:$E$400))*ISNUMBER(SEARCH("hydrochlorothiazide",$E$23:$E$400))*(($F$23:$F$400="상급종합병원")+($F$23:$F$400="종합병원"))*INDEX($H$23:$BK$400,0,MATCH(AU$4,$H$22:$BK$22,0)))),"")</f>
        <v/>
      </c>
      <c r="AV8" s="493">
        <f>IFERROR(IF(SUMPRODUCT(N(ISNUMBER(INDEX($H$23:$BK$400,0,MATCH(AV$4,$H$22:$BK$22,0)))))=0,"",SUMPRODUCT(ISNUMBER(SEARCH("amlodipine",$E$23:$E$400))*ISNUMBER(SEARCH("hydrochlorothiazide",$E$23:$E$400))*(($F$23:$F$400="상급종합병원")+($F$23:$F$400="종합병원"))*INDEX($H$23:$BK$400,0,MATCH(AV$4,$H$22:$BK$22,0)))),"")</f>
        <v/>
      </c>
      <c r="AW8" s="493">
        <f>IFERROR(IF(SUMPRODUCT(N(ISNUMBER(INDEX($H$23:$BK$400,0,MATCH(AW$4,$H$22:$BK$22,0)))))=0,"",SUMPRODUCT(ISNUMBER(SEARCH("amlodipine",$E$23:$E$400))*ISNUMBER(SEARCH("hydrochlorothiazide",$E$23:$E$400))*(($F$23:$F$400="상급종합병원")+($F$23:$F$400="종합병원"))*INDEX($H$23:$BK$400,0,MATCH(AW$4,$H$22:$BK$22,0)))),"")</f>
        <v/>
      </c>
      <c r="AX8" s="493">
        <f>IFERROR(IF(SUMPRODUCT(N(ISNUMBER(INDEX($H$23:$BK$400,0,MATCH(AX$4,$H$22:$BK$22,0)))))=0,"",SUMPRODUCT(ISNUMBER(SEARCH("amlodipine",$E$23:$E$400))*ISNUMBER(SEARCH("hydrochlorothiazide",$E$23:$E$400))*(($F$23:$F$400="상급종합병원")+($F$23:$F$400="종합병원"))*INDEX($H$23:$BK$400,0,MATCH(AX$4,$H$22:$BK$22,0)))),"")</f>
        <v/>
      </c>
      <c r="AY8" s="493">
        <f>IFERROR(IF(SUMPRODUCT(N(ISNUMBER(INDEX($H$23:$BK$400,0,MATCH(AY$4,$H$22:$BK$22,0)))))=0,"",SUMPRODUCT(ISNUMBER(SEARCH("amlodipine",$E$23:$E$400))*ISNUMBER(SEARCH("hydrochlorothiazide",$E$23:$E$400))*(($F$23:$F$400="상급종합병원")+($F$23:$F$400="종합병원"))*INDEX($H$23:$BK$400,0,MATCH(AY$4,$H$22:$BK$22,0)))),"")</f>
        <v/>
      </c>
      <c r="AZ8" s="493">
        <f>IFERROR(IF(SUMPRODUCT(N(ISNUMBER(INDEX($H$23:$BK$400,0,MATCH(AZ$4,$H$22:$BK$22,0)))))=0,"",SUMPRODUCT(ISNUMBER(SEARCH("amlodipine",$E$23:$E$400))*ISNUMBER(SEARCH("hydrochlorothiazide",$E$23:$E$400))*(($F$23:$F$400="상급종합병원")+($F$23:$F$400="종합병원"))*INDEX($H$23:$BK$400,0,MATCH(AZ$4,$H$22:$BK$22,0)))),"")</f>
        <v/>
      </c>
      <c r="BA8" s="493">
        <f>IFERROR(IF(SUMPRODUCT(N(ISNUMBER(INDEX($H$23:$BK$400,0,MATCH(BA$4,$H$22:$BK$22,0)))))=0,"",SUMPRODUCT(ISNUMBER(SEARCH("amlodipine",$E$23:$E$400))*ISNUMBER(SEARCH("hydrochlorothiazide",$E$23:$E$400))*(($F$23:$F$400="상급종합병원")+($F$23:$F$400="종합병원"))*INDEX($H$23:$BK$400,0,MATCH(BA$4,$H$22:$BK$22,0)))),"")</f>
        <v/>
      </c>
      <c r="BB8" s="493">
        <f>IFERROR(IF(SUMPRODUCT(N(ISNUMBER(INDEX($H$23:$BK$400,0,MATCH(BB$4,$H$22:$BK$22,0)))))=0,"",SUMPRODUCT(ISNUMBER(SEARCH("amlodipine",$E$23:$E$400))*ISNUMBER(SEARCH("hydrochlorothiazide",$E$23:$E$400))*(($F$23:$F$400="상급종합병원")+($F$23:$F$400="종합병원"))*INDEX($H$23:$BK$400,0,MATCH(BB$4,$H$22:$BK$22,0)))),"")</f>
        <v/>
      </c>
      <c r="BC8" s="493">
        <f>IFERROR(IF(SUMPRODUCT(N(ISNUMBER(INDEX($H$23:$BK$400,0,MATCH(BC$4,$H$22:$BK$22,0)))))=0,"",SUMPRODUCT(ISNUMBER(SEARCH("amlodipine",$E$23:$E$400))*ISNUMBER(SEARCH("hydrochlorothiazide",$E$23:$E$400))*(($F$23:$F$400="상급종합병원")+($F$23:$F$400="종합병원"))*INDEX($H$23:$BK$400,0,MATCH(BC$4,$H$22:$BK$22,0)))),"")</f>
        <v/>
      </c>
      <c r="BD8" s="493">
        <f>IFERROR(IF(SUMPRODUCT(N(ISNUMBER(INDEX($H$23:$BK$400,0,MATCH(BD$4,$H$22:$BK$22,0)))))=0,"",SUMPRODUCT(ISNUMBER(SEARCH("amlodipine",$E$23:$E$400))*ISNUMBER(SEARCH("hydrochlorothiazide",$E$23:$E$400))*(($F$23:$F$400="상급종합병원")+($F$23:$F$400="종합병원"))*INDEX($H$23:$BK$400,0,MATCH(BD$4,$H$22:$BK$22,0)))),"")</f>
        <v/>
      </c>
      <c r="BE8" s="493">
        <f>IFERROR(IF(SUMPRODUCT(N(ISNUMBER(INDEX($H$23:$BK$400,0,MATCH(BE$4,$H$22:$BK$22,0)))))=0,"",SUMPRODUCT(ISNUMBER(SEARCH("amlodipine",$E$23:$E$400))*ISNUMBER(SEARCH("hydrochlorothiazide",$E$23:$E$400))*(($F$23:$F$400="상급종합병원")+($F$23:$F$400="종합병원"))*INDEX($H$23:$BK$400,0,MATCH(BE$4,$H$22:$BK$22,0)))),"")</f>
        <v/>
      </c>
      <c r="BF8" s="493">
        <f>IFERROR(IF(SUMPRODUCT(N(ISNUMBER(INDEX($H$23:$BK$400,0,MATCH(BF$4,$H$22:$BK$22,0)))))=0,"",SUMPRODUCT(ISNUMBER(SEARCH("amlodipine",$E$23:$E$400))*ISNUMBER(SEARCH("hydrochlorothiazide",$E$23:$E$400))*(($F$23:$F$400="상급종합병원")+($F$23:$F$400="종합병원"))*INDEX($H$23:$BK$400,0,MATCH(BF$4,$H$22:$BK$22,0)))),"")</f>
        <v/>
      </c>
      <c r="BG8" s="493">
        <f>IFERROR(IF(SUMPRODUCT(N(ISNUMBER(INDEX($H$23:$BK$400,0,MATCH(BG$4,$H$22:$BK$22,0)))))=0,"",SUMPRODUCT(ISNUMBER(SEARCH("amlodipine",$E$23:$E$400))*ISNUMBER(SEARCH("hydrochlorothiazide",$E$23:$E$400))*(($F$23:$F$400="상급종합병원")+($F$23:$F$400="종합병원"))*INDEX($H$23:$BK$400,0,MATCH(BG$4,$H$22:$BK$22,0)))),"")</f>
        <v/>
      </c>
      <c r="BH8" s="493">
        <f>IFERROR(IF(SUMPRODUCT(N(ISNUMBER(INDEX($H$23:$BK$400,0,MATCH(BH$4,$H$22:$BK$22,0)))))=0,"",SUMPRODUCT(ISNUMBER(SEARCH("amlodipine",$E$23:$E$400))*ISNUMBER(SEARCH("hydrochlorothiazide",$E$23:$E$400))*(($F$23:$F$400="상급종합병원")+($F$23:$F$400="종합병원"))*INDEX($H$23:$BK$400,0,MATCH(BH$4,$H$22:$BK$22,0)))),"")</f>
        <v/>
      </c>
      <c r="BI8" s="493">
        <f>IFERROR(IF(SUMPRODUCT(N(ISNUMBER(INDEX($H$23:$BK$400,0,MATCH(BI$4,$H$22:$BK$22,0)))))=0,"",SUMPRODUCT(ISNUMBER(SEARCH("amlodipine",$E$23:$E$400))*ISNUMBER(SEARCH("hydrochlorothiazide",$E$23:$E$400))*(($F$23:$F$400="상급종합병원")+($F$23:$F$400="종합병원"))*INDEX($H$23:$BK$400,0,MATCH(BI$4,$H$22:$BK$22,0)))),"")</f>
        <v/>
      </c>
      <c r="BJ8" s="493">
        <f>IFERROR(IF(SUMPRODUCT(N(ISNUMBER(INDEX($H$23:$BK$400,0,MATCH(BJ$4,$H$22:$BK$22,0)))))=0,"",SUMPRODUCT(ISNUMBER(SEARCH("amlodipine",$E$23:$E$400))*ISNUMBER(SEARCH("hydrochlorothiazide",$E$23:$E$400))*(($F$23:$F$400="상급종합병원")+($F$23:$F$400="종합병원"))*INDEX($H$23:$BK$400,0,MATCH(BJ$4,$H$22:$BK$22,0)))),"")</f>
        <v/>
      </c>
      <c r="BK8" s="493">
        <f>IFERROR(IF(SUMPRODUCT(N(ISNUMBER(INDEX($H$23:$BK$400,0,MATCH(BK$4,$H$22:$BK$22,0)))))=0,"",SUMPRODUCT(ISNUMBER(SEARCH("amlodipine",$E$23:$E$400))*ISNUMBER(SEARCH("hydrochlorothiazide",$E$23:$E$400))*(($F$23:$F$400="상급종합병원")+($F$23:$F$400="종합병원"))*INDEX($H$23:$BK$400,0,MATCH(BK$4,$H$22:$BK$22,0)))),"")</f>
        <v/>
      </c>
    </row>
    <row r="9">
      <c r="A9" s="476" t="inlineStr">
        <is>
          <t>ARBCCBDU_GP</t>
        </is>
      </c>
      <c r="H9" s="493">
        <f>IFERROR(IF(SUMPRODUCT(N(ISNUMBER(INDEX($H$23:$BK$400,0,MATCH(H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등)"))*INDEX($H$23:$BK$400,0,MATCH(H$4,$H$22:$BK$22,0)))),"")</f>
        <v/>
      </c>
      <c r="I9" s="493">
        <f>IFERROR(IF(SUMPRODUCT(N(ISNUMBER(INDEX($H$23:$BK$400,0,MATCH(I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등)"))*INDEX($H$23:$BK$400,0,MATCH(I$4,$H$22:$BK$22,0)))),"")</f>
        <v/>
      </c>
      <c r="J9" s="493">
        <f>IFERROR(IF(SUMPRODUCT(N(ISNUMBER(INDEX($H$23:$BK$400,0,MATCH(J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등)"))*INDEX($H$23:$BK$400,0,MATCH(J$4,$H$22:$BK$22,0)))),"")</f>
        <v/>
      </c>
      <c r="K9" s="493">
        <f>IFERROR(IF(SUMPRODUCT(N(ISNUMBER(INDEX($H$23:$BK$400,0,MATCH(K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등)"))*INDEX($H$23:$BK$400,0,MATCH(K$4,$H$22:$BK$22,0)))),"")</f>
        <v/>
      </c>
      <c r="L9" s="493">
        <f>IFERROR(IF(SUMPRODUCT(N(ISNUMBER(INDEX($H$23:$BK$400,0,MATCH(L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등)"))*INDEX($H$23:$BK$400,0,MATCH(L$4,$H$22:$BK$22,0)))),"")</f>
        <v/>
      </c>
      <c r="M9" s="493">
        <f>IFERROR(IF(SUMPRODUCT(N(ISNUMBER(INDEX($H$23:$BK$400,0,MATCH(M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등)"))*INDEX($H$23:$BK$400,0,MATCH(M$4,$H$22:$BK$22,0)))),"")</f>
        <v/>
      </c>
      <c r="N9" s="493">
        <f>IFERROR(IF(SUMPRODUCT(N(ISNUMBER(INDEX($H$23:$BK$400,0,MATCH(N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등)"))*INDEX($H$23:$BK$400,0,MATCH(N$4,$H$22:$BK$22,0)))),"")</f>
        <v/>
      </c>
      <c r="O9" s="493">
        <f>IFERROR(IF(SUMPRODUCT(N(ISNUMBER(INDEX($H$23:$BK$400,0,MATCH(O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등)"))*INDEX($H$23:$BK$400,0,MATCH(O$4,$H$22:$BK$22,0)))),"")</f>
        <v/>
      </c>
      <c r="P9" s="493">
        <f>IFERROR(IF(SUMPRODUCT(N(ISNUMBER(INDEX($H$23:$BK$400,0,MATCH(P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등)"))*INDEX($H$23:$BK$400,0,MATCH(P$4,$H$22:$BK$22,0)))),"")</f>
        <v/>
      </c>
      <c r="Q9" s="493">
        <f>IFERROR(IF(SUMPRODUCT(N(ISNUMBER(INDEX($H$23:$BK$400,0,MATCH(Q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등)"))*INDEX($H$23:$BK$400,0,MATCH(Q$4,$H$22:$BK$22,0)))),"")</f>
        <v/>
      </c>
      <c r="R9" s="493">
        <f>IFERROR(IF(SUMPRODUCT(N(ISNUMBER(INDEX($H$23:$BK$400,0,MATCH(R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등)"))*INDEX($H$23:$BK$400,0,MATCH(R$4,$H$22:$BK$22,0)))),"")</f>
        <v/>
      </c>
      <c r="S9" s="493">
        <f>IFERROR(IF(SUMPRODUCT(N(ISNUMBER(INDEX($H$23:$BK$400,0,MATCH(S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등)"))*INDEX($H$23:$BK$400,0,MATCH(S$4,$H$22:$BK$22,0)))),"")</f>
        <v/>
      </c>
      <c r="T9" s="493">
        <f>IFERROR(IF(SUMPRODUCT(N(ISNUMBER(INDEX($H$23:$BK$400,0,MATCH(T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등)"))*INDEX($H$23:$BK$400,0,MATCH(T$4,$H$22:$BK$22,0)))),"")</f>
        <v/>
      </c>
      <c r="U9" s="493">
        <f>IFERROR(IF(SUMPRODUCT(N(ISNUMBER(INDEX($H$23:$BK$400,0,MATCH(U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등)"))*INDEX($H$23:$BK$400,0,MATCH(U$4,$H$22:$BK$22,0)))),"")</f>
        <v/>
      </c>
      <c r="V9" s="493">
        <f>IFERROR(IF(SUMPRODUCT(N(ISNUMBER(INDEX($H$23:$BK$400,0,MATCH(V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등)"))*INDEX($H$23:$BK$400,0,MATCH(V$4,$H$22:$BK$22,0)))),"")</f>
        <v/>
      </c>
      <c r="W9" s="493">
        <f>IFERROR(IF(SUMPRODUCT(N(ISNUMBER(INDEX($H$23:$BK$400,0,MATCH(W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등)"))*INDEX($H$23:$BK$400,0,MATCH(W$4,$H$22:$BK$22,0)))),"")</f>
        <v/>
      </c>
      <c r="X9" s="493">
        <f>IFERROR(IF(SUMPRODUCT(N(ISNUMBER(INDEX($H$23:$BK$400,0,MATCH(X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등)"))*INDEX($H$23:$BK$400,0,MATCH(X$4,$H$22:$BK$22,0)))),"")</f>
        <v/>
      </c>
      <c r="Y9" s="493">
        <f>IFERROR(IF(SUMPRODUCT(N(ISNUMBER(INDEX($H$23:$BK$400,0,MATCH(Y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등)"))*INDEX($H$23:$BK$400,0,MATCH(Y$4,$H$22:$BK$22,0)))),"")</f>
        <v/>
      </c>
      <c r="Z9" s="493">
        <f>IFERROR(IF(SUMPRODUCT(N(ISNUMBER(INDEX($H$23:$BK$400,0,MATCH(Z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등)"))*INDEX($H$23:$BK$400,0,MATCH(Z$4,$H$22:$BK$22,0)))),"")</f>
        <v/>
      </c>
      <c r="AA9" s="493">
        <f>IFERROR(IF(SUMPRODUCT(N(ISNUMBER(INDEX($H$23:$BK$400,0,MATCH(AA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등)"))*INDEX($H$23:$BK$400,0,MATCH(AA$4,$H$22:$BK$22,0)))),"")</f>
        <v/>
      </c>
      <c r="AB9" s="493">
        <f>IFERROR(IF(SUMPRODUCT(N(ISNUMBER(INDEX($H$23:$BK$400,0,MATCH(AB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등)"))*INDEX($H$23:$BK$400,0,MATCH(AB$4,$H$22:$BK$22,0)))),"")</f>
        <v/>
      </c>
      <c r="AC9" s="493">
        <f>IFERROR(IF(SUMPRODUCT(N(ISNUMBER(INDEX($H$23:$BK$400,0,MATCH(AC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등)"))*INDEX($H$23:$BK$400,0,MATCH(AC$4,$H$22:$BK$22,0)))),"")</f>
        <v/>
      </c>
      <c r="AD9" s="493">
        <f>IFERROR(IF(SUMPRODUCT(N(ISNUMBER(INDEX($H$23:$BK$400,0,MATCH(AD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등)"))*INDEX($H$23:$BK$400,0,MATCH(AD$4,$H$22:$BK$22,0)))),"")</f>
        <v/>
      </c>
      <c r="AE9" s="493">
        <f>IFERROR(IF(SUMPRODUCT(N(ISNUMBER(INDEX($H$23:$BK$400,0,MATCH(AE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등)"))*INDEX($H$23:$BK$400,0,MATCH(AE$4,$H$22:$BK$22,0)))),"")</f>
        <v/>
      </c>
      <c r="AF9" s="493">
        <f>IFERROR(IF(SUMPRODUCT(N(ISNUMBER(INDEX($H$23:$BK$400,0,MATCH(AF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등)"))*INDEX($H$23:$BK$400,0,MATCH(AF$4,$H$22:$BK$22,0)))),"")</f>
        <v/>
      </c>
      <c r="AG9" s="493">
        <f>IFERROR(IF(SUMPRODUCT(N(ISNUMBER(INDEX($H$23:$BK$400,0,MATCH(AG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등)"))*INDEX($H$23:$BK$400,0,MATCH(AG$4,$H$22:$BK$22,0)))),"")</f>
        <v/>
      </c>
      <c r="AH9" s="493">
        <f>IFERROR(IF(SUMPRODUCT(N(ISNUMBER(INDEX($H$23:$BK$400,0,MATCH(AH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등)"))*INDEX($H$23:$BK$400,0,MATCH(AH$4,$H$22:$BK$22,0)))),"")</f>
        <v/>
      </c>
      <c r="AI9" s="493">
        <f>IFERROR(IF(SUMPRODUCT(N(ISNUMBER(INDEX($H$23:$BK$400,0,MATCH(AI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등)"))*INDEX($H$23:$BK$400,0,MATCH(AI$4,$H$22:$BK$22,0)))),"")</f>
        <v/>
      </c>
      <c r="AJ9" s="493">
        <f>IFERROR(IF(SUMPRODUCT(N(ISNUMBER(INDEX($H$23:$BK$400,0,MATCH(AJ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등)"))*INDEX($H$23:$BK$400,0,MATCH(AJ$4,$H$22:$BK$22,0)))),"")</f>
        <v/>
      </c>
      <c r="AK9" s="493">
        <f>IFERROR(IF(SUMPRODUCT(N(ISNUMBER(INDEX($H$23:$BK$400,0,MATCH(AK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등)"))*INDEX($H$23:$BK$400,0,MATCH(AK$4,$H$22:$BK$22,0)))),"")</f>
        <v/>
      </c>
      <c r="AL9" s="493">
        <f>IFERROR(IF(SUMPRODUCT(N(ISNUMBER(INDEX($H$23:$BK$400,0,MATCH(AL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등)"))*INDEX($H$23:$BK$400,0,MATCH(AL$4,$H$22:$BK$22,0)))),"")</f>
        <v/>
      </c>
      <c r="AM9" s="493">
        <f>IFERROR(IF(SUMPRODUCT(N(ISNUMBER(INDEX($H$23:$BK$400,0,MATCH(AM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등)"))*INDEX($H$23:$BK$400,0,MATCH(AM$4,$H$22:$BK$22,0)))),"")</f>
        <v/>
      </c>
      <c r="AN9" s="493">
        <f>IFERROR(IF(SUMPRODUCT(N(ISNUMBER(INDEX($H$23:$BK$400,0,MATCH(AN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등)"))*INDEX($H$23:$BK$400,0,MATCH(AN$4,$H$22:$BK$22,0)))),"")</f>
        <v/>
      </c>
      <c r="AO9" s="493">
        <f>IFERROR(IF(SUMPRODUCT(N(ISNUMBER(INDEX($H$23:$BK$400,0,MATCH(AO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등)"))*INDEX($H$23:$BK$400,0,MATCH(AO$4,$H$22:$BK$22,0)))),"")</f>
        <v/>
      </c>
      <c r="AP9" s="493">
        <f>IFERROR(IF(SUMPRODUCT(N(ISNUMBER(INDEX($H$23:$BK$400,0,MATCH(AP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등)"))*INDEX($H$23:$BK$400,0,MATCH(AP$4,$H$22:$BK$22,0)))),"")</f>
        <v/>
      </c>
      <c r="AQ9" s="493">
        <f>IFERROR(IF(SUMPRODUCT(N(ISNUMBER(INDEX($H$23:$BK$400,0,MATCH(AQ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등)"))*INDEX($H$23:$BK$400,0,MATCH(AQ$4,$H$22:$BK$22,0)))),"")</f>
        <v/>
      </c>
      <c r="AR9" s="493">
        <f>IFERROR(IF(SUMPRODUCT(N(ISNUMBER(INDEX($H$23:$BK$400,0,MATCH(AR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등)"))*INDEX($H$23:$BK$400,0,MATCH(AR$4,$H$22:$BK$22,0)))),"")</f>
        <v/>
      </c>
      <c r="AS9" s="493">
        <f>IFERROR(IF(SUMPRODUCT(N(ISNUMBER(INDEX($H$23:$BK$400,0,MATCH(AS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등)"))*INDEX($H$23:$BK$400,0,MATCH(AS$4,$H$22:$BK$22,0)))),"")</f>
        <v/>
      </c>
      <c r="AT9" s="493">
        <f>IFERROR(IF(SUMPRODUCT(N(ISNUMBER(INDEX($H$23:$BK$400,0,MATCH(AT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등)"))*INDEX($H$23:$BK$400,0,MATCH(AT$4,$H$22:$BK$22,0)))),"")</f>
        <v/>
      </c>
      <c r="AU9" s="493">
        <f>IFERROR(IF(SUMPRODUCT(N(ISNUMBER(INDEX($H$23:$BK$400,0,MATCH(AU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등)"))*INDEX($H$23:$BK$400,0,MATCH(AU$4,$H$22:$BK$22,0)))),"")</f>
        <v/>
      </c>
      <c r="AV9" s="493">
        <f>IFERROR(IF(SUMPRODUCT(N(ISNUMBER(INDEX($H$23:$BK$400,0,MATCH(AV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등)"))*INDEX($H$23:$BK$400,0,MATCH(AV$4,$H$22:$BK$22,0)))),"")</f>
        <v/>
      </c>
      <c r="AW9" s="493">
        <f>IFERROR(IF(SUMPRODUCT(N(ISNUMBER(INDEX($H$23:$BK$400,0,MATCH(AW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등)"))*INDEX($H$23:$BK$400,0,MATCH(AW$4,$H$22:$BK$22,0)))),"")</f>
        <v/>
      </c>
      <c r="AX9" s="493">
        <f>IFERROR(IF(SUMPRODUCT(N(ISNUMBER(INDEX($H$23:$BK$400,0,MATCH(AX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등)"))*INDEX($H$23:$BK$400,0,MATCH(AX$4,$H$22:$BK$22,0)))),"")</f>
        <v/>
      </c>
      <c r="AY9" s="493">
        <f>IFERROR(IF(SUMPRODUCT(N(ISNUMBER(INDEX($H$23:$BK$400,0,MATCH(AY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등)"))*INDEX($H$23:$BK$400,0,MATCH(AY$4,$H$22:$BK$22,0)))),"")</f>
        <v/>
      </c>
      <c r="AZ9" s="493">
        <f>IFERROR(IF(SUMPRODUCT(N(ISNUMBER(INDEX($H$23:$BK$400,0,MATCH(AZ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등)"))*INDEX($H$23:$BK$400,0,MATCH(AZ$4,$H$22:$BK$22,0)))),"")</f>
        <v/>
      </c>
      <c r="BA9" s="493">
        <f>IFERROR(IF(SUMPRODUCT(N(ISNUMBER(INDEX($H$23:$BK$400,0,MATCH(BA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등)"))*INDEX($H$23:$BK$400,0,MATCH(BA$4,$H$22:$BK$22,0)))),"")</f>
        <v/>
      </c>
      <c r="BB9" s="493">
        <f>IFERROR(IF(SUMPRODUCT(N(ISNUMBER(INDEX($H$23:$BK$400,0,MATCH(BB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등)"))*INDEX($H$23:$BK$400,0,MATCH(BB$4,$H$22:$BK$22,0)))),"")</f>
        <v/>
      </c>
      <c r="BC9" s="493">
        <f>IFERROR(IF(SUMPRODUCT(N(ISNUMBER(INDEX($H$23:$BK$400,0,MATCH(BC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등)"))*INDEX($H$23:$BK$400,0,MATCH(BC$4,$H$22:$BK$22,0)))),"")</f>
        <v/>
      </c>
      <c r="BD9" s="493">
        <f>IFERROR(IF(SUMPRODUCT(N(ISNUMBER(INDEX($H$23:$BK$400,0,MATCH(BD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등)"))*INDEX($H$23:$BK$400,0,MATCH(BD$4,$H$22:$BK$22,0)))),"")</f>
        <v/>
      </c>
      <c r="BE9" s="493">
        <f>IFERROR(IF(SUMPRODUCT(N(ISNUMBER(INDEX($H$23:$BK$400,0,MATCH(BE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등)"))*INDEX($H$23:$BK$400,0,MATCH(BE$4,$H$22:$BK$22,0)))),"")</f>
        <v/>
      </c>
      <c r="BF9" s="493">
        <f>IFERROR(IF(SUMPRODUCT(N(ISNUMBER(INDEX($H$23:$BK$400,0,MATCH(BF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등)"))*INDEX($H$23:$BK$400,0,MATCH(BF$4,$H$22:$BK$22,0)))),"")</f>
        <v/>
      </c>
      <c r="BG9" s="493">
        <f>IFERROR(IF(SUMPRODUCT(N(ISNUMBER(INDEX($H$23:$BK$400,0,MATCH(BG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등)"))*INDEX($H$23:$BK$400,0,MATCH(BG$4,$H$22:$BK$22,0)))),"")</f>
        <v/>
      </c>
      <c r="BH9" s="493">
        <f>IFERROR(IF(SUMPRODUCT(N(ISNUMBER(INDEX($H$23:$BK$400,0,MATCH(BH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등)"))*INDEX($H$23:$BK$400,0,MATCH(BH$4,$H$22:$BK$22,0)))),"")</f>
        <v/>
      </c>
      <c r="BI9" s="493">
        <f>IFERROR(IF(SUMPRODUCT(N(ISNUMBER(INDEX($H$23:$BK$400,0,MATCH(BI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등)"))*INDEX($H$23:$BK$400,0,MATCH(BI$4,$H$22:$BK$22,0)))),"")</f>
        <v/>
      </c>
      <c r="BJ9" s="493">
        <f>IFERROR(IF(SUMPRODUCT(N(ISNUMBER(INDEX($H$23:$BK$400,0,MATCH(BJ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등)"))*INDEX($H$23:$BK$400,0,MATCH(BJ$4,$H$22:$BK$22,0)))),"")</f>
        <v/>
      </c>
      <c r="BK9" s="493">
        <f>IFERROR(IF(SUMPRODUCT(N(ISNUMBER(INDEX($H$23:$BK$400,0,MATCH(BK$4,$H$22:$BK$22,0)))))=0,"",SUMPRODUCT(ISNUMBER(SEARCH("amlodipine",$E$23:$E$400))*ISNUMBER(SEARCH("hydrochlorothiazide",$E$23:$E$400))*(($F$23:$F$400="병원")+($F$23:$F$400="의원")+($F$23:$F$400="보건소")+($F$23:$F$400="기타(치과의원, 치과병원 등)"))*INDEX($H$23:$BK$400,0,MATCH(BK$4,$H$22:$BK$22,0)))),"")</f>
        <v/>
      </c>
    </row>
    <row r="10">
      <c r="A10" s="476" t="inlineStr">
        <is>
          <t>OLM3_HP</t>
        </is>
      </c>
      <c r="H10" s="493">
        <f>IFERROR(IF(SUMPRODUCT(N(ISNUMBER(INDEX($H$23:$BK$400,0,MATCH(H$4,$H$22:$BK$22,0)))))=0,"",SUMPRODUCT(ISNUMBER(SEARCH("olmesartan",$E$23:$E$400))*ISNUMBER(SEARCH("amlodipine",$E$23:$E$400))*ISNUMBER(SEARCH("hydrochlorothiazide",$E$23:$E$400))*(($F$23:$F$400="상급종합병원")+($F$23:$F$400="종합병원"))*INDEX($H$23:$BK$400,0,MATCH(H$4,$H$22:$BK$22,0)))),"")</f>
        <v/>
      </c>
      <c r="I10" s="493">
        <f>IFERROR(IF(SUMPRODUCT(N(ISNUMBER(INDEX($H$23:$BK$400,0,MATCH(I$4,$H$22:$BK$22,0)))))=0,"",SUMPRODUCT(ISNUMBER(SEARCH("olmesartan",$E$23:$E$400))*ISNUMBER(SEARCH("amlodipine",$E$23:$E$400))*ISNUMBER(SEARCH("hydrochlorothiazide",$E$23:$E$400))*(($F$23:$F$400="상급종합병원")+($F$23:$F$400="종합병원"))*INDEX($H$23:$BK$400,0,MATCH(I$4,$H$22:$BK$22,0)))),"")</f>
        <v/>
      </c>
      <c r="J10" s="493">
        <f>IFERROR(IF(SUMPRODUCT(N(ISNUMBER(INDEX($H$23:$BK$400,0,MATCH(J$4,$H$22:$BK$22,0)))))=0,"",SUMPRODUCT(ISNUMBER(SEARCH("olmesartan",$E$23:$E$400))*ISNUMBER(SEARCH("amlodipine",$E$23:$E$400))*ISNUMBER(SEARCH("hydrochlorothiazide",$E$23:$E$400))*(($F$23:$F$400="상급종합병원")+($F$23:$F$400="종합병원"))*INDEX($H$23:$BK$400,0,MATCH(J$4,$H$22:$BK$22,0)))),"")</f>
        <v/>
      </c>
      <c r="K10" s="493">
        <f>IFERROR(IF(SUMPRODUCT(N(ISNUMBER(INDEX($H$23:$BK$400,0,MATCH(K$4,$H$22:$BK$22,0)))))=0,"",SUMPRODUCT(ISNUMBER(SEARCH("olmesartan",$E$23:$E$400))*ISNUMBER(SEARCH("amlodipine",$E$23:$E$400))*ISNUMBER(SEARCH("hydrochlorothiazide",$E$23:$E$400))*(($F$23:$F$400="상급종합병원")+($F$23:$F$400="종합병원"))*INDEX($H$23:$BK$400,0,MATCH(K$4,$H$22:$BK$22,0)))),"")</f>
        <v/>
      </c>
      <c r="L10" s="493">
        <f>IFERROR(IF(SUMPRODUCT(N(ISNUMBER(INDEX($H$23:$BK$400,0,MATCH(L$4,$H$22:$BK$22,0)))))=0,"",SUMPRODUCT(ISNUMBER(SEARCH("olmesartan",$E$23:$E$400))*ISNUMBER(SEARCH("amlodipine",$E$23:$E$400))*ISNUMBER(SEARCH("hydrochlorothiazide",$E$23:$E$400))*(($F$23:$F$400="상급종합병원")+($F$23:$F$400="종합병원"))*INDEX($H$23:$BK$400,0,MATCH(L$4,$H$22:$BK$22,0)))),"")</f>
        <v/>
      </c>
      <c r="M10" s="493">
        <f>IFERROR(IF(SUMPRODUCT(N(ISNUMBER(INDEX($H$23:$BK$400,0,MATCH(M$4,$H$22:$BK$22,0)))))=0,"",SUMPRODUCT(ISNUMBER(SEARCH("olmesartan",$E$23:$E$400))*ISNUMBER(SEARCH("amlodipine",$E$23:$E$400))*ISNUMBER(SEARCH("hydrochlorothiazide",$E$23:$E$400))*(($F$23:$F$400="상급종합병원")+($F$23:$F$400="종합병원"))*INDEX($H$23:$BK$400,0,MATCH(M$4,$H$22:$BK$22,0)))),"")</f>
        <v/>
      </c>
      <c r="N10" s="493">
        <f>IFERROR(IF(SUMPRODUCT(N(ISNUMBER(INDEX($H$23:$BK$400,0,MATCH(N$4,$H$22:$BK$22,0)))))=0,"",SUMPRODUCT(ISNUMBER(SEARCH("olmesartan",$E$23:$E$400))*ISNUMBER(SEARCH("amlodipine",$E$23:$E$400))*ISNUMBER(SEARCH("hydrochlorothiazide",$E$23:$E$400))*(($F$23:$F$400="상급종합병원")+($F$23:$F$400="종합병원"))*INDEX($H$23:$BK$400,0,MATCH(N$4,$H$22:$BK$22,0)))),"")</f>
        <v/>
      </c>
      <c r="O10" s="493">
        <f>IFERROR(IF(SUMPRODUCT(N(ISNUMBER(INDEX($H$23:$BK$400,0,MATCH(O$4,$H$22:$BK$22,0)))))=0,"",SUMPRODUCT(ISNUMBER(SEARCH("olmesartan",$E$23:$E$400))*ISNUMBER(SEARCH("amlodipine",$E$23:$E$400))*ISNUMBER(SEARCH("hydrochlorothiazide",$E$23:$E$400))*(($F$23:$F$400="상급종합병원")+($F$23:$F$400="종합병원"))*INDEX($H$23:$BK$400,0,MATCH(O$4,$H$22:$BK$22,0)))),"")</f>
        <v/>
      </c>
      <c r="P10" s="493">
        <f>IFERROR(IF(SUMPRODUCT(N(ISNUMBER(INDEX($H$23:$BK$400,0,MATCH(P$4,$H$22:$BK$22,0)))))=0,"",SUMPRODUCT(ISNUMBER(SEARCH("olmesartan",$E$23:$E$400))*ISNUMBER(SEARCH("amlodipine",$E$23:$E$400))*ISNUMBER(SEARCH("hydrochlorothiazide",$E$23:$E$400))*(($F$23:$F$400="상급종합병원")+($F$23:$F$400="종합병원"))*INDEX($H$23:$BK$400,0,MATCH(P$4,$H$22:$BK$22,0)))),"")</f>
        <v/>
      </c>
      <c r="Q10" s="493">
        <f>IFERROR(IF(SUMPRODUCT(N(ISNUMBER(INDEX($H$23:$BK$400,0,MATCH(Q$4,$H$22:$BK$22,0)))))=0,"",SUMPRODUCT(ISNUMBER(SEARCH("olmesartan",$E$23:$E$400))*ISNUMBER(SEARCH("amlodipine",$E$23:$E$400))*ISNUMBER(SEARCH("hydrochlorothiazide",$E$23:$E$400))*(($F$23:$F$400="상급종합병원")+($F$23:$F$400="종합병원"))*INDEX($H$23:$BK$400,0,MATCH(Q$4,$H$22:$BK$22,0)))),"")</f>
        <v/>
      </c>
      <c r="R10" s="493">
        <f>IFERROR(IF(SUMPRODUCT(N(ISNUMBER(INDEX($H$23:$BK$400,0,MATCH(R$4,$H$22:$BK$22,0)))))=0,"",SUMPRODUCT(ISNUMBER(SEARCH("olmesartan",$E$23:$E$400))*ISNUMBER(SEARCH("amlodipine",$E$23:$E$400))*ISNUMBER(SEARCH("hydrochlorothiazide",$E$23:$E$400))*(($F$23:$F$400="상급종합병원")+($F$23:$F$400="종합병원"))*INDEX($H$23:$BK$400,0,MATCH(R$4,$H$22:$BK$22,0)))),"")</f>
        <v/>
      </c>
      <c r="S10" s="493">
        <f>IFERROR(IF(SUMPRODUCT(N(ISNUMBER(INDEX($H$23:$BK$400,0,MATCH(S$4,$H$22:$BK$22,0)))))=0,"",SUMPRODUCT(ISNUMBER(SEARCH("olmesartan",$E$23:$E$400))*ISNUMBER(SEARCH("amlodipine",$E$23:$E$400))*ISNUMBER(SEARCH("hydrochlorothiazide",$E$23:$E$400))*(($F$23:$F$400="상급종합병원")+($F$23:$F$400="종합병원"))*INDEX($H$23:$BK$400,0,MATCH(S$4,$H$22:$BK$22,0)))),"")</f>
        <v/>
      </c>
      <c r="T10" s="493">
        <f>IFERROR(IF(SUMPRODUCT(N(ISNUMBER(INDEX($H$23:$BK$400,0,MATCH(T$4,$H$22:$BK$22,0)))))=0,"",SUMPRODUCT(ISNUMBER(SEARCH("olmesartan",$E$23:$E$400))*ISNUMBER(SEARCH("amlodipine",$E$23:$E$400))*ISNUMBER(SEARCH("hydrochlorothiazide",$E$23:$E$400))*(($F$23:$F$400="상급종합병원")+($F$23:$F$400="종합병원"))*INDEX($H$23:$BK$400,0,MATCH(T$4,$H$22:$BK$22,0)))),"")</f>
        <v/>
      </c>
      <c r="U10" s="493">
        <f>IFERROR(IF(SUMPRODUCT(N(ISNUMBER(INDEX($H$23:$BK$400,0,MATCH(U$4,$H$22:$BK$22,0)))))=0,"",SUMPRODUCT(ISNUMBER(SEARCH("olmesartan",$E$23:$E$400))*ISNUMBER(SEARCH("amlodipine",$E$23:$E$400))*ISNUMBER(SEARCH("hydrochlorothiazide",$E$23:$E$400))*(($F$23:$F$400="상급종합병원")+($F$23:$F$400="종합병원"))*INDEX($H$23:$BK$400,0,MATCH(U$4,$H$22:$BK$22,0)))),"")</f>
        <v/>
      </c>
      <c r="V10" s="493">
        <f>IFERROR(IF(SUMPRODUCT(N(ISNUMBER(INDEX($H$23:$BK$400,0,MATCH(V$4,$H$22:$BK$22,0)))))=0,"",SUMPRODUCT(ISNUMBER(SEARCH("olmesartan",$E$23:$E$400))*ISNUMBER(SEARCH("amlodipine",$E$23:$E$400))*ISNUMBER(SEARCH("hydrochlorothiazide",$E$23:$E$400))*(($F$23:$F$400="상급종합병원")+($F$23:$F$400="종합병원"))*INDEX($H$23:$BK$400,0,MATCH(V$4,$H$22:$BK$22,0)))),"")</f>
        <v/>
      </c>
      <c r="W10" s="493">
        <f>IFERROR(IF(SUMPRODUCT(N(ISNUMBER(INDEX($H$23:$BK$400,0,MATCH(W$4,$H$22:$BK$22,0)))))=0,"",SUMPRODUCT(ISNUMBER(SEARCH("olmesartan",$E$23:$E$400))*ISNUMBER(SEARCH("amlodipine",$E$23:$E$400))*ISNUMBER(SEARCH("hydrochlorothiazide",$E$23:$E$400))*(($F$23:$F$400="상급종합병원")+($F$23:$F$400="종합병원"))*INDEX($H$23:$BK$400,0,MATCH(W$4,$H$22:$BK$22,0)))),"")</f>
        <v/>
      </c>
      <c r="X10" s="493">
        <f>IFERROR(IF(SUMPRODUCT(N(ISNUMBER(INDEX($H$23:$BK$400,0,MATCH(X$4,$H$22:$BK$22,0)))))=0,"",SUMPRODUCT(ISNUMBER(SEARCH("olmesartan",$E$23:$E$400))*ISNUMBER(SEARCH("amlodipine",$E$23:$E$400))*ISNUMBER(SEARCH("hydrochlorothiazide",$E$23:$E$400))*(($F$23:$F$400="상급종합병원")+($F$23:$F$400="종합병원"))*INDEX($H$23:$BK$400,0,MATCH(X$4,$H$22:$BK$22,0)))),"")</f>
        <v/>
      </c>
      <c r="Y10" s="493">
        <f>IFERROR(IF(SUMPRODUCT(N(ISNUMBER(INDEX($H$23:$BK$400,0,MATCH(Y$4,$H$22:$BK$22,0)))))=0,"",SUMPRODUCT(ISNUMBER(SEARCH("olmesartan",$E$23:$E$400))*ISNUMBER(SEARCH("amlodipine",$E$23:$E$400))*ISNUMBER(SEARCH("hydrochlorothiazide",$E$23:$E$400))*(($F$23:$F$400="상급종합병원")+($F$23:$F$400="종합병원"))*INDEX($H$23:$BK$400,0,MATCH(Y$4,$H$22:$BK$22,0)))),"")</f>
        <v/>
      </c>
      <c r="Z10" s="493">
        <f>IFERROR(IF(SUMPRODUCT(N(ISNUMBER(INDEX($H$23:$BK$400,0,MATCH(Z$4,$H$22:$BK$22,0)))))=0,"",SUMPRODUCT(ISNUMBER(SEARCH("olmesartan",$E$23:$E$400))*ISNUMBER(SEARCH("amlodipine",$E$23:$E$400))*ISNUMBER(SEARCH("hydrochlorothiazide",$E$23:$E$400))*(($F$23:$F$400="상급종합병원")+($F$23:$F$400="종합병원"))*INDEX($H$23:$BK$400,0,MATCH(Z$4,$H$22:$BK$22,0)))),"")</f>
        <v/>
      </c>
      <c r="AA10" s="493">
        <f>IFERROR(IF(SUMPRODUCT(N(ISNUMBER(INDEX($H$23:$BK$400,0,MATCH(AA$4,$H$22:$BK$22,0)))))=0,"",SUMPRODUCT(ISNUMBER(SEARCH("olmesartan",$E$23:$E$400))*ISNUMBER(SEARCH("amlodipine",$E$23:$E$400))*ISNUMBER(SEARCH("hydrochlorothiazide",$E$23:$E$400))*(($F$23:$F$400="상급종합병원")+($F$23:$F$400="종합병원"))*INDEX($H$23:$BK$400,0,MATCH(AA$4,$H$22:$BK$22,0)))),"")</f>
        <v/>
      </c>
      <c r="AB10" s="493">
        <f>IFERROR(IF(SUMPRODUCT(N(ISNUMBER(INDEX($H$23:$BK$400,0,MATCH(AB$4,$H$22:$BK$22,0)))))=0,"",SUMPRODUCT(ISNUMBER(SEARCH("olmesartan",$E$23:$E$400))*ISNUMBER(SEARCH("amlodipine",$E$23:$E$400))*ISNUMBER(SEARCH("hydrochlorothiazide",$E$23:$E$400))*(($F$23:$F$400="상급종합병원")+($F$23:$F$400="종합병원"))*INDEX($H$23:$BK$400,0,MATCH(AB$4,$H$22:$BK$22,0)))),"")</f>
        <v/>
      </c>
      <c r="AC10" s="493">
        <f>IFERROR(IF(SUMPRODUCT(N(ISNUMBER(INDEX($H$23:$BK$400,0,MATCH(AC$4,$H$22:$BK$22,0)))))=0,"",SUMPRODUCT(ISNUMBER(SEARCH("olmesartan",$E$23:$E$400))*ISNUMBER(SEARCH("amlodipine",$E$23:$E$400))*ISNUMBER(SEARCH("hydrochlorothiazide",$E$23:$E$400))*(($F$23:$F$400="상급종합병원")+($F$23:$F$400="종합병원"))*INDEX($H$23:$BK$400,0,MATCH(AC$4,$H$22:$BK$22,0)))),"")</f>
        <v/>
      </c>
      <c r="AD10" s="493">
        <f>IFERROR(IF(SUMPRODUCT(N(ISNUMBER(INDEX($H$23:$BK$400,0,MATCH(AD$4,$H$22:$BK$22,0)))))=0,"",SUMPRODUCT(ISNUMBER(SEARCH("olmesartan",$E$23:$E$400))*ISNUMBER(SEARCH("amlodipine",$E$23:$E$400))*ISNUMBER(SEARCH("hydrochlorothiazide",$E$23:$E$400))*(($F$23:$F$400="상급종합병원")+($F$23:$F$400="종합병원"))*INDEX($H$23:$BK$400,0,MATCH(AD$4,$H$22:$BK$22,0)))),"")</f>
        <v/>
      </c>
      <c r="AE10" s="493">
        <f>IFERROR(IF(SUMPRODUCT(N(ISNUMBER(INDEX($H$23:$BK$400,0,MATCH(AE$4,$H$22:$BK$22,0)))))=0,"",SUMPRODUCT(ISNUMBER(SEARCH("olmesartan",$E$23:$E$400))*ISNUMBER(SEARCH("amlodipine",$E$23:$E$400))*ISNUMBER(SEARCH("hydrochlorothiazide",$E$23:$E$400))*(($F$23:$F$400="상급종합병원")+($F$23:$F$400="종합병원"))*INDEX($H$23:$BK$400,0,MATCH(AE$4,$H$22:$BK$22,0)))),"")</f>
        <v/>
      </c>
      <c r="AF10" s="493">
        <f>IFERROR(IF(SUMPRODUCT(N(ISNUMBER(INDEX($H$23:$BK$400,0,MATCH(AF$4,$H$22:$BK$22,0)))))=0,"",SUMPRODUCT(ISNUMBER(SEARCH("olmesartan",$E$23:$E$400))*ISNUMBER(SEARCH("amlodipine",$E$23:$E$400))*ISNUMBER(SEARCH("hydrochlorothiazide",$E$23:$E$400))*(($F$23:$F$400="상급종합병원")+($F$23:$F$400="종합병원"))*INDEX($H$23:$BK$400,0,MATCH(AF$4,$H$22:$BK$22,0)))),"")</f>
        <v/>
      </c>
      <c r="AG10" s="493">
        <f>IFERROR(IF(SUMPRODUCT(N(ISNUMBER(INDEX($H$23:$BK$400,0,MATCH(AG$4,$H$22:$BK$22,0)))))=0,"",SUMPRODUCT(ISNUMBER(SEARCH("olmesartan",$E$23:$E$400))*ISNUMBER(SEARCH("amlodipine",$E$23:$E$400))*ISNUMBER(SEARCH("hydrochlorothiazide",$E$23:$E$400))*(($F$23:$F$400="상급종합병원")+($F$23:$F$400="종합병원"))*INDEX($H$23:$BK$400,0,MATCH(AG$4,$H$22:$BK$22,0)))),"")</f>
        <v/>
      </c>
      <c r="AH10" s="493">
        <f>IFERROR(IF(SUMPRODUCT(N(ISNUMBER(INDEX($H$23:$BK$400,0,MATCH(AH$4,$H$22:$BK$22,0)))))=0,"",SUMPRODUCT(ISNUMBER(SEARCH("olmesartan",$E$23:$E$400))*ISNUMBER(SEARCH("amlodipine",$E$23:$E$400))*ISNUMBER(SEARCH("hydrochlorothiazide",$E$23:$E$400))*(($F$23:$F$400="상급종합병원")+($F$23:$F$400="종합병원"))*INDEX($H$23:$BK$400,0,MATCH(AH$4,$H$22:$BK$22,0)))),"")</f>
        <v/>
      </c>
      <c r="AI10" s="493">
        <f>IFERROR(IF(SUMPRODUCT(N(ISNUMBER(INDEX($H$23:$BK$400,0,MATCH(AI$4,$H$22:$BK$22,0)))))=0,"",SUMPRODUCT(ISNUMBER(SEARCH("olmesartan",$E$23:$E$400))*ISNUMBER(SEARCH("amlodipine",$E$23:$E$400))*ISNUMBER(SEARCH("hydrochlorothiazide",$E$23:$E$400))*(($F$23:$F$400="상급종합병원")+($F$23:$F$400="종합병원"))*INDEX($H$23:$BK$400,0,MATCH(AI$4,$H$22:$BK$22,0)))),"")</f>
        <v/>
      </c>
      <c r="AJ10" s="493">
        <f>IFERROR(IF(SUMPRODUCT(N(ISNUMBER(INDEX($H$23:$BK$400,0,MATCH(AJ$4,$H$22:$BK$22,0)))))=0,"",SUMPRODUCT(ISNUMBER(SEARCH("olmesartan",$E$23:$E$400))*ISNUMBER(SEARCH("amlodipine",$E$23:$E$400))*ISNUMBER(SEARCH("hydrochlorothiazide",$E$23:$E$400))*(($F$23:$F$400="상급종합병원")+($F$23:$F$400="종합병원"))*INDEX($H$23:$BK$400,0,MATCH(AJ$4,$H$22:$BK$22,0)))),"")</f>
        <v/>
      </c>
      <c r="AK10" s="493">
        <f>IFERROR(IF(SUMPRODUCT(N(ISNUMBER(INDEX($H$23:$BK$400,0,MATCH(AK$4,$H$22:$BK$22,0)))))=0,"",SUMPRODUCT(ISNUMBER(SEARCH("olmesartan",$E$23:$E$400))*ISNUMBER(SEARCH("amlodipine",$E$23:$E$400))*ISNUMBER(SEARCH("hydrochlorothiazide",$E$23:$E$400))*(($F$23:$F$400="상급종합병원")+($F$23:$F$400="종합병원"))*INDEX($H$23:$BK$400,0,MATCH(AK$4,$H$22:$BK$22,0)))),"")</f>
        <v/>
      </c>
      <c r="AL10" s="493">
        <f>IFERROR(IF(SUMPRODUCT(N(ISNUMBER(INDEX($H$23:$BK$400,0,MATCH(AL$4,$H$22:$BK$22,0)))))=0,"",SUMPRODUCT(ISNUMBER(SEARCH("olmesartan",$E$23:$E$400))*ISNUMBER(SEARCH("amlodipine",$E$23:$E$400))*ISNUMBER(SEARCH("hydrochlorothiazide",$E$23:$E$400))*(($F$23:$F$400="상급종합병원")+($F$23:$F$400="종합병원"))*INDEX($H$23:$BK$400,0,MATCH(AL$4,$H$22:$BK$22,0)))),"")</f>
        <v/>
      </c>
      <c r="AM10" s="493">
        <f>IFERROR(IF(SUMPRODUCT(N(ISNUMBER(INDEX($H$23:$BK$400,0,MATCH(AM$4,$H$22:$BK$22,0)))))=0,"",SUMPRODUCT(ISNUMBER(SEARCH("olmesartan",$E$23:$E$400))*ISNUMBER(SEARCH("amlodipine",$E$23:$E$400))*ISNUMBER(SEARCH("hydrochlorothiazide",$E$23:$E$400))*(($F$23:$F$400="상급종합병원")+($F$23:$F$400="종합병원"))*INDEX($H$23:$BK$400,0,MATCH(AM$4,$H$22:$BK$22,0)))),"")</f>
        <v/>
      </c>
      <c r="AN10" s="493">
        <f>IFERROR(IF(SUMPRODUCT(N(ISNUMBER(INDEX($H$23:$BK$400,0,MATCH(AN$4,$H$22:$BK$22,0)))))=0,"",SUMPRODUCT(ISNUMBER(SEARCH("olmesartan",$E$23:$E$400))*ISNUMBER(SEARCH("amlodipine",$E$23:$E$400))*ISNUMBER(SEARCH("hydrochlorothiazide",$E$23:$E$400))*(($F$23:$F$400="상급종합병원")+($F$23:$F$400="종합병원"))*INDEX($H$23:$BK$400,0,MATCH(AN$4,$H$22:$BK$22,0)))),"")</f>
        <v/>
      </c>
      <c r="AO10" s="493">
        <f>IFERROR(IF(SUMPRODUCT(N(ISNUMBER(INDEX($H$23:$BK$400,0,MATCH(AO$4,$H$22:$BK$22,0)))))=0,"",SUMPRODUCT(ISNUMBER(SEARCH("olmesartan",$E$23:$E$400))*ISNUMBER(SEARCH("amlodipine",$E$23:$E$400))*ISNUMBER(SEARCH("hydrochlorothiazide",$E$23:$E$400))*(($F$23:$F$400="상급종합병원")+($F$23:$F$400="종합병원"))*INDEX($H$23:$BK$400,0,MATCH(AO$4,$H$22:$BK$22,0)))),"")</f>
        <v/>
      </c>
      <c r="AP10" s="493">
        <f>IFERROR(IF(SUMPRODUCT(N(ISNUMBER(INDEX($H$23:$BK$400,0,MATCH(AP$4,$H$22:$BK$22,0)))))=0,"",SUMPRODUCT(ISNUMBER(SEARCH("olmesartan",$E$23:$E$400))*ISNUMBER(SEARCH("amlodipine",$E$23:$E$400))*ISNUMBER(SEARCH("hydrochlorothiazide",$E$23:$E$400))*(($F$23:$F$400="상급종합병원")+($F$23:$F$400="종합병원"))*INDEX($H$23:$BK$400,0,MATCH(AP$4,$H$22:$BK$22,0)))),"")</f>
        <v/>
      </c>
      <c r="AQ10" s="493">
        <f>IFERROR(IF(SUMPRODUCT(N(ISNUMBER(INDEX($H$23:$BK$400,0,MATCH(AQ$4,$H$22:$BK$22,0)))))=0,"",SUMPRODUCT(ISNUMBER(SEARCH("olmesartan",$E$23:$E$400))*ISNUMBER(SEARCH("amlodipine",$E$23:$E$400))*ISNUMBER(SEARCH("hydrochlorothiazide",$E$23:$E$400))*(($F$23:$F$400="상급종합병원")+($F$23:$F$400="종합병원"))*INDEX($H$23:$BK$400,0,MATCH(AQ$4,$H$22:$BK$22,0)))),"")</f>
        <v/>
      </c>
      <c r="AR10" s="493">
        <f>IFERROR(IF(SUMPRODUCT(N(ISNUMBER(INDEX($H$23:$BK$400,0,MATCH(AR$4,$H$22:$BK$22,0)))))=0,"",SUMPRODUCT(ISNUMBER(SEARCH("olmesartan",$E$23:$E$400))*ISNUMBER(SEARCH("amlodipine",$E$23:$E$400))*ISNUMBER(SEARCH("hydrochlorothiazide",$E$23:$E$400))*(($F$23:$F$400="상급종합병원")+($F$23:$F$400="종합병원"))*INDEX($H$23:$BK$400,0,MATCH(AR$4,$H$22:$BK$22,0)))),"")</f>
        <v/>
      </c>
      <c r="AS10" s="493">
        <f>IFERROR(IF(SUMPRODUCT(N(ISNUMBER(INDEX($H$23:$BK$400,0,MATCH(AS$4,$H$22:$BK$22,0)))))=0,"",SUMPRODUCT(ISNUMBER(SEARCH("olmesartan",$E$23:$E$400))*ISNUMBER(SEARCH("amlodipine",$E$23:$E$400))*ISNUMBER(SEARCH("hydrochlorothiazide",$E$23:$E$400))*(($F$23:$F$400="상급종합병원")+($F$23:$F$400="종합병원"))*INDEX($H$23:$BK$400,0,MATCH(AS$4,$H$22:$BK$22,0)))),"")</f>
        <v/>
      </c>
      <c r="AT10" s="493">
        <f>IFERROR(IF(SUMPRODUCT(N(ISNUMBER(INDEX($H$23:$BK$400,0,MATCH(AT$4,$H$22:$BK$22,0)))))=0,"",SUMPRODUCT(ISNUMBER(SEARCH("olmesartan",$E$23:$E$400))*ISNUMBER(SEARCH("amlodipine",$E$23:$E$400))*ISNUMBER(SEARCH("hydrochlorothiazide",$E$23:$E$400))*(($F$23:$F$400="상급종합병원")+($F$23:$F$400="종합병원"))*INDEX($H$23:$BK$400,0,MATCH(AT$4,$H$22:$BK$22,0)))),"")</f>
        <v/>
      </c>
      <c r="AU10" s="493">
        <f>IFERROR(IF(SUMPRODUCT(N(ISNUMBER(INDEX($H$23:$BK$400,0,MATCH(AU$4,$H$22:$BK$22,0)))))=0,"",SUMPRODUCT(ISNUMBER(SEARCH("olmesartan",$E$23:$E$400))*ISNUMBER(SEARCH("amlodipine",$E$23:$E$400))*ISNUMBER(SEARCH("hydrochlorothiazide",$E$23:$E$400))*(($F$23:$F$400="상급종합병원")+($F$23:$F$400="종합병원"))*INDEX($H$23:$BK$400,0,MATCH(AU$4,$H$22:$BK$22,0)))),"")</f>
        <v/>
      </c>
      <c r="AV10" s="493">
        <f>IFERROR(IF(SUMPRODUCT(N(ISNUMBER(INDEX($H$23:$BK$400,0,MATCH(AV$4,$H$22:$BK$22,0)))))=0,"",SUMPRODUCT(ISNUMBER(SEARCH("olmesartan",$E$23:$E$400))*ISNUMBER(SEARCH("amlodipine",$E$23:$E$400))*ISNUMBER(SEARCH("hydrochlorothiazide",$E$23:$E$400))*(($F$23:$F$400="상급종합병원")+($F$23:$F$400="종합병원"))*INDEX($H$23:$BK$400,0,MATCH(AV$4,$H$22:$BK$22,0)))),"")</f>
        <v/>
      </c>
      <c r="AW10" s="493">
        <f>IFERROR(IF(SUMPRODUCT(N(ISNUMBER(INDEX($H$23:$BK$400,0,MATCH(AW$4,$H$22:$BK$22,0)))))=0,"",SUMPRODUCT(ISNUMBER(SEARCH("olmesartan",$E$23:$E$400))*ISNUMBER(SEARCH("amlodipine",$E$23:$E$400))*ISNUMBER(SEARCH("hydrochlorothiazide",$E$23:$E$400))*(($F$23:$F$400="상급종합병원")+($F$23:$F$400="종합병원"))*INDEX($H$23:$BK$400,0,MATCH(AW$4,$H$22:$BK$22,0)))),"")</f>
        <v/>
      </c>
      <c r="AX10" s="493">
        <f>IFERROR(IF(SUMPRODUCT(N(ISNUMBER(INDEX($H$23:$BK$400,0,MATCH(AX$4,$H$22:$BK$22,0)))))=0,"",SUMPRODUCT(ISNUMBER(SEARCH("olmesartan",$E$23:$E$400))*ISNUMBER(SEARCH("amlodipine",$E$23:$E$400))*ISNUMBER(SEARCH("hydrochlorothiazide",$E$23:$E$400))*(($F$23:$F$400="상급종합병원")+($F$23:$F$400="종합병원"))*INDEX($H$23:$BK$400,0,MATCH(AX$4,$H$22:$BK$22,0)))),"")</f>
        <v/>
      </c>
      <c r="AY10" s="493">
        <f>IFERROR(IF(SUMPRODUCT(N(ISNUMBER(INDEX($H$23:$BK$400,0,MATCH(AY$4,$H$22:$BK$22,0)))))=0,"",SUMPRODUCT(ISNUMBER(SEARCH("olmesartan",$E$23:$E$400))*ISNUMBER(SEARCH("amlodipine",$E$23:$E$400))*ISNUMBER(SEARCH("hydrochlorothiazide",$E$23:$E$400))*(($F$23:$F$400="상급종합병원")+($F$23:$F$400="종합병원"))*INDEX($H$23:$BK$400,0,MATCH(AY$4,$H$22:$BK$22,0)))),"")</f>
        <v/>
      </c>
      <c r="AZ10" s="493">
        <f>IFERROR(IF(SUMPRODUCT(N(ISNUMBER(INDEX($H$23:$BK$400,0,MATCH(AZ$4,$H$22:$BK$22,0)))))=0,"",SUMPRODUCT(ISNUMBER(SEARCH("olmesartan",$E$23:$E$400))*ISNUMBER(SEARCH("amlodipine",$E$23:$E$400))*ISNUMBER(SEARCH("hydrochlorothiazide",$E$23:$E$400))*(($F$23:$F$400="상급종합병원")+($F$23:$F$400="종합병원"))*INDEX($H$23:$BK$400,0,MATCH(AZ$4,$H$22:$BK$22,0)))),"")</f>
        <v/>
      </c>
      <c r="BA10" s="493">
        <f>IFERROR(IF(SUMPRODUCT(N(ISNUMBER(INDEX($H$23:$BK$400,0,MATCH(BA$4,$H$22:$BK$22,0)))))=0,"",SUMPRODUCT(ISNUMBER(SEARCH("olmesartan",$E$23:$E$400))*ISNUMBER(SEARCH("amlodipine",$E$23:$E$400))*ISNUMBER(SEARCH("hydrochlorothiazide",$E$23:$E$400))*(($F$23:$F$400="상급종합병원")+($F$23:$F$400="종합병원"))*INDEX($H$23:$BK$400,0,MATCH(BA$4,$H$22:$BK$22,0)))),"")</f>
        <v/>
      </c>
      <c r="BB10" s="493">
        <f>IFERROR(IF(SUMPRODUCT(N(ISNUMBER(INDEX($H$23:$BK$400,0,MATCH(BB$4,$H$22:$BK$22,0)))))=0,"",SUMPRODUCT(ISNUMBER(SEARCH("olmesartan",$E$23:$E$400))*ISNUMBER(SEARCH("amlodipine",$E$23:$E$400))*ISNUMBER(SEARCH("hydrochlorothiazide",$E$23:$E$400))*(($F$23:$F$400="상급종합병원")+($F$23:$F$400="종합병원"))*INDEX($H$23:$BK$400,0,MATCH(BB$4,$H$22:$BK$22,0)))),"")</f>
        <v/>
      </c>
      <c r="BC10" s="493">
        <f>IFERROR(IF(SUMPRODUCT(N(ISNUMBER(INDEX($H$23:$BK$400,0,MATCH(BC$4,$H$22:$BK$22,0)))))=0,"",SUMPRODUCT(ISNUMBER(SEARCH("olmesartan",$E$23:$E$400))*ISNUMBER(SEARCH("amlodipine",$E$23:$E$400))*ISNUMBER(SEARCH("hydrochlorothiazide",$E$23:$E$400))*(($F$23:$F$400="상급종합병원")+($F$23:$F$400="종합병원"))*INDEX($H$23:$BK$400,0,MATCH(BC$4,$H$22:$BK$22,0)))),"")</f>
        <v/>
      </c>
      <c r="BD10" s="493">
        <f>IFERROR(IF(SUMPRODUCT(N(ISNUMBER(INDEX($H$23:$BK$400,0,MATCH(BD$4,$H$22:$BK$22,0)))))=0,"",SUMPRODUCT(ISNUMBER(SEARCH("olmesartan",$E$23:$E$400))*ISNUMBER(SEARCH("amlodipine",$E$23:$E$400))*ISNUMBER(SEARCH("hydrochlorothiazide",$E$23:$E$400))*(($F$23:$F$400="상급종합병원")+($F$23:$F$400="종합병원"))*INDEX($H$23:$BK$400,0,MATCH(BD$4,$H$22:$BK$22,0)))),"")</f>
        <v/>
      </c>
      <c r="BE10" s="493">
        <f>IFERROR(IF(SUMPRODUCT(N(ISNUMBER(INDEX($H$23:$BK$400,0,MATCH(BE$4,$H$22:$BK$22,0)))))=0,"",SUMPRODUCT(ISNUMBER(SEARCH("olmesartan",$E$23:$E$400))*ISNUMBER(SEARCH("amlodipine",$E$23:$E$400))*ISNUMBER(SEARCH("hydrochlorothiazide",$E$23:$E$400))*(($F$23:$F$400="상급종합병원")+($F$23:$F$400="종합병원"))*INDEX($H$23:$BK$400,0,MATCH(BE$4,$H$22:$BK$22,0)))),"")</f>
        <v/>
      </c>
      <c r="BF10" s="493">
        <f>IFERROR(IF(SUMPRODUCT(N(ISNUMBER(INDEX($H$23:$BK$400,0,MATCH(BF$4,$H$22:$BK$22,0)))))=0,"",SUMPRODUCT(ISNUMBER(SEARCH("olmesartan",$E$23:$E$400))*ISNUMBER(SEARCH("amlodipine",$E$23:$E$400))*ISNUMBER(SEARCH("hydrochlorothiazide",$E$23:$E$400))*(($F$23:$F$400="상급종합병원")+($F$23:$F$400="종합병원"))*INDEX($H$23:$BK$400,0,MATCH(BF$4,$H$22:$BK$22,0)))),"")</f>
        <v/>
      </c>
      <c r="BG10" s="493">
        <f>IFERROR(IF(SUMPRODUCT(N(ISNUMBER(INDEX($H$23:$BK$400,0,MATCH(BG$4,$H$22:$BK$22,0)))))=0,"",SUMPRODUCT(ISNUMBER(SEARCH("olmesartan",$E$23:$E$400))*ISNUMBER(SEARCH("amlodipine",$E$23:$E$400))*ISNUMBER(SEARCH("hydrochlorothiazide",$E$23:$E$400))*(($F$23:$F$400="상급종합병원")+($F$23:$F$400="종합병원"))*INDEX($H$23:$BK$400,0,MATCH(BG$4,$H$22:$BK$22,0)))),"")</f>
        <v/>
      </c>
      <c r="BH10" s="493">
        <f>IFERROR(IF(SUMPRODUCT(N(ISNUMBER(INDEX($H$23:$BK$400,0,MATCH(BH$4,$H$22:$BK$22,0)))))=0,"",SUMPRODUCT(ISNUMBER(SEARCH("olmesartan",$E$23:$E$400))*ISNUMBER(SEARCH("amlodipine",$E$23:$E$400))*ISNUMBER(SEARCH("hydrochlorothiazide",$E$23:$E$400))*(($F$23:$F$400="상급종합병원")+($F$23:$F$400="종합병원"))*INDEX($H$23:$BK$400,0,MATCH(BH$4,$H$22:$BK$22,0)))),"")</f>
        <v/>
      </c>
      <c r="BI10" s="493">
        <f>IFERROR(IF(SUMPRODUCT(N(ISNUMBER(INDEX($H$23:$BK$400,0,MATCH(BI$4,$H$22:$BK$22,0)))))=0,"",SUMPRODUCT(ISNUMBER(SEARCH("olmesartan",$E$23:$E$400))*ISNUMBER(SEARCH("amlodipine",$E$23:$E$400))*ISNUMBER(SEARCH("hydrochlorothiazide",$E$23:$E$400))*(($F$23:$F$400="상급종합병원")+($F$23:$F$400="종합병원"))*INDEX($H$23:$BK$400,0,MATCH(BI$4,$H$22:$BK$22,0)))),"")</f>
        <v/>
      </c>
      <c r="BJ10" s="493">
        <f>IFERROR(IF(SUMPRODUCT(N(ISNUMBER(INDEX($H$23:$BK$400,0,MATCH(BJ$4,$H$22:$BK$22,0)))))=0,"",SUMPRODUCT(ISNUMBER(SEARCH("olmesartan",$E$23:$E$400))*ISNUMBER(SEARCH("amlodipine",$E$23:$E$400))*ISNUMBER(SEARCH("hydrochlorothiazide",$E$23:$E$400))*(($F$23:$F$400="상급종합병원")+($F$23:$F$400="종합병원"))*INDEX($H$23:$BK$400,0,MATCH(BJ$4,$H$22:$BK$22,0)))),"")</f>
        <v/>
      </c>
      <c r="BK10" s="493">
        <f>IFERROR(IF(SUMPRODUCT(N(ISNUMBER(INDEX($H$23:$BK$400,0,MATCH(BK$4,$H$22:$BK$22,0)))))=0,"",SUMPRODUCT(ISNUMBER(SEARCH("olmesartan",$E$23:$E$400))*ISNUMBER(SEARCH("amlodipine",$E$23:$E$400))*ISNUMBER(SEARCH("hydrochlorothiazide",$E$23:$E$400))*(($F$23:$F$400="상급종합병원")+($F$23:$F$400="종합병원"))*INDEX($H$23:$BK$400,0,MATCH(BK$4,$H$22:$BK$22,0)))),"")</f>
        <v/>
      </c>
    </row>
    <row r="11">
      <c r="A11" s="476" t="inlineStr">
        <is>
          <t>OLM3_GP</t>
        </is>
      </c>
      <c r="H11" s="493">
        <f>IFERROR(IF(SUMPRODUCT(N(ISNUMBER(INDEX($H$23:$BK$400,0,MATCH(H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등)"))*INDEX($H$23:$BK$400,0,MATCH(H$4,$H$22:$BK$22,0)))),"")</f>
        <v/>
      </c>
      <c r="I11" s="493">
        <f>IFERROR(IF(SUMPRODUCT(N(ISNUMBER(INDEX($H$23:$BK$400,0,MATCH(I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등)"))*INDEX($H$23:$BK$400,0,MATCH(I$4,$H$22:$BK$22,0)))),"")</f>
        <v/>
      </c>
      <c r="J11" s="493">
        <f>IFERROR(IF(SUMPRODUCT(N(ISNUMBER(INDEX($H$23:$BK$400,0,MATCH(J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등)"))*INDEX($H$23:$BK$400,0,MATCH(J$4,$H$22:$BK$22,0)))),"")</f>
        <v/>
      </c>
      <c r="K11" s="493">
        <f>IFERROR(IF(SUMPRODUCT(N(ISNUMBER(INDEX($H$23:$BK$400,0,MATCH(K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등)"))*INDEX($H$23:$BK$400,0,MATCH(K$4,$H$22:$BK$22,0)))),"")</f>
        <v/>
      </c>
      <c r="L11" s="493">
        <f>IFERROR(IF(SUMPRODUCT(N(ISNUMBER(INDEX($H$23:$BK$400,0,MATCH(L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등)"))*INDEX($H$23:$BK$400,0,MATCH(L$4,$H$22:$BK$22,0)))),"")</f>
        <v/>
      </c>
      <c r="M11" s="493">
        <f>IFERROR(IF(SUMPRODUCT(N(ISNUMBER(INDEX($H$23:$BK$400,0,MATCH(M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등)"))*INDEX($H$23:$BK$400,0,MATCH(M$4,$H$22:$BK$22,0)))),"")</f>
        <v/>
      </c>
      <c r="N11" s="493">
        <f>IFERROR(IF(SUMPRODUCT(N(ISNUMBER(INDEX($H$23:$BK$400,0,MATCH(N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등)"))*INDEX($H$23:$BK$400,0,MATCH(N$4,$H$22:$BK$22,0)))),"")</f>
        <v/>
      </c>
      <c r="O11" s="493">
        <f>IFERROR(IF(SUMPRODUCT(N(ISNUMBER(INDEX($H$23:$BK$400,0,MATCH(O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등)"))*INDEX($H$23:$BK$400,0,MATCH(O$4,$H$22:$BK$22,0)))),"")</f>
        <v/>
      </c>
      <c r="P11" s="493">
        <f>IFERROR(IF(SUMPRODUCT(N(ISNUMBER(INDEX($H$23:$BK$400,0,MATCH(P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등)"))*INDEX($H$23:$BK$400,0,MATCH(P$4,$H$22:$BK$22,0)))),"")</f>
        <v/>
      </c>
      <c r="Q11" s="493">
        <f>IFERROR(IF(SUMPRODUCT(N(ISNUMBER(INDEX($H$23:$BK$400,0,MATCH(Q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등)"))*INDEX($H$23:$BK$400,0,MATCH(Q$4,$H$22:$BK$22,0)))),"")</f>
        <v/>
      </c>
      <c r="R11" s="493">
        <f>IFERROR(IF(SUMPRODUCT(N(ISNUMBER(INDEX($H$23:$BK$400,0,MATCH(R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등)"))*INDEX($H$23:$BK$400,0,MATCH(R$4,$H$22:$BK$22,0)))),"")</f>
        <v/>
      </c>
      <c r="S11" s="493">
        <f>IFERROR(IF(SUMPRODUCT(N(ISNUMBER(INDEX($H$23:$BK$400,0,MATCH(S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등)"))*INDEX($H$23:$BK$400,0,MATCH(S$4,$H$22:$BK$22,0)))),"")</f>
        <v/>
      </c>
      <c r="T11" s="493">
        <f>IFERROR(IF(SUMPRODUCT(N(ISNUMBER(INDEX($H$23:$BK$400,0,MATCH(T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등)"))*INDEX($H$23:$BK$400,0,MATCH(T$4,$H$22:$BK$22,0)))),"")</f>
        <v/>
      </c>
      <c r="U11" s="493">
        <f>IFERROR(IF(SUMPRODUCT(N(ISNUMBER(INDEX($H$23:$BK$400,0,MATCH(U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등)"))*INDEX($H$23:$BK$400,0,MATCH(U$4,$H$22:$BK$22,0)))),"")</f>
        <v/>
      </c>
      <c r="V11" s="493">
        <f>IFERROR(IF(SUMPRODUCT(N(ISNUMBER(INDEX($H$23:$BK$400,0,MATCH(V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등)"))*INDEX($H$23:$BK$400,0,MATCH(V$4,$H$22:$BK$22,0)))),"")</f>
        <v/>
      </c>
      <c r="W11" s="493">
        <f>IFERROR(IF(SUMPRODUCT(N(ISNUMBER(INDEX($H$23:$BK$400,0,MATCH(W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등)"))*INDEX($H$23:$BK$400,0,MATCH(W$4,$H$22:$BK$22,0)))),"")</f>
        <v/>
      </c>
      <c r="X11" s="493">
        <f>IFERROR(IF(SUMPRODUCT(N(ISNUMBER(INDEX($H$23:$BK$400,0,MATCH(X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등)"))*INDEX($H$23:$BK$400,0,MATCH(X$4,$H$22:$BK$22,0)))),"")</f>
        <v/>
      </c>
      <c r="Y11" s="493">
        <f>IFERROR(IF(SUMPRODUCT(N(ISNUMBER(INDEX($H$23:$BK$400,0,MATCH(Y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등)"))*INDEX($H$23:$BK$400,0,MATCH(Y$4,$H$22:$BK$22,0)))),"")</f>
        <v/>
      </c>
      <c r="Z11" s="493">
        <f>IFERROR(IF(SUMPRODUCT(N(ISNUMBER(INDEX($H$23:$BK$400,0,MATCH(Z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등)"))*INDEX($H$23:$BK$400,0,MATCH(Z$4,$H$22:$BK$22,0)))),"")</f>
        <v/>
      </c>
      <c r="AA11" s="493">
        <f>IFERROR(IF(SUMPRODUCT(N(ISNUMBER(INDEX($H$23:$BK$400,0,MATCH(AA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등)"))*INDEX($H$23:$BK$400,0,MATCH(AA$4,$H$22:$BK$22,0)))),"")</f>
        <v/>
      </c>
      <c r="AB11" s="493">
        <f>IFERROR(IF(SUMPRODUCT(N(ISNUMBER(INDEX($H$23:$BK$400,0,MATCH(AB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등)"))*INDEX($H$23:$BK$400,0,MATCH(AB$4,$H$22:$BK$22,0)))),"")</f>
        <v/>
      </c>
      <c r="AC11" s="493">
        <f>IFERROR(IF(SUMPRODUCT(N(ISNUMBER(INDEX($H$23:$BK$400,0,MATCH(AC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등)"))*INDEX($H$23:$BK$400,0,MATCH(AC$4,$H$22:$BK$22,0)))),"")</f>
        <v/>
      </c>
      <c r="AD11" s="493">
        <f>IFERROR(IF(SUMPRODUCT(N(ISNUMBER(INDEX($H$23:$BK$400,0,MATCH(AD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등)"))*INDEX($H$23:$BK$400,0,MATCH(AD$4,$H$22:$BK$22,0)))),"")</f>
        <v/>
      </c>
      <c r="AE11" s="493">
        <f>IFERROR(IF(SUMPRODUCT(N(ISNUMBER(INDEX($H$23:$BK$400,0,MATCH(AE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등)"))*INDEX($H$23:$BK$400,0,MATCH(AE$4,$H$22:$BK$22,0)))),"")</f>
        <v/>
      </c>
      <c r="AF11" s="493">
        <f>IFERROR(IF(SUMPRODUCT(N(ISNUMBER(INDEX($H$23:$BK$400,0,MATCH(AF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등)"))*INDEX($H$23:$BK$400,0,MATCH(AF$4,$H$22:$BK$22,0)))),"")</f>
        <v/>
      </c>
      <c r="AG11" s="493">
        <f>IFERROR(IF(SUMPRODUCT(N(ISNUMBER(INDEX($H$23:$BK$400,0,MATCH(AG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등)"))*INDEX($H$23:$BK$400,0,MATCH(AG$4,$H$22:$BK$22,0)))),"")</f>
        <v/>
      </c>
      <c r="AH11" s="493">
        <f>IFERROR(IF(SUMPRODUCT(N(ISNUMBER(INDEX($H$23:$BK$400,0,MATCH(AH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등)"))*INDEX($H$23:$BK$400,0,MATCH(AH$4,$H$22:$BK$22,0)))),"")</f>
        <v/>
      </c>
      <c r="AI11" s="493">
        <f>IFERROR(IF(SUMPRODUCT(N(ISNUMBER(INDEX($H$23:$BK$400,0,MATCH(AI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등)"))*INDEX($H$23:$BK$400,0,MATCH(AI$4,$H$22:$BK$22,0)))),"")</f>
        <v/>
      </c>
      <c r="AJ11" s="493">
        <f>IFERROR(IF(SUMPRODUCT(N(ISNUMBER(INDEX($H$23:$BK$400,0,MATCH(AJ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등)"))*INDEX($H$23:$BK$400,0,MATCH(AJ$4,$H$22:$BK$22,0)))),"")</f>
        <v/>
      </c>
      <c r="AK11" s="493">
        <f>IFERROR(IF(SUMPRODUCT(N(ISNUMBER(INDEX($H$23:$BK$400,0,MATCH(AK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등)"))*INDEX($H$23:$BK$400,0,MATCH(AK$4,$H$22:$BK$22,0)))),"")</f>
        <v/>
      </c>
      <c r="AL11" s="493">
        <f>IFERROR(IF(SUMPRODUCT(N(ISNUMBER(INDEX($H$23:$BK$400,0,MATCH(AL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등)"))*INDEX($H$23:$BK$400,0,MATCH(AL$4,$H$22:$BK$22,0)))),"")</f>
        <v/>
      </c>
      <c r="AM11" s="493">
        <f>IFERROR(IF(SUMPRODUCT(N(ISNUMBER(INDEX($H$23:$BK$400,0,MATCH(AM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등)"))*INDEX($H$23:$BK$400,0,MATCH(AM$4,$H$22:$BK$22,0)))),"")</f>
        <v/>
      </c>
      <c r="AN11" s="493">
        <f>IFERROR(IF(SUMPRODUCT(N(ISNUMBER(INDEX($H$23:$BK$400,0,MATCH(AN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등)"))*INDEX($H$23:$BK$400,0,MATCH(AN$4,$H$22:$BK$22,0)))),"")</f>
        <v/>
      </c>
      <c r="AO11" s="493">
        <f>IFERROR(IF(SUMPRODUCT(N(ISNUMBER(INDEX($H$23:$BK$400,0,MATCH(AO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등)"))*INDEX($H$23:$BK$400,0,MATCH(AO$4,$H$22:$BK$22,0)))),"")</f>
        <v/>
      </c>
      <c r="AP11" s="493">
        <f>IFERROR(IF(SUMPRODUCT(N(ISNUMBER(INDEX($H$23:$BK$400,0,MATCH(AP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등)"))*INDEX($H$23:$BK$400,0,MATCH(AP$4,$H$22:$BK$22,0)))),"")</f>
        <v/>
      </c>
      <c r="AQ11" s="493">
        <f>IFERROR(IF(SUMPRODUCT(N(ISNUMBER(INDEX($H$23:$BK$400,0,MATCH(AQ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등)"))*INDEX($H$23:$BK$400,0,MATCH(AQ$4,$H$22:$BK$22,0)))),"")</f>
        <v/>
      </c>
      <c r="AR11" s="493">
        <f>IFERROR(IF(SUMPRODUCT(N(ISNUMBER(INDEX($H$23:$BK$400,0,MATCH(AR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등)"))*INDEX($H$23:$BK$400,0,MATCH(AR$4,$H$22:$BK$22,0)))),"")</f>
        <v/>
      </c>
      <c r="AS11" s="493">
        <f>IFERROR(IF(SUMPRODUCT(N(ISNUMBER(INDEX($H$23:$BK$400,0,MATCH(AS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등)"))*INDEX($H$23:$BK$400,0,MATCH(AS$4,$H$22:$BK$22,0)))),"")</f>
        <v/>
      </c>
      <c r="AT11" s="493">
        <f>IFERROR(IF(SUMPRODUCT(N(ISNUMBER(INDEX($H$23:$BK$400,0,MATCH(AT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등)"))*INDEX($H$23:$BK$400,0,MATCH(AT$4,$H$22:$BK$22,0)))),"")</f>
        <v/>
      </c>
      <c r="AU11" s="493">
        <f>IFERROR(IF(SUMPRODUCT(N(ISNUMBER(INDEX($H$23:$BK$400,0,MATCH(AU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등)"))*INDEX($H$23:$BK$400,0,MATCH(AU$4,$H$22:$BK$22,0)))),"")</f>
        <v/>
      </c>
      <c r="AV11" s="493">
        <f>IFERROR(IF(SUMPRODUCT(N(ISNUMBER(INDEX($H$23:$BK$400,0,MATCH(AV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등)"))*INDEX($H$23:$BK$400,0,MATCH(AV$4,$H$22:$BK$22,0)))),"")</f>
        <v/>
      </c>
      <c r="AW11" s="493">
        <f>IFERROR(IF(SUMPRODUCT(N(ISNUMBER(INDEX($H$23:$BK$400,0,MATCH(AW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등)"))*INDEX($H$23:$BK$400,0,MATCH(AW$4,$H$22:$BK$22,0)))),"")</f>
        <v/>
      </c>
      <c r="AX11" s="493">
        <f>IFERROR(IF(SUMPRODUCT(N(ISNUMBER(INDEX($H$23:$BK$400,0,MATCH(AX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등)"))*INDEX($H$23:$BK$400,0,MATCH(AX$4,$H$22:$BK$22,0)))),"")</f>
        <v/>
      </c>
      <c r="AY11" s="493">
        <f>IFERROR(IF(SUMPRODUCT(N(ISNUMBER(INDEX($H$23:$BK$400,0,MATCH(AY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등)"))*INDEX($H$23:$BK$400,0,MATCH(AY$4,$H$22:$BK$22,0)))),"")</f>
        <v/>
      </c>
      <c r="AZ11" s="493">
        <f>IFERROR(IF(SUMPRODUCT(N(ISNUMBER(INDEX($H$23:$BK$400,0,MATCH(AZ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등)"))*INDEX($H$23:$BK$400,0,MATCH(AZ$4,$H$22:$BK$22,0)))),"")</f>
        <v/>
      </c>
      <c r="BA11" s="493">
        <f>IFERROR(IF(SUMPRODUCT(N(ISNUMBER(INDEX($H$23:$BK$400,0,MATCH(BA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등)"))*INDEX($H$23:$BK$400,0,MATCH(BA$4,$H$22:$BK$22,0)))),"")</f>
        <v/>
      </c>
      <c r="BB11" s="493">
        <f>IFERROR(IF(SUMPRODUCT(N(ISNUMBER(INDEX($H$23:$BK$400,0,MATCH(BB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등)"))*INDEX($H$23:$BK$400,0,MATCH(BB$4,$H$22:$BK$22,0)))),"")</f>
        <v/>
      </c>
      <c r="BC11" s="493">
        <f>IFERROR(IF(SUMPRODUCT(N(ISNUMBER(INDEX($H$23:$BK$400,0,MATCH(BC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등)"))*INDEX($H$23:$BK$400,0,MATCH(BC$4,$H$22:$BK$22,0)))),"")</f>
        <v/>
      </c>
      <c r="BD11" s="493">
        <f>IFERROR(IF(SUMPRODUCT(N(ISNUMBER(INDEX($H$23:$BK$400,0,MATCH(BD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등)"))*INDEX($H$23:$BK$400,0,MATCH(BD$4,$H$22:$BK$22,0)))),"")</f>
        <v/>
      </c>
      <c r="BE11" s="493">
        <f>IFERROR(IF(SUMPRODUCT(N(ISNUMBER(INDEX($H$23:$BK$400,0,MATCH(BE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등)"))*INDEX($H$23:$BK$400,0,MATCH(BE$4,$H$22:$BK$22,0)))),"")</f>
        <v/>
      </c>
      <c r="BF11" s="493">
        <f>IFERROR(IF(SUMPRODUCT(N(ISNUMBER(INDEX($H$23:$BK$400,0,MATCH(BF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등)"))*INDEX($H$23:$BK$400,0,MATCH(BF$4,$H$22:$BK$22,0)))),"")</f>
        <v/>
      </c>
      <c r="BG11" s="493">
        <f>IFERROR(IF(SUMPRODUCT(N(ISNUMBER(INDEX($H$23:$BK$400,0,MATCH(BG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등)"))*INDEX($H$23:$BK$400,0,MATCH(BG$4,$H$22:$BK$22,0)))),"")</f>
        <v/>
      </c>
      <c r="BH11" s="493">
        <f>IFERROR(IF(SUMPRODUCT(N(ISNUMBER(INDEX($H$23:$BK$400,0,MATCH(BH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등)"))*INDEX($H$23:$BK$400,0,MATCH(BH$4,$H$22:$BK$22,0)))),"")</f>
        <v/>
      </c>
      <c r="BI11" s="493">
        <f>IFERROR(IF(SUMPRODUCT(N(ISNUMBER(INDEX($H$23:$BK$400,0,MATCH(BI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등)"))*INDEX($H$23:$BK$400,0,MATCH(BI$4,$H$22:$BK$22,0)))),"")</f>
        <v/>
      </c>
      <c r="BJ11" s="493">
        <f>IFERROR(IF(SUMPRODUCT(N(ISNUMBER(INDEX($H$23:$BK$400,0,MATCH(BJ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등)"))*INDEX($H$23:$BK$400,0,MATCH(BJ$4,$H$22:$BK$22,0)))),"")</f>
        <v/>
      </c>
      <c r="BK11" s="493">
        <f>IFERROR(IF(SUMPRODUCT(N(ISNUMBER(INDEX($H$23:$BK$400,0,MATCH(BK$4,$H$22:$BK$22,0)))))=0,"",SUMPRODUCT(ISNUMBER(SEARCH("olmesartan",$E$23:$E$400))*ISNUMBER(SEARCH("amlodipine",$E$23:$E$400))*ISNUMBER(SEARCH("hydrochlorothiazide",$E$23:$E$400))*(($F$23:$F$400="병원")+($F$23:$F$400="의원")+($F$23:$F$400="보건소")+($F$23:$F$400="기타(치과의원, 치과병원 등)"))*INDEX($H$23:$BK$400,0,MATCH(BK$4,$H$22:$BK$22,0)))),"")</f>
        <v/>
      </c>
    </row>
    <row r="12">
      <c r="A12" s="476" t="inlineStr">
        <is>
          <t>SVKHCT_HP</t>
        </is>
      </c>
      <c r="H12" s="493">
        <f>IFERROR(IF(SUMPRODUCT(N(ISNUMBER(INDEX($H$23:$BK$400,0,MATCH(H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H$4,$H$22:$BK$22,0)))),"")</f>
        <v/>
      </c>
      <c r="I12" s="493">
        <f>IFERROR(IF(SUMPRODUCT(N(ISNUMBER(INDEX($H$23:$BK$400,0,MATCH(I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I$4,$H$22:$BK$22,0)))),"")</f>
        <v/>
      </c>
      <c r="J12" s="493">
        <f>IFERROR(IF(SUMPRODUCT(N(ISNUMBER(INDEX($H$23:$BK$400,0,MATCH(J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J$4,$H$22:$BK$22,0)))),"")</f>
        <v/>
      </c>
      <c r="K12" s="493">
        <f>IFERROR(IF(SUMPRODUCT(N(ISNUMBER(INDEX($H$23:$BK$400,0,MATCH(K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K$4,$H$22:$BK$22,0)))),"")</f>
        <v/>
      </c>
      <c r="L12" s="493">
        <f>IFERROR(IF(SUMPRODUCT(N(ISNUMBER(INDEX($H$23:$BK$400,0,MATCH(L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L$4,$H$22:$BK$22,0)))),"")</f>
        <v/>
      </c>
      <c r="M12" s="493">
        <f>IFERROR(IF(SUMPRODUCT(N(ISNUMBER(INDEX($H$23:$BK$400,0,MATCH(M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M$4,$H$22:$BK$22,0)))),"")</f>
        <v/>
      </c>
      <c r="N12" s="493">
        <f>IFERROR(IF(SUMPRODUCT(N(ISNUMBER(INDEX($H$23:$BK$400,0,MATCH(N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N$4,$H$22:$BK$22,0)))),"")</f>
        <v/>
      </c>
      <c r="O12" s="493">
        <f>IFERROR(IF(SUMPRODUCT(N(ISNUMBER(INDEX($H$23:$BK$400,0,MATCH(O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O$4,$H$22:$BK$22,0)))),"")</f>
        <v/>
      </c>
      <c r="P12" s="493">
        <f>IFERROR(IF(SUMPRODUCT(N(ISNUMBER(INDEX($H$23:$BK$400,0,MATCH(P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P$4,$H$22:$BK$22,0)))),"")</f>
        <v/>
      </c>
      <c r="Q12" s="493">
        <f>IFERROR(IF(SUMPRODUCT(N(ISNUMBER(INDEX($H$23:$BK$400,0,MATCH(Q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Q$4,$H$22:$BK$22,0)))),"")</f>
        <v/>
      </c>
      <c r="R12" s="493">
        <f>IFERROR(IF(SUMPRODUCT(N(ISNUMBER(INDEX($H$23:$BK$400,0,MATCH(R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R$4,$H$22:$BK$22,0)))),"")</f>
        <v/>
      </c>
      <c r="S12" s="493">
        <f>IFERROR(IF(SUMPRODUCT(N(ISNUMBER(INDEX($H$23:$BK$400,0,MATCH(S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S$4,$H$22:$BK$22,0)))),"")</f>
        <v/>
      </c>
      <c r="T12" s="493">
        <f>IFERROR(IF(SUMPRODUCT(N(ISNUMBER(INDEX($H$23:$BK$400,0,MATCH(T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T$4,$H$22:$BK$22,0)))),"")</f>
        <v/>
      </c>
      <c r="U12" s="493">
        <f>IFERROR(IF(SUMPRODUCT(N(ISNUMBER(INDEX($H$23:$BK$400,0,MATCH(U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U$4,$H$22:$BK$22,0)))),"")</f>
        <v/>
      </c>
      <c r="V12" s="493">
        <f>IFERROR(IF(SUMPRODUCT(N(ISNUMBER(INDEX($H$23:$BK$400,0,MATCH(V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V$4,$H$22:$BK$22,0)))),"")</f>
        <v/>
      </c>
      <c r="W12" s="493">
        <f>IFERROR(IF(SUMPRODUCT(N(ISNUMBER(INDEX($H$23:$BK$400,0,MATCH(W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W$4,$H$22:$BK$22,0)))),"")</f>
        <v/>
      </c>
      <c r="X12" s="493">
        <f>IFERROR(IF(SUMPRODUCT(N(ISNUMBER(INDEX($H$23:$BK$400,0,MATCH(X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X$4,$H$22:$BK$22,0)))),"")</f>
        <v/>
      </c>
      <c r="Y12" s="493">
        <f>IFERROR(IF(SUMPRODUCT(N(ISNUMBER(INDEX($H$23:$BK$400,0,MATCH(Y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Y$4,$H$22:$BK$22,0)))),"")</f>
        <v/>
      </c>
      <c r="Z12" s="493">
        <f>IFERROR(IF(SUMPRODUCT(N(ISNUMBER(INDEX($H$23:$BK$400,0,MATCH(Z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Z$4,$H$22:$BK$22,0)))),"")</f>
        <v/>
      </c>
      <c r="AA12" s="493">
        <f>IFERROR(IF(SUMPRODUCT(N(ISNUMBER(INDEX($H$23:$BK$400,0,MATCH(AA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A$4,$H$22:$BK$22,0)))),"")</f>
        <v/>
      </c>
      <c r="AB12" s="493">
        <f>IFERROR(IF(SUMPRODUCT(N(ISNUMBER(INDEX($H$23:$BK$400,0,MATCH(AB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B$4,$H$22:$BK$22,0)))),"")</f>
        <v/>
      </c>
      <c r="AC12" s="493">
        <f>IFERROR(IF(SUMPRODUCT(N(ISNUMBER(INDEX($H$23:$BK$400,0,MATCH(AC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C$4,$H$22:$BK$22,0)))),"")</f>
        <v/>
      </c>
      <c r="AD12" s="493">
        <f>IFERROR(IF(SUMPRODUCT(N(ISNUMBER(INDEX($H$23:$BK$400,0,MATCH(AD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D$4,$H$22:$BK$22,0)))),"")</f>
        <v/>
      </c>
      <c r="AE12" s="493">
        <f>IFERROR(IF(SUMPRODUCT(N(ISNUMBER(INDEX($H$23:$BK$400,0,MATCH(AE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E$4,$H$22:$BK$22,0)))),"")</f>
        <v/>
      </c>
      <c r="AF12" s="493">
        <f>IFERROR(IF(SUMPRODUCT(N(ISNUMBER(INDEX($H$23:$BK$400,0,MATCH(AF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F$4,$H$22:$BK$22,0)))),"")</f>
        <v/>
      </c>
      <c r="AG12" s="493">
        <f>IFERROR(IF(SUMPRODUCT(N(ISNUMBER(INDEX($H$23:$BK$400,0,MATCH(AG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G$4,$H$22:$BK$22,0)))),"")</f>
        <v/>
      </c>
      <c r="AH12" s="493">
        <f>IFERROR(IF(SUMPRODUCT(N(ISNUMBER(INDEX($H$23:$BK$400,0,MATCH(AH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H$4,$H$22:$BK$22,0)))),"")</f>
        <v/>
      </c>
      <c r="AI12" s="493">
        <f>IFERROR(IF(SUMPRODUCT(N(ISNUMBER(INDEX($H$23:$BK$400,0,MATCH(AI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I$4,$H$22:$BK$22,0)))),"")</f>
        <v/>
      </c>
      <c r="AJ12" s="493">
        <f>IFERROR(IF(SUMPRODUCT(N(ISNUMBER(INDEX($H$23:$BK$400,0,MATCH(AJ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J$4,$H$22:$BK$22,0)))),"")</f>
        <v/>
      </c>
      <c r="AK12" s="493">
        <f>IFERROR(IF(SUMPRODUCT(N(ISNUMBER(INDEX($H$23:$BK$400,0,MATCH(AK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K$4,$H$22:$BK$22,0)))),"")</f>
        <v/>
      </c>
      <c r="AL12" s="493">
        <f>IFERROR(IF(SUMPRODUCT(N(ISNUMBER(INDEX($H$23:$BK$400,0,MATCH(AL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L$4,$H$22:$BK$22,0)))),"")</f>
        <v/>
      </c>
      <c r="AM12" s="493">
        <f>IFERROR(IF(SUMPRODUCT(N(ISNUMBER(INDEX($H$23:$BK$400,0,MATCH(AM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M$4,$H$22:$BK$22,0)))),"")</f>
        <v/>
      </c>
      <c r="AN12" s="493">
        <f>IFERROR(IF(SUMPRODUCT(N(ISNUMBER(INDEX($H$23:$BK$400,0,MATCH(AN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N$4,$H$22:$BK$22,0)))),"")</f>
        <v/>
      </c>
      <c r="AO12" s="493">
        <f>IFERROR(IF(SUMPRODUCT(N(ISNUMBER(INDEX($H$23:$BK$400,0,MATCH(AO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O$4,$H$22:$BK$22,0)))),"")</f>
        <v/>
      </c>
      <c r="AP12" s="493">
        <f>IFERROR(IF(SUMPRODUCT(N(ISNUMBER(INDEX($H$23:$BK$400,0,MATCH(AP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P$4,$H$22:$BK$22,0)))),"")</f>
        <v/>
      </c>
      <c r="AQ12" s="493">
        <f>IFERROR(IF(SUMPRODUCT(N(ISNUMBER(INDEX($H$23:$BK$400,0,MATCH(AQ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Q$4,$H$22:$BK$22,0)))),"")</f>
        <v/>
      </c>
      <c r="AR12" s="493">
        <f>IFERROR(IF(SUMPRODUCT(N(ISNUMBER(INDEX($H$23:$BK$400,0,MATCH(AR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R$4,$H$22:$BK$22,0)))),"")</f>
        <v/>
      </c>
      <c r="AS12" s="493">
        <f>IFERROR(IF(SUMPRODUCT(N(ISNUMBER(INDEX($H$23:$BK$400,0,MATCH(AS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S$4,$H$22:$BK$22,0)))),"")</f>
        <v/>
      </c>
      <c r="AT12" s="493">
        <f>IFERROR(IF(SUMPRODUCT(N(ISNUMBER(INDEX($H$23:$BK$400,0,MATCH(AT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T$4,$H$22:$BK$22,0)))),"")</f>
        <v/>
      </c>
      <c r="AU12" s="493">
        <f>IFERROR(IF(SUMPRODUCT(N(ISNUMBER(INDEX($H$23:$BK$400,0,MATCH(AU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U$4,$H$22:$BK$22,0)))),"")</f>
        <v/>
      </c>
      <c r="AV12" s="493">
        <f>IFERROR(IF(SUMPRODUCT(N(ISNUMBER(INDEX($H$23:$BK$400,0,MATCH(AV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V$4,$H$22:$BK$22,0)))),"")</f>
        <v/>
      </c>
      <c r="AW12" s="493">
        <f>IFERROR(IF(SUMPRODUCT(N(ISNUMBER(INDEX($H$23:$BK$400,0,MATCH(AW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W$4,$H$22:$BK$22,0)))),"")</f>
        <v/>
      </c>
      <c r="AX12" s="493">
        <f>IFERROR(IF(SUMPRODUCT(N(ISNUMBER(INDEX($H$23:$BK$400,0,MATCH(AX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X$4,$H$22:$BK$22,0)))),"")</f>
        <v/>
      </c>
      <c r="AY12" s="493">
        <f>IFERROR(IF(SUMPRODUCT(N(ISNUMBER(INDEX($H$23:$BK$400,0,MATCH(AY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Y$4,$H$22:$BK$22,0)))),"")</f>
        <v/>
      </c>
      <c r="AZ12" s="493">
        <f>IFERROR(IF(SUMPRODUCT(N(ISNUMBER(INDEX($H$23:$BK$400,0,MATCH(AZ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AZ$4,$H$22:$BK$22,0)))),"")</f>
        <v/>
      </c>
      <c r="BA12" s="493">
        <f>IFERROR(IF(SUMPRODUCT(N(ISNUMBER(INDEX($H$23:$BK$400,0,MATCH(BA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A$4,$H$22:$BK$22,0)))),"")</f>
        <v/>
      </c>
      <c r="BB12" s="493">
        <f>IFERROR(IF(SUMPRODUCT(N(ISNUMBER(INDEX($H$23:$BK$400,0,MATCH(BB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B$4,$H$22:$BK$22,0)))),"")</f>
        <v/>
      </c>
      <c r="BC12" s="493">
        <f>IFERROR(IF(SUMPRODUCT(N(ISNUMBER(INDEX($H$23:$BK$400,0,MATCH(BC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C$4,$H$22:$BK$22,0)))),"")</f>
        <v/>
      </c>
      <c r="BD12" s="493">
        <f>IFERROR(IF(SUMPRODUCT(N(ISNUMBER(INDEX($H$23:$BK$400,0,MATCH(BD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D$4,$H$22:$BK$22,0)))),"")</f>
        <v/>
      </c>
      <c r="BE12" s="493">
        <f>IFERROR(IF(SUMPRODUCT(N(ISNUMBER(INDEX($H$23:$BK$400,0,MATCH(BE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E$4,$H$22:$BK$22,0)))),"")</f>
        <v/>
      </c>
      <c r="BF12" s="493">
        <f>IFERROR(IF(SUMPRODUCT(N(ISNUMBER(INDEX($H$23:$BK$400,0,MATCH(BF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F$4,$H$22:$BK$22,0)))),"")</f>
        <v/>
      </c>
      <c r="BG12" s="493">
        <f>IFERROR(IF(SUMPRODUCT(N(ISNUMBER(INDEX($H$23:$BK$400,0,MATCH(BG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G$4,$H$22:$BK$22,0)))),"")</f>
        <v/>
      </c>
      <c r="BH12" s="493">
        <f>IFERROR(IF(SUMPRODUCT(N(ISNUMBER(INDEX($H$23:$BK$400,0,MATCH(BH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H$4,$H$22:$BK$22,0)))),"")</f>
        <v/>
      </c>
      <c r="BI12" s="493">
        <f>IFERROR(IF(SUMPRODUCT(N(ISNUMBER(INDEX($H$23:$BK$400,0,MATCH(BI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I$4,$H$22:$BK$22,0)))),"")</f>
        <v/>
      </c>
      <c r="BJ12" s="493">
        <f>IFERROR(IF(SUMPRODUCT(N(ISNUMBER(INDEX($H$23:$BK$400,0,MATCH(BJ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J$4,$H$22:$BK$22,0)))),"")</f>
        <v/>
      </c>
      <c r="BK12" s="493">
        <f>IFERROR(IF(SUMPRODUCT(N(ISNUMBER(INDEX($H$23:$BK$400,0,MATCH(BK$4,$H$22:$BK$22,0)))))=0,"",SUMPRODUCT(ISNUMBER(SEARCH("olmesartan",$E$23:$E$400))*ISNUMBER(SEARCH("amlodipine",$E$23:$E$400))*ISNUMBER(SEARCH("hydrochlorothiazide",$E$23:$E$400))*($G$23:$G$400="Original")*(($F$23:$F$400="상급종합병원")+($F$23:$F$400="종합병원"))*INDEX($H$23:$BK$400,0,MATCH(BK$4,$H$22:$BK$22,0)))),"")</f>
        <v/>
      </c>
    </row>
    <row r="13">
      <c r="A13" s="476" t="inlineStr">
        <is>
          <t>SVKHCT_GP</t>
        </is>
      </c>
      <c r="H13" s="493">
        <f>IFERROR(IF(SUMPRODUCT(N(ISNUMBER(INDEX($H$23:$BK$400,0,MATCH(H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등)"))*INDEX($H$23:$BK$400,0,MATCH(H$4,$H$22:$BK$22,0)))),"")</f>
        <v/>
      </c>
      <c r="I13" s="493">
        <f>IFERROR(IF(SUMPRODUCT(N(ISNUMBER(INDEX($H$23:$BK$400,0,MATCH(I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등)"))*INDEX($H$23:$BK$400,0,MATCH(I$4,$H$22:$BK$22,0)))),"")</f>
        <v/>
      </c>
      <c r="J13" s="493">
        <f>IFERROR(IF(SUMPRODUCT(N(ISNUMBER(INDEX($H$23:$BK$400,0,MATCH(J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등)"))*INDEX($H$23:$BK$400,0,MATCH(J$4,$H$22:$BK$22,0)))),"")</f>
        <v/>
      </c>
      <c r="K13" s="493">
        <f>IFERROR(IF(SUMPRODUCT(N(ISNUMBER(INDEX($H$23:$BK$400,0,MATCH(K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등)"))*INDEX($H$23:$BK$400,0,MATCH(K$4,$H$22:$BK$22,0)))),"")</f>
        <v/>
      </c>
      <c r="L13" s="493">
        <f>IFERROR(IF(SUMPRODUCT(N(ISNUMBER(INDEX($H$23:$BK$400,0,MATCH(L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등)"))*INDEX($H$23:$BK$400,0,MATCH(L$4,$H$22:$BK$22,0)))),"")</f>
        <v/>
      </c>
      <c r="M13" s="493">
        <f>IFERROR(IF(SUMPRODUCT(N(ISNUMBER(INDEX($H$23:$BK$400,0,MATCH(M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등)"))*INDEX($H$23:$BK$400,0,MATCH(M$4,$H$22:$BK$22,0)))),"")</f>
        <v/>
      </c>
      <c r="N13" s="493">
        <f>IFERROR(IF(SUMPRODUCT(N(ISNUMBER(INDEX($H$23:$BK$400,0,MATCH(N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등)"))*INDEX($H$23:$BK$400,0,MATCH(N$4,$H$22:$BK$22,0)))),"")</f>
        <v/>
      </c>
      <c r="O13" s="493">
        <f>IFERROR(IF(SUMPRODUCT(N(ISNUMBER(INDEX($H$23:$BK$400,0,MATCH(O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등)"))*INDEX($H$23:$BK$400,0,MATCH(O$4,$H$22:$BK$22,0)))),"")</f>
        <v/>
      </c>
      <c r="P13" s="493">
        <f>IFERROR(IF(SUMPRODUCT(N(ISNUMBER(INDEX($H$23:$BK$400,0,MATCH(P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등)"))*INDEX($H$23:$BK$400,0,MATCH(P$4,$H$22:$BK$22,0)))),"")</f>
        <v/>
      </c>
      <c r="Q13" s="493">
        <f>IFERROR(IF(SUMPRODUCT(N(ISNUMBER(INDEX($H$23:$BK$400,0,MATCH(Q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등)"))*INDEX($H$23:$BK$400,0,MATCH(Q$4,$H$22:$BK$22,0)))),"")</f>
        <v/>
      </c>
      <c r="R13" s="493">
        <f>IFERROR(IF(SUMPRODUCT(N(ISNUMBER(INDEX($H$23:$BK$400,0,MATCH(R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등)"))*INDEX($H$23:$BK$400,0,MATCH(R$4,$H$22:$BK$22,0)))),"")</f>
        <v/>
      </c>
      <c r="S13" s="493">
        <f>IFERROR(IF(SUMPRODUCT(N(ISNUMBER(INDEX($H$23:$BK$400,0,MATCH(S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등)"))*INDEX($H$23:$BK$400,0,MATCH(S$4,$H$22:$BK$22,0)))),"")</f>
        <v/>
      </c>
      <c r="T13" s="493">
        <f>IFERROR(IF(SUMPRODUCT(N(ISNUMBER(INDEX($H$23:$BK$400,0,MATCH(T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등)"))*INDEX($H$23:$BK$400,0,MATCH(T$4,$H$22:$BK$22,0)))),"")</f>
        <v/>
      </c>
      <c r="U13" s="493">
        <f>IFERROR(IF(SUMPRODUCT(N(ISNUMBER(INDEX($H$23:$BK$400,0,MATCH(U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등)"))*INDEX($H$23:$BK$400,0,MATCH(U$4,$H$22:$BK$22,0)))),"")</f>
        <v/>
      </c>
      <c r="V13" s="493">
        <f>IFERROR(IF(SUMPRODUCT(N(ISNUMBER(INDEX($H$23:$BK$400,0,MATCH(V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등)"))*INDEX($H$23:$BK$400,0,MATCH(V$4,$H$22:$BK$22,0)))),"")</f>
        <v/>
      </c>
      <c r="W13" s="493">
        <f>IFERROR(IF(SUMPRODUCT(N(ISNUMBER(INDEX($H$23:$BK$400,0,MATCH(W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등)"))*INDEX($H$23:$BK$400,0,MATCH(W$4,$H$22:$BK$22,0)))),"")</f>
        <v/>
      </c>
      <c r="X13" s="493">
        <f>IFERROR(IF(SUMPRODUCT(N(ISNUMBER(INDEX($H$23:$BK$400,0,MATCH(X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등)"))*INDEX($H$23:$BK$400,0,MATCH(X$4,$H$22:$BK$22,0)))),"")</f>
        <v/>
      </c>
      <c r="Y13" s="493">
        <f>IFERROR(IF(SUMPRODUCT(N(ISNUMBER(INDEX($H$23:$BK$400,0,MATCH(Y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등)"))*INDEX($H$23:$BK$400,0,MATCH(Y$4,$H$22:$BK$22,0)))),"")</f>
        <v/>
      </c>
      <c r="Z13" s="493">
        <f>IFERROR(IF(SUMPRODUCT(N(ISNUMBER(INDEX($H$23:$BK$400,0,MATCH(Z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등)"))*INDEX($H$23:$BK$400,0,MATCH(Z$4,$H$22:$BK$22,0)))),"")</f>
        <v/>
      </c>
      <c r="AA13" s="493">
        <f>IFERROR(IF(SUMPRODUCT(N(ISNUMBER(INDEX($H$23:$BK$400,0,MATCH(AA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등)"))*INDEX($H$23:$BK$400,0,MATCH(AA$4,$H$22:$BK$22,0)))),"")</f>
        <v/>
      </c>
      <c r="AB13" s="493">
        <f>IFERROR(IF(SUMPRODUCT(N(ISNUMBER(INDEX($H$23:$BK$400,0,MATCH(AB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등)"))*INDEX($H$23:$BK$400,0,MATCH(AB$4,$H$22:$BK$22,0)))),"")</f>
        <v/>
      </c>
      <c r="AC13" s="493">
        <f>IFERROR(IF(SUMPRODUCT(N(ISNUMBER(INDEX($H$23:$BK$400,0,MATCH(AC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등)"))*INDEX($H$23:$BK$400,0,MATCH(AC$4,$H$22:$BK$22,0)))),"")</f>
        <v/>
      </c>
      <c r="AD13" s="493">
        <f>IFERROR(IF(SUMPRODUCT(N(ISNUMBER(INDEX($H$23:$BK$400,0,MATCH(AD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등)"))*INDEX($H$23:$BK$400,0,MATCH(AD$4,$H$22:$BK$22,0)))),"")</f>
        <v/>
      </c>
      <c r="AE13" s="493">
        <f>IFERROR(IF(SUMPRODUCT(N(ISNUMBER(INDEX($H$23:$BK$400,0,MATCH(AE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등)"))*INDEX($H$23:$BK$400,0,MATCH(AE$4,$H$22:$BK$22,0)))),"")</f>
        <v/>
      </c>
      <c r="AF13" s="493">
        <f>IFERROR(IF(SUMPRODUCT(N(ISNUMBER(INDEX($H$23:$BK$400,0,MATCH(AF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등)"))*INDEX($H$23:$BK$400,0,MATCH(AF$4,$H$22:$BK$22,0)))),"")</f>
        <v/>
      </c>
      <c r="AG13" s="493">
        <f>IFERROR(IF(SUMPRODUCT(N(ISNUMBER(INDEX($H$23:$BK$400,0,MATCH(AG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등)"))*INDEX($H$23:$BK$400,0,MATCH(AG$4,$H$22:$BK$22,0)))),"")</f>
        <v/>
      </c>
      <c r="AH13" s="493">
        <f>IFERROR(IF(SUMPRODUCT(N(ISNUMBER(INDEX($H$23:$BK$400,0,MATCH(AH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등)"))*INDEX($H$23:$BK$400,0,MATCH(AH$4,$H$22:$BK$22,0)))),"")</f>
        <v/>
      </c>
      <c r="AI13" s="493">
        <f>IFERROR(IF(SUMPRODUCT(N(ISNUMBER(INDEX($H$23:$BK$400,0,MATCH(AI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등)"))*INDEX($H$23:$BK$400,0,MATCH(AI$4,$H$22:$BK$22,0)))),"")</f>
        <v/>
      </c>
      <c r="AJ13" s="493">
        <f>IFERROR(IF(SUMPRODUCT(N(ISNUMBER(INDEX($H$23:$BK$400,0,MATCH(AJ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등)"))*INDEX($H$23:$BK$400,0,MATCH(AJ$4,$H$22:$BK$22,0)))),"")</f>
        <v/>
      </c>
      <c r="AK13" s="493">
        <f>IFERROR(IF(SUMPRODUCT(N(ISNUMBER(INDEX($H$23:$BK$400,0,MATCH(AK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등)"))*INDEX($H$23:$BK$400,0,MATCH(AK$4,$H$22:$BK$22,0)))),"")</f>
        <v/>
      </c>
      <c r="AL13" s="493">
        <f>IFERROR(IF(SUMPRODUCT(N(ISNUMBER(INDEX($H$23:$BK$400,0,MATCH(AL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등)"))*INDEX($H$23:$BK$400,0,MATCH(AL$4,$H$22:$BK$22,0)))),"")</f>
        <v/>
      </c>
      <c r="AM13" s="493">
        <f>IFERROR(IF(SUMPRODUCT(N(ISNUMBER(INDEX($H$23:$BK$400,0,MATCH(AM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등)"))*INDEX($H$23:$BK$400,0,MATCH(AM$4,$H$22:$BK$22,0)))),"")</f>
        <v/>
      </c>
      <c r="AN13" s="493">
        <f>IFERROR(IF(SUMPRODUCT(N(ISNUMBER(INDEX($H$23:$BK$400,0,MATCH(AN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등)"))*INDEX($H$23:$BK$400,0,MATCH(AN$4,$H$22:$BK$22,0)))),"")</f>
        <v/>
      </c>
      <c r="AO13" s="493">
        <f>IFERROR(IF(SUMPRODUCT(N(ISNUMBER(INDEX($H$23:$BK$400,0,MATCH(AO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등)"))*INDEX($H$23:$BK$400,0,MATCH(AO$4,$H$22:$BK$22,0)))),"")</f>
        <v/>
      </c>
      <c r="AP13" s="493">
        <f>IFERROR(IF(SUMPRODUCT(N(ISNUMBER(INDEX($H$23:$BK$400,0,MATCH(AP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등)"))*INDEX($H$23:$BK$400,0,MATCH(AP$4,$H$22:$BK$22,0)))),"")</f>
        <v/>
      </c>
      <c r="AQ13" s="493">
        <f>IFERROR(IF(SUMPRODUCT(N(ISNUMBER(INDEX($H$23:$BK$400,0,MATCH(AQ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등)"))*INDEX($H$23:$BK$400,0,MATCH(AQ$4,$H$22:$BK$22,0)))),"")</f>
        <v/>
      </c>
      <c r="AR13" s="493">
        <f>IFERROR(IF(SUMPRODUCT(N(ISNUMBER(INDEX($H$23:$BK$400,0,MATCH(AR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등)"))*INDEX($H$23:$BK$400,0,MATCH(AR$4,$H$22:$BK$22,0)))),"")</f>
        <v/>
      </c>
      <c r="AS13" s="493">
        <f>IFERROR(IF(SUMPRODUCT(N(ISNUMBER(INDEX($H$23:$BK$400,0,MATCH(AS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등)"))*INDEX($H$23:$BK$400,0,MATCH(AS$4,$H$22:$BK$22,0)))),"")</f>
        <v/>
      </c>
      <c r="AT13" s="493">
        <f>IFERROR(IF(SUMPRODUCT(N(ISNUMBER(INDEX($H$23:$BK$400,0,MATCH(AT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등)"))*INDEX($H$23:$BK$400,0,MATCH(AT$4,$H$22:$BK$22,0)))),"")</f>
        <v/>
      </c>
      <c r="AU13" s="493">
        <f>IFERROR(IF(SUMPRODUCT(N(ISNUMBER(INDEX($H$23:$BK$400,0,MATCH(AU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등)"))*INDEX($H$23:$BK$400,0,MATCH(AU$4,$H$22:$BK$22,0)))),"")</f>
        <v/>
      </c>
      <c r="AV13" s="493">
        <f>IFERROR(IF(SUMPRODUCT(N(ISNUMBER(INDEX($H$23:$BK$400,0,MATCH(AV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등)"))*INDEX($H$23:$BK$400,0,MATCH(AV$4,$H$22:$BK$22,0)))),"")</f>
        <v/>
      </c>
      <c r="AW13" s="493">
        <f>IFERROR(IF(SUMPRODUCT(N(ISNUMBER(INDEX($H$23:$BK$400,0,MATCH(AW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등)"))*INDEX($H$23:$BK$400,0,MATCH(AW$4,$H$22:$BK$22,0)))),"")</f>
        <v/>
      </c>
      <c r="AX13" s="493">
        <f>IFERROR(IF(SUMPRODUCT(N(ISNUMBER(INDEX($H$23:$BK$400,0,MATCH(AX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등)"))*INDEX($H$23:$BK$400,0,MATCH(AX$4,$H$22:$BK$22,0)))),"")</f>
        <v/>
      </c>
      <c r="AY13" s="493">
        <f>IFERROR(IF(SUMPRODUCT(N(ISNUMBER(INDEX($H$23:$BK$400,0,MATCH(AY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등)"))*INDEX($H$23:$BK$400,0,MATCH(AY$4,$H$22:$BK$22,0)))),"")</f>
        <v/>
      </c>
      <c r="AZ13" s="493">
        <f>IFERROR(IF(SUMPRODUCT(N(ISNUMBER(INDEX($H$23:$BK$400,0,MATCH(AZ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등)"))*INDEX($H$23:$BK$400,0,MATCH(AZ$4,$H$22:$BK$22,0)))),"")</f>
        <v/>
      </c>
      <c r="BA13" s="493">
        <f>IFERROR(IF(SUMPRODUCT(N(ISNUMBER(INDEX($H$23:$BK$400,0,MATCH(BA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등)"))*INDEX($H$23:$BK$400,0,MATCH(BA$4,$H$22:$BK$22,0)))),"")</f>
        <v/>
      </c>
      <c r="BB13" s="493">
        <f>IFERROR(IF(SUMPRODUCT(N(ISNUMBER(INDEX($H$23:$BK$400,0,MATCH(BB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등)"))*INDEX($H$23:$BK$400,0,MATCH(BB$4,$H$22:$BK$22,0)))),"")</f>
        <v/>
      </c>
      <c r="BC13" s="493">
        <f>IFERROR(IF(SUMPRODUCT(N(ISNUMBER(INDEX($H$23:$BK$400,0,MATCH(BC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등)"))*INDEX($H$23:$BK$400,0,MATCH(BC$4,$H$22:$BK$22,0)))),"")</f>
        <v/>
      </c>
      <c r="BD13" s="493">
        <f>IFERROR(IF(SUMPRODUCT(N(ISNUMBER(INDEX($H$23:$BK$400,0,MATCH(BD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등)"))*INDEX($H$23:$BK$400,0,MATCH(BD$4,$H$22:$BK$22,0)))),"")</f>
        <v/>
      </c>
      <c r="BE13" s="493">
        <f>IFERROR(IF(SUMPRODUCT(N(ISNUMBER(INDEX($H$23:$BK$400,0,MATCH(BE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등)"))*INDEX($H$23:$BK$400,0,MATCH(BE$4,$H$22:$BK$22,0)))),"")</f>
        <v/>
      </c>
      <c r="BF13" s="493">
        <f>IFERROR(IF(SUMPRODUCT(N(ISNUMBER(INDEX($H$23:$BK$400,0,MATCH(BF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등)"))*INDEX($H$23:$BK$400,0,MATCH(BF$4,$H$22:$BK$22,0)))),"")</f>
        <v/>
      </c>
      <c r="BG13" s="493">
        <f>IFERROR(IF(SUMPRODUCT(N(ISNUMBER(INDEX($H$23:$BK$400,0,MATCH(BG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등)"))*INDEX($H$23:$BK$400,0,MATCH(BG$4,$H$22:$BK$22,0)))),"")</f>
        <v/>
      </c>
      <c r="BH13" s="493">
        <f>IFERROR(IF(SUMPRODUCT(N(ISNUMBER(INDEX($H$23:$BK$400,0,MATCH(BH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등)"))*INDEX($H$23:$BK$400,0,MATCH(BH$4,$H$22:$BK$22,0)))),"")</f>
        <v/>
      </c>
      <c r="BI13" s="493">
        <f>IFERROR(IF(SUMPRODUCT(N(ISNUMBER(INDEX($H$23:$BK$400,0,MATCH(BI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등)"))*INDEX($H$23:$BK$400,0,MATCH(BI$4,$H$22:$BK$22,0)))),"")</f>
        <v/>
      </c>
      <c r="BJ13" s="493">
        <f>IFERROR(IF(SUMPRODUCT(N(ISNUMBER(INDEX($H$23:$BK$400,0,MATCH(BJ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등)"))*INDEX($H$23:$BK$400,0,MATCH(BJ$4,$H$22:$BK$22,0)))),"")</f>
        <v/>
      </c>
      <c r="BK13" s="493">
        <f>IFERROR(IF(SUMPRODUCT(N(ISNUMBER(INDEX($H$23:$BK$400,0,MATCH(BK$4,$H$22:$BK$22,0)))))=0,"",SUMPRODUCT(ISNUMBER(SEARCH("olmesartan",$E$23:$E$400))*ISNUMBER(SEARCH("amlodipine",$E$23:$E$400))*ISNUMBER(SEARCH("hydrochlorothiazide",$E$23:$E$400))*($G$23:$G$400="Original")*(($F$23:$F$400="병원")+($F$23:$F$400="의원")+($F$23:$F$400="보건소")+($F$23:$F$400="기타(치과의원, 치과병원 등)"))*INDEX($H$23:$BK$400,0,MATCH(BK$4,$H$22:$BK$22,0)))),"")</f>
        <v/>
      </c>
    </row>
    <row r="14">
      <c r="A14" s="476" t="inlineStr">
        <is>
          <t>AMT_HP</t>
        </is>
      </c>
      <c r="H14" s="493" t="inlineStr"/>
      <c r="I14" s="493" t="inlineStr"/>
      <c r="J14" s="493" t="inlineStr"/>
      <c r="K14" s="493" t="inlineStr"/>
      <c r="L14" s="493" t="inlineStr"/>
      <c r="M14" s="493" t="inlineStr"/>
      <c r="N14" s="493" t="inlineStr"/>
      <c r="O14" s="493" t="inlineStr"/>
      <c r="P14" s="493" t="inlineStr"/>
      <c r="Q14" s="493" t="inlineStr"/>
      <c r="R14" s="493" t="inlineStr"/>
      <c r="S14" s="493" t="inlineStr"/>
      <c r="T14" s="493" t="inlineStr"/>
      <c r="U14" s="493" t="inlineStr"/>
      <c r="V14" s="493" t="inlineStr"/>
      <c r="W14" s="493" t="inlineStr"/>
      <c r="X14" s="493" t="inlineStr"/>
      <c r="Y14" s="493" t="inlineStr"/>
      <c r="Z14" s="493" t="inlineStr"/>
      <c r="AA14" s="493" t="inlineStr"/>
      <c r="AB14" s="493" t="inlineStr"/>
      <c r="AC14" s="493" t="inlineStr"/>
      <c r="AD14" s="493" t="inlineStr"/>
      <c r="AE14" s="493" t="inlineStr"/>
      <c r="AF14" s="493" t="inlineStr"/>
      <c r="AG14" s="493" t="inlineStr"/>
      <c r="AH14" s="493" t="inlineStr"/>
      <c r="AI14" s="493" t="inlineStr"/>
      <c r="AJ14" s="493" t="inlineStr"/>
      <c r="AK14" s="493" t="inlineStr"/>
      <c r="AL14" s="493" t="inlineStr"/>
      <c r="AM14" s="493" t="inlineStr"/>
      <c r="AN14" s="493" t="inlineStr"/>
      <c r="AO14" s="493" t="inlineStr"/>
      <c r="AP14" s="493" t="inlineStr"/>
      <c r="AQ14" s="493" t="inlineStr"/>
      <c r="AR14" s="493" t="inlineStr"/>
      <c r="AS14" s="493" t="inlineStr"/>
      <c r="AT14" s="493" t="inlineStr"/>
      <c r="AU14" s="493" t="inlineStr"/>
      <c r="AV14" s="493" t="inlineStr"/>
      <c r="AW14" s="493" t="inlineStr"/>
      <c r="AX14" s="493" t="inlineStr"/>
      <c r="AY14" s="493" t="inlineStr"/>
      <c r="AZ14" s="493" t="inlineStr"/>
      <c r="BA14" s="493" t="inlineStr"/>
      <c r="BB14" s="493" t="inlineStr"/>
      <c r="BC14" s="493" t="inlineStr"/>
      <c r="BD14" s="493" t="inlineStr"/>
      <c r="BE14" s="493" t="inlineStr"/>
      <c r="BF14" s="493" t="inlineStr"/>
      <c r="BG14" s="493" t="inlineStr"/>
      <c r="BH14" s="493" t="inlineStr"/>
      <c r="BI14" s="493" t="inlineStr"/>
      <c r="BJ14" s="493" t="inlineStr"/>
      <c r="BK14" s="493" t="inlineStr"/>
    </row>
    <row r="15">
      <c r="A15" s="476" t="inlineStr">
        <is>
          <t>AMT_GP</t>
        </is>
      </c>
      <c r="H15" s="493" t="inlineStr"/>
      <c r="I15" s="493" t="inlineStr"/>
      <c r="J15" s="493" t="inlineStr"/>
      <c r="K15" s="493" t="inlineStr"/>
      <c r="L15" s="493" t="inlineStr"/>
      <c r="M15" s="493" t="inlineStr"/>
      <c r="N15" s="493" t="inlineStr"/>
      <c r="O15" s="493" t="inlineStr"/>
      <c r="P15" s="493" t="inlineStr"/>
      <c r="Q15" s="493" t="inlineStr"/>
      <c r="R15" s="493" t="inlineStr"/>
      <c r="S15" s="493" t="inlineStr"/>
      <c r="T15" s="493" t="inlineStr"/>
      <c r="U15" s="493" t="inlineStr"/>
      <c r="V15" s="493" t="inlineStr"/>
      <c r="W15" s="493" t="inlineStr"/>
      <c r="X15" s="493" t="inlineStr"/>
      <c r="Y15" s="493" t="inlineStr"/>
      <c r="Z15" s="493" t="inlineStr"/>
      <c r="AA15" s="493" t="inlineStr"/>
      <c r="AB15" s="493" t="inlineStr"/>
      <c r="AC15" s="493" t="inlineStr"/>
      <c r="AD15" s="493" t="inlineStr"/>
      <c r="AE15" s="493" t="inlineStr"/>
      <c r="AF15" s="493" t="inlineStr"/>
      <c r="AG15" s="493" t="inlineStr"/>
      <c r="AH15" s="493" t="inlineStr"/>
      <c r="AI15" s="493" t="inlineStr"/>
      <c r="AJ15" s="493" t="inlineStr"/>
      <c r="AK15" s="493" t="inlineStr"/>
      <c r="AL15" s="493" t="inlineStr"/>
      <c r="AM15" s="493" t="inlineStr"/>
      <c r="AN15" s="493" t="inlineStr"/>
      <c r="AO15" s="493" t="inlineStr"/>
      <c r="AP15" s="493" t="inlineStr"/>
      <c r="AQ15" s="493" t="inlineStr"/>
      <c r="AR15" s="493" t="inlineStr"/>
      <c r="AS15" s="493" t="inlineStr"/>
      <c r="AT15" s="493" t="inlineStr"/>
      <c r="AU15" s="493" t="inlineStr"/>
      <c r="AV15" s="493" t="inlineStr"/>
      <c r="AW15" s="493" t="inlineStr"/>
      <c r="AX15" s="493" t="inlineStr"/>
      <c r="AY15" s="493" t="inlineStr"/>
      <c r="AZ15" s="493" t="inlineStr"/>
      <c r="BA15" s="493" t="inlineStr"/>
      <c r="BB15" s="493" t="inlineStr"/>
      <c r="BC15" s="493" t="inlineStr"/>
      <c r="BD15" s="493" t="inlineStr"/>
      <c r="BE15" s="493" t="inlineStr"/>
      <c r="BF15" s="493" t="inlineStr"/>
      <c r="BG15" s="493" t="inlineStr"/>
      <c r="BH15" s="493" t="inlineStr"/>
      <c r="BI15" s="493" t="inlineStr"/>
      <c r="BJ15" s="493" t="inlineStr"/>
      <c r="BK15" s="493" t="inlineStr"/>
    </row>
    <row r="16">
      <c r="A16" s="473" t="inlineStr">
        <is>
          <t xml:space="preserve">  (AMT_HP/AMT_GP 는 금액 파일을 별도 시트에 붙여넣은 뒤 수동 연결 — 현재 미사용)</t>
        </is>
      </c>
    </row>
    <row r="20">
      <c r="A20" s="527" t="inlineStr">
        <is>
          <t>▼ 아래(A21)에 UBIST 데이터 시트 전체를 값 붙여넣기 ▼</t>
        </is>
      </c>
    </row>
    <row r="21">
      <c r="H21" s="490" t="inlineStr">
        <is>
          <t>처방량_P</t>
        </is>
      </c>
    </row>
    <row r="22">
      <c r="A22" s="492" t="inlineStr">
        <is>
          <t>ATC</t>
        </is>
      </c>
      <c r="B22" s="492" t="inlineStr">
        <is>
          <t>제조사</t>
        </is>
      </c>
      <c r="C22" s="492" t="inlineStr">
        <is>
          <t>제품</t>
        </is>
      </c>
      <c r="D22" s="492" t="inlineStr">
        <is>
          <t>제조사</t>
        </is>
      </c>
      <c r="E22" s="492" t="inlineStr">
        <is>
          <t>성분</t>
        </is>
      </c>
      <c r="F22" s="492" t="inlineStr">
        <is>
          <t>종별</t>
        </is>
      </c>
      <c r="G22" s="492" t="inlineStr">
        <is>
          <t>Generic</t>
        </is>
      </c>
      <c r="H22" s="492" t="inlineStr">
        <is>
          <t>2026년 4월</t>
        </is>
      </c>
      <c r="I22" s="492" t="inlineStr">
        <is>
          <t>2026년 5월</t>
        </is>
      </c>
      <c r="J22" s="492" t="inlineStr">
        <is>
          <t>2026년 6월</t>
        </is>
      </c>
      <c r="K22" s="492" t="inlineStr">
        <is>
          <t>2026년 7월</t>
        </is>
      </c>
      <c r="L22" s="492" t="inlineStr">
        <is>
          <t>2026년 8월</t>
        </is>
      </c>
      <c r="M22" s="492" t="inlineStr">
        <is>
          <t>2026년 9월</t>
        </is>
      </c>
      <c r="N22" s="492" t="inlineStr">
        <is>
          <t>2026년 10월</t>
        </is>
      </c>
      <c r="O22" s="492" t="inlineStr">
        <is>
          <t>2026년 11월</t>
        </is>
      </c>
      <c r="P22" s="492" t="inlineStr">
        <is>
          <t>2026년 12월</t>
        </is>
      </c>
      <c r="Q22" s="492" t="inlineStr">
        <is>
          <t>2027년 1월</t>
        </is>
      </c>
      <c r="R22" s="492" t="inlineStr">
        <is>
          <t>2027년 2월</t>
        </is>
      </c>
      <c r="S22" s="492" t="inlineStr">
        <is>
          <t>2027년 3월</t>
        </is>
      </c>
      <c r="T22" s="492" t="inlineStr">
        <is>
          <t>2027년 4월</t>
        </is>
      </c>
      <c r="U22" s="492" t="inlineStr">
        <is>
          <t>2027년 5월</t>
        </is>
      </c>
      <c r="V22" s="492" t="inlineStr">
        <is>
          <t>2027년 6월</t>
        </is>
      </c>
      <c r="W22" s="492" t="inlineStr">
        <is>
          <t>2027년 7월</t>
        </is>
      </c>
      <c r="X22" s="492" t="inlineStr">
        <is>
          <t>2027년 8월</t>
        </is>
      </c>
      <c r="Y22" s="492" t="inlineStr">
        <is>
          <t>2027년 9월</t>
        </is>
      </c>
      <c r="Z22" s="492" t="inlineStr">
        <is>
          <t>2027년 10월</t>
        </is>
      </c>
      <c r="AA22" s="492" t="inlineStr">
        <is>
          <t>2027년 11월</t>
        </is>
      </c>
      <c r="AB22" s="492" t="inlineStr">
        <is>
          <t>2027년 12월</t>
        </is>
      </c>
      <c r="AC22" s="492" t="inlineStr">
        <is>
          <t>2028년 1월</t>
        </is>
      </c>
      <c r="AD22" s="492" t="inlineStr">
        <is>
          <t>2028년 2월</t>
        </is>
      </c>
      <c r="AE22" s="492" t="inlineStr">
        <is>
          <t>2028년 3월</t>
        </is>
      </c>
      <c r="AF22" s="492" t="inlineStr">
        <is>
          <t>2028년 4월</t>
        </is>
      </c>
      <c r="AG22" s="492" t="inlineStr">
        <is>
          <t>2028년 5월</t>
        </is>
      </c>
      <c r="AH22" s="492" t="inlineStr">
        <is>
          <t>2028년 6월</t>
        </is>
      </c>
      <c r="AI22" s="492" t="inlineStr">
        <is>
          <t>2028년 7월</t>
        </is>
      </c>
      <c r="AJ22" s="492" t="inlineStr">
        <is>
          <t>2028년 8월</t>
        </is>
      </c>
      <c r="AK22" s="492" t="inlineStr">
        <is>
          <t>2028년 9월</t>
        </is>
      </c>
      <c r="AL22" s="492" t="inlineStr">
        <is>
          <t>2028년 10월</t>
        </is>
      </c>
      <c r="AM22" s="492" t="inlineStr">
        <is>
          <t>2028년 11월</t>
        </is>
      </c>
      <c r="AN22" s="492" t="inlineStr">
        <is>
          <t>2028년 12월</t>
        </is>
      </c>
      <c r="AO22" s="492" t="inlineStr">
        <is>
          <t>2029년 1월</t>
        </is>
      </c>
      <c r="AP22" s="492" t="inlineStr">
        <is>
          <t>2029년 2월</t>
        </is>
      </c>
      <c r="AQ22" s="492" t="inlineStr">
        <is>
          <t>2029년 3월</t>
        </is>
      </c>
      <c r="AR22" s="492" t="inlineStr">
        <is>
          <t>2029년 4월</t>
        </is>
      </c>
      <c r="AS22" s="492" t="inlineStr">
        <is>
          <t>2029년 5월</t>
        </is>
      </c>
      <c r="AT22" s="492" t="inlineStr">
        <is>
          <t>2029년 6월</t>
        </is>
      </c>
      <c r="AU22" s="492" t="inlineStr">
        <is>
          <t>2029년 7월</t>
        </is>
      </c>
      <c r="AV22" s="492" t="inlineStr">
        <is>
          <t>2029년 8월</t>
        </is>
      </c>
      <c r="AW22" s="492" t="inlineStr">
        <is>
          <t>2029년 9월</t>
        </is>
      </c>
      <c r="AX22" s="492" t="inlineStr">
        <is>
          <t>2029년 10월</t>
        </is>
      </c>
      <c r="AY22" s="492" t="inlineStr">
        <is>
          <t>2029년 11월</t>
        </is>
      </c>
      <c r="AZ22" s="492" t="inlineStr">
        <is>
          <t>2029년 12월</t>
        </is>
      </c>
      <c r="BA22" s="492" t="inlineStr">
        <is>
          <t>2030년 1월</t>
        </is>
      </c>
      <c r="BB22" s="492" t="inlineStr">
        <is>
          <t>2030년 2월</t>
        </is>
      </c>
      <c r="BC22" s="492" t="inlineStr">
        <is>
          <t>2030년 3월</t>
        </is>
      </c>
      <c r="BD22" s="492" t="inlineStr">
        <is>
          <t>2030년 4월</t>
        </is>
      </c>
      <c r="BE22" s="492" t="inlineStr">
        <is>
          <t>2030년 5월</t>
        </is>
      </c>
      <c r="BF22" s="492" t="inlineStr">
        <is>
          <t>2030년 6월</t>
        </is>
      </c>
      <c r="BG22" s="492" t="inlineStr">
        <is>
          <t>2030년 7월</t>
        </is>
      </c>
      <c r="BH22" s="492" t="inlineStr">
        <is>
          <t>2030년 8월</t>
        </is>
      </c>
      <c r="BI22" s="492" t="inlineStr">
        <is>
          <t>2030년 9월</t>
        </is>
      </c>
      <c r="BJ22" s="492" t="inlineStr">
        <is>
          <t>2030년 10월</t>
        </is>
      </c>
      <c r="BK22" s="492" t="inlineStr">
        <is>
          <t>2030년 11월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Eun-Woo Kim | 김은우</dc:creator>
  <dcterms:created xsi:type="dcterms:W3CDTF">2026-06-29T07:13:13Z</dcterms:created>
  <dcterms:modified xsi:type="dcterms:W3CDTF">2026-09-14T13:47:24Z</dcterms:modified>
  <cp:revision>0</cp:revision>
</cp:coreProperties>
</file>