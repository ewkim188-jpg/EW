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20" yWindow="-180" windowWidth="29160" windowHeight="15840" tabRatio="70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전신마취환자수" sheetId="5" state="visible" r:id="rId5"/>
    <sheet xmlns:r="http://schemas.openxmlformats.org/officeDocument/2006/relationships" name="근거_종별전신마취환자수" sheetId="6" state="visible" r:id="rId6"/>
    <sheet xmlns:r="http://schemas.openxmlformats.org/officeDocument/2006/relationships" name="근거_Ramosetron 시장 수량" sheetId="7" state="visible" r:id="rId7"/>
    <sheet xmlns:r="http://schemas.openxmlformats.org/officeDocument/2006/relationships" name="근거_NSA수량(IQVIA기준)" sheetId="8" state="visible" r:id="rId8"/>
    <sheet xmlns:r="http://schemas.openxmlformats.org/officeDocument/2006/relationships" name="근거_매출" sheetId="9" state="visible" r:id="rId9"/>
    <sheet xmlns:r="http://schemas.openxmlformats.org/officeDocument/2006/relationships" name="근거_민감도" sheetId="10" state="visible" r:id="rId10"/>
    <sheet xmlns:r="http://schemas.openxmlformats.org/officeDocument/2006/relationships" name="CALC" sheetId="11" state="visible" r:id="rId11"/>
    <sheet xmlns:r="http://schemas.openxmlformats.org/officeDocument/2006/relationships" name="원본_NSA_연간예측" sheetId="12" state="visible" r:id="rId12"/>
    <sheet xmlns:r="http://schemas.openxmlformats.org/officeDocument/2006/relationships" name="모니터링_분기별" sheetId="13" state="visible" r:id="rId13"/>
    <sheet xmlns:r="http://schemas.openxmlformats.org/officeDocument/2006/relationships" name="원자료_분기실측" sheetId="14" state="visible" r:id="rId14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_-* #,##0_-;\-* #,##0_-;_-* \-_-;_-@_-"/>
    <numFmt numFmtId="165" formatCode="0.0%"/>
    <numFmt numFmtId="166" formatCode="_-* #,##0.0_-;\-* #,##0.0_-;_-* \-_-;_-@_-"/>
    <numFmt numFmtId="167" formatCode="0.000"/>
    <numFmt numFmtId="168" formatCode="_-* #,##0.000_-;\-* #,##0.000_-;_-* \-??_-;_-@_-"/>
    <numFmt numFmtId="169" formatCode="_-* #,##0.00000000_-;\-* #,##0.00000000_-;_-* \-??_-;_-@_-"/>
    <numFmt numFmtId="170" formatCode="0.00000000"/>
    <numFmt numFmtId="171" formatCode="_-* #,##0.000_-;\-* #,##0.000_-;_-* \-_-;_-@_-"/>
    <numFmt numFmtId="172" formatCode="_-* #,##0_-;\-* #,##0_-;_-* &quot;-&quot;_-;_-@_-"/>
    <numFmt numFmtId="173" formatCode="#,##0_ "/>
    <numFmt numFmtId="174" formatCode="0.000000"/>
    <numFmt numFmtId="175" formatCode="0.0000"/>
    <numFmt numFmtId="176" formatCode="_-* #,##0.00000_-;\-* #,##0.00000_-;_-* \-_-;_-@_-"/>
    <numFmt numFmtId="177" formatCode="#,##0_);[Red]\(#,##0\)"/>
    <numFmt numFmtId="178" formatCode="0.00000%"/>
    <numFmt numFmtId="179" formatCode="0.0_ "/>
    <numFmt numFmtId="180" formatCode="_-* #,##0.0_-;\-* #,##0.0_-;_-* &quot;-&quot;_-;_-@_-"/>
    <numFmt numFmtId="181" formatCode="#,##0.0"/>
    <numFmt numFmtId="182" formatCode="#,##0.0_ "/>
    <numFmt numFmtId="183" formatCode="\+0.0%;\-0.0%"/>
    <numFmt numFmtId="184" formatCode="0.0"/>
    <numFmt numFmtId="185" formatCode="\+0.0%;\-0.0%;0.0%"/>
    <numFmt numFmtId="186" formatCode="+0.0000;-0.0000"/>
    <numFmt numFmtId="187" formatCode="+0.000%;-0.000%"/>
    <numFmt numFmtId="188" formatCode="+0.0%;-0.0%"/>
    <numFmt numFmtId="189" formatCode="_(* #,##0_);_(* \(#,##0\);_(* \-_);_(@_)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60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color theme="6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sz val="10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2"/>
      <sz val="11"/>
    </font>
    <font>
      <name val="Cambria"/>
      <family val="1"/>
      <b val="1"/>
      <sz val="11"/>
    </font>
    <font>
      <name val="Noto Sans CJK SC"/>
      <family val="2"/>
      <b val="1"/>
      <sz val="11"/>
    </font>
    <font>
      <name val="Arial"/>
      <family val="2"/>
      <sz val="10"/>
    </font>
    <font>
      <name val="맑은 고딕"/>
      <charset val="129"/>
      <family val="3"/>
      <i val="1"/>
      <color rgb="FF787878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theme="1"/>
      <sz val="9"/>
    </font>
    <font>
      <name val="Noto Sans CJK SC"/>
      <charset val="129"/>
      <family val="3"/>
      <color rgb="FF787878"/>
      <sz val="9"/>
    </font>
    <font>
      <name val="맑은 고딕"/>
      <charset val="129"/>
      <family val="2"/>
      <color rgb="FF000000"/>
      <sz val="11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2"/>
      <color theme="0" tint="-0.499984740745262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Noto Sans CJK SC"/>
      <charset val="129"/>
      <family val="3"/>
      <color theme="1"/>
      <sz val="10"/>
    </font>
    <font>
      <name val="Noto Sans CJK SC"/>
      <charset val="129"/>
      <family val="3"/>
      <b val="1"/>
      <color theme="1"/>
      <sz val="11"/>
    </font>
    <font>
      <name val="Noto Sans CJK SC"/>
      <charset val="1"/>
      <family val="1"/>
      <color rgb="FF808080"/>
      <sz val="10"/>
    </font>
    <font>
      <name val="Noto Sans CJK SC"/>
      <charset val="1"/>
      <family val="1"/>
      <color rgb="FF787878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CC"/>
      <sz val="11"/>
    </font>
    <font>
      <name val="맑은 고딕"/>
      <charset val="129"/>
      <family val="3"/>
      <b val="1"/>
      <color rgb="FF000000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rgb="FF0000CC"/>
      <sz val="11"/>
    </font>
    <font>
      <name val="맑은 고딕"/>
      <charset val="129"/>
      <family val="2"/>
      <color rgb="FFFF0000"/>
      <sz val="11"/>
    </font>
    <font>
      <name val="Noto Sans CJK SC"/>
      <charset val="129"/>
      <family val="1"/>
      <b val="1"/>
      <color rgb="FFFFFFFF"/>
      <sz val="11"/>
    </font>
    <font>
      <name val="Noto Sans CJK SC"/>
      <charset val="129"/>
      <family val="3"/>
      <b val="1"/>
      <color rgb="FFFFFFFF"/>
      <sz val="11"/>
    </font>
    <font>
      <name val="Cambria"/>
      <family val="1"/>
      <color rgb="FF007700"/>
      <sz val="11"/>
    </font>
    <font>
      <name val="Noto Sans CJK SC"/>
      <family val="2"/>
      <color theme="0" tint="-0.499984740745262"/>
      <sz val="10"/>
    </font>
    <font>
      <name val="맑은 고딕"/>
      <charset val="129"/>
      <family val="2"/>
      <color rgb="FF535353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2"/>
      <color theme="0" tint="-0.499984740745262"/>
      <sz val="11"/>
    </font>
    <font>
      <name val="Arial"/>
      <family val="2"/>
      <color theme="0" tint="-0.499984740745262"/>
      <sz val="10"/>
    </font>
    <font>
      <name val="Noto Sans CJK SC"/>
      <family val="2"/>
      <color theme="0" tint="-0.499984740745262"/>
      <sz val="11"/>
    </font>
    <font>
      <name val="맑은 고딕"/>
      <charset val="129"/>
      <family val="3"/>
      <color rgb="FFFF0000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b val="1"/>
      <color theme="1"/>
      <sz val="11"/>
      <vertAlign val="superscript"/>
    </font>
    <font>
      <name val="Noto Sans CJK SC"/>
      <charset val="1"/>
      <family val="2"/>
      <color theme="0" tint="-0.499984740745262"/>
      <sz val="11"/>
    </font>
    <font>
      <name val="맑은 고딕"/>
      <charset val="129"/>
      <family val="3"/>
      <color theme="0" tint="-0.499984740745262"/>
      <sz val="11"/>
    </font>
    <font>
      <name val="Arial"/>
      <family val="2"/>
      <color theme="0" tint="-0.499984740745262"/>
      <sz val="11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0000FF"/>
      <sz val="11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FFFFFF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808080"/>
      <sz val="9"/>
    </font>
    <font>
      <name val="맑은 고딕"/>
      <sz val="11"/>
    </font>
    <font>
      <name val="맑은 고딕"/>
      <color rgb="006B7280"/>
      <sz val="11"/>
    </font>
    <font>
      <name val="맑은 고딕"/>
      <b val="1"/>
      <color rgb="00008000"/>
      <sz val="11"/>
    </font>
    <font>
      <name val="맑은 고딕"/>
      <b val="1"/>
      <color rgb="00C00000"/>
      <sz val="11"/>
    </font>
    <font>
      <name val="Noto Sans CJK SC"/>
      <charset val="129"/>
      <family val="3"/>
      <b val="1"/>
      <color theme="1"/>
      <sz val="14"/>
    </font>
    <font>
      <name val="맑은 고딕"/>
      <charset val="129"/>
      <family val="2"/>
      <color theme="1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sz val="9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66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9E1F2"/>
      </patternFill>
    </fill>
    <fill>
      <patternFill patternType="solid">
        <fgColor rgb="FFE6F4EA"/>
        <bgColor rgb="FFE2EFD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E6F4EA"/>
      </patternFill>
    </fill>
    <fill>
      <patternFill patternType="solid">
        <fgColor rgb="FFFFFF99"/>
        <bgColor rgb="FFFFFF99"/>
      </patternFill>
    </fill>
    <fill>
      <patternFill patternType="solid">
        <fgColor theme="3" tint="0.8999908444471572"/>
        <bgColor rgb="FFE6F4EA"/>
      </patternFill>
    </fill>
    <fill>
      <patternFill patternType="solid">
        <fgColor rgb="FFFFFF00"/>
        <bgColor indexed="64"/>
      </patternFill>
    </fill>
    <fill>
      <patternFill patternType="solid">
        <fgColor rgb="FFE6F4EA"/>
        <bgColor rgb="FFF2F2F2"/>
      </patternFill>
    </fill>
    <fill>
      <patternFill patternType="solid">
        <fgColor rgb="001F4E78"/>
      </patternFill>
    </fill>
    <fill>
      <patternFill patternType="solid">
        <fgColor rgb="00153C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solid">
        <fgColor theme="0" tint="-0.1499984740745262"/>
        <bgColor rgb="FFE6F4EA"/>
      </patternFill>
    </fill>
    <fill>
      <patternFill patternType="solid">
        <fgColor theme="0" tint="-0.1499984740745262"/>
        <bgColor indexed="64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71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1">
    <xf numFmtId="0" fontId="57" fillId="0" borderId="0" applyAlignment="1">
      <alignment vertical="center"/>
    </xf>
    <xf numFmtId="41" fontId="48" fillId="0" borderId="0"/>
    <xf numFmtId="9" fontId="48" fillId="0" borderId="0"/>
    <xf numFmtId="9" fontId="2" fillId="0" borderId="0" applyAlignment="1">
      <alignment vertical="center"/>
    </xf>
    <xf numFmtId="189" fontId="2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21" fillId="0" borderId="0" applyAlignment="1">
      <alignment vertical="center"/>
    </xf>
    <xf numFmtId="41" fontId="48" fillId="0" borderId="0"/>
    <xf numFmtId="9" fontId="48" fillId="0" borderId="0"/>
  </cellStyleXfs>
  <cellXfs count="950">
    <xf numFmtId="0" fontId="0" fillId="0" borderId="0" applyAlignment="1" pivotButton="0" quotePrefix="0" xfId="0">
      <alignment vertical="center"/>
    </xf>
    <xf numFmtId="0" fontId="16" fillId="6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6" fillId="7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left" vertical="center"/>
    </xf>
    <xf numFmtId="3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center"/>
    </xf>
    <xf numFmtId="165" fontId="2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3" fontId="23" fillId="10" borderId="3" applyAlignment="1" pivotButton="0" quotePrefix="0" xfId="0">
      <alignment horizontal="right" vertical="center"/>
    </xf>
    <xf numFmtId="0" fontId="23" fillId="10" borderId="3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1" fontId="31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3" fontId="32" fillId="2" borderId="0" applyAlignment="1" pivotButton="0" quotePrefix="0" xfId="0">
      <alignment vertical="center"/>
    </xf>
    <xf numFmtId="3" fontId="34" fillId="13" borderId="0" applyAlignment="1" pivotButton="0" quotePrefix="0" xfId="0">
      <alignment vertical="center"/>
    </xf>
    <xf numFmtId="0" fontId="33" fillId="10" borderId="0" applyAlignment="1" pivotButton="0" quotePrefix="0" xfId="0">
      <alignment vertical="center"/>
    </xf>
    <xf numFmtId="3" fontId="23" fillId="10" borderId="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 indent="6"/>
    </xf>
    <xf numFmtId="0" fontId="3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/>
    </xf>
    <xf numFmtId="166" fontId="0" fillId="0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3" fillId="2" borderId="0" applyAlignment="1" pivotButton="0" quotePrefix="0" xfId="0">
      <alignment horizontal="left" vertical="center" indent="5"/>
    </xf>
    <xf numFmtId="165" fontId="0" fillId="0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6"/>
    </xf>
    <xf numFmtId="0" fontId="49" fillId="0" borderId="0" applyAlignment="1" pivotButton="0" quotePrefix="0" xfId="0">
      <alignment vertical="center"/>
    </xf>
    <xf numFmtId="0" fontId="31" fillId="7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5"/>
    </xf>
    <xf numFmtId="0" fontId="51" fillId="0" borderId="0" pivotButton="0" quotePrefix="0" xfId="0"/>
    <xf numFmtId="0" fontId="52" fillId="0" borderId="0" applyAlignment="1" pivotButton="0" quotePrefix="0" xfId="0">
      <alignment horizontal="left" vertical="center" indent="5"/>
    </xf>
    <xf numFmtId="0" fontId="5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/>
    </xf>
    <xf numFmtId="0" fontId="23" fillId="14" borderId="0" applyAlignment="1" pivotButton="0" quotePrefix="0" xfId="0">
      <alignment vertical="center"/>
    </xf>
    <xf numFmtId="0" fontId="33" fillId="14" borderId="0" applyAlignment="1" pivotButton="0" quotePrefix="0" xfId="0">
      <alignment vertical="center"/>
    </xf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55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0" fontId="64" fillId="14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0" fontId="21" fillId="0" borderId="3" applyAlignment="1" pivotButton="0" quotePrefix="0" xfId="8">
      <alignment horizontal="center" vertical="center"/>
    </xf>
    <xf numFmtId="173" fontId="23" fillId="10" borderId="3" applyAlignment="1" pivotButton="0" quotePrefix="0" xfId="0">
      <alignment vertical="center"/>
    </xf>
    <xf numFmtId="0" fontId="59" fillId="10" borderId="3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56" fillId="0" borderId="0" pivotButton="0" quotePrefix="0" xfId="0"/>
    <xf numFmtId="165" fontId="5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67" fillId="0" borderId="0" pivotButton="0" quotePrefix="0" xfId="0"/>
    <xf numFmtId="0" fontId="68" fillId="0" borderId="0" pivotButton="0" quotePrefix="0" xfId="0"/>
    <xf numFmtId="0" fontId="57" fillId="0" borderId="0" pivotButton="0" quotePrefix="0" xfId="0"/>
    <xf numFmtId="0" fontId="23" fillId="0" borderId="0" applyAlignment="1" pivotButton="0" quotePrefix="0" xfId="0">
      <alignment vertical="center"/>
    </xf>
    <xf numFmtId="165" fontId="70" fillId="0" borderId="0" pivotButton="0" quotePrefix="0" xfId="2"/>
    <xf numFmtId="172" fontId="48" fillId="0" borderId="0" pivotButton="0" quotePrefix="0" xfId="1"/>
    <xf numFmtId="172" fontId="70" fillId="0" borderId="0" pivotButton="0" quotePrefix="0" xfId="1"/>
    <xf numFmtId="9" fontId="3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172" fontId="71" fillId="0" borderId="0" pivotButton="0" quotePrefix="0" xfId="1"/>
    <xf numFmtId="3" fontId="59" fillId="0" borderId="0" applyAlignment="1" pivotButton="0" quotePrefix="0" xfId="0">
      <alignment vertical="center"/>
    </xf>
    <xf numFmtId="0" fontId="35" fillId="17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right"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176" fontId="37" fillId="0" borderId="8" pivotButton="0" quotePrefix="0" xfId="0"/>
    <xf numFmtId="0" fontId="38" fillId="0" borderId="8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176" fontId="37" fillId="0" borderId="0" pivotButton="0" quotePrefix="0" xfId="0"/>
    <xf numFmtId="165" fontId="68" fillId="0" borderId="0" pivotButton="0" quotePrefix="0" xfId="0"/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3" fontId="0" fillId="16" borderId="0" pivotButton="0" quotePrefix="0" xfId="0"/>
    <xf numFmtId="0" fontId="23" fillId="0" borderId="0" pivotButton="0" quotePrefix="0" xfId="0"/>
    <xf numFmtId="178" fontId="0" fillId="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33" fillId="0" borderId="0" applyAlignment="1" pivotButton="0" quotePrefix="0" xfId="0">
      <alignment horizontal="left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79" fontId="0" fillId="0" borderId="0" applyAlignment="1" pivotButton="0" quotePrefix="0" xfId="0">
      <alignment vertical="center"/>
    </xf>
    <xf numFmtId="165" fontId="72" fillId="0" borderId="0" pivotButton="0" quotePrefix="0" xfId="0"/>
    <xf numFmtId="166" fontId="34" fillId="19" borderId="0" applyAlignment="1" pivotButton="0" quotePrefix="0" xfId="0">
      <alignment vertical="center"/>
    </xf>
    <xf numFmtId="165" fontId="73" fillId="0" borderId="0" pivotButton="0" quotePrefix="0" xfId="0"/>
    <xf numFmtId="3" fontId="67" fillId="0" borderId="0" applyAlignment="1" pivotButton="0" quotePrefix="0" xfId="0">
      <alignment vertical="center"/>
    </xf>
    <xf numFmtId="9" fontId="74" fillId="0" borderId="0" applyAlignment="1" pivotButton="0" quotePrefix="0" xfId="0">
      <alignment vertical="center"/>
    </xf>
    <xf numFmtId="0" fontId="76" fillId="7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vertical="center"/>
    </xf>
    <xf numFmtId="180" fontId="48" fillId="0" borderId="0" pivotButton="0" quotePrefix="0" xfId="1"/>
    <xf numFmtId="173" fontId="32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9" fillId="0" borderId="8" pivotButton="0" quotePrefix="0" xfId="0"/>
    <xf numFmtId="0" fontId="0" fillId="0" borderId="8" pivotButton="0" quotePrefix="0" xfId="0"/>
    <xf numFmtId="0" fontId="19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81" fontId="0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172" fontId="1" fillId="0" borderId="0" applyAlignment="1" pivotButton="0" quotePrefix="0" xfId="9">
      <alignment vertical="center"/>
    </xf>
    <xf numFmtId="0" fontId="63" fillId="0" borderId="0" applyAlignment="1" pivotButton="0" quotePrefix="0" xfId="0">
      <alignment horizontal="right" vertical="center"/>
    </xf>
    <xf numFmtId="183" fontId="79" fillId="0" borderId="0" applyAlignment="1" pivotButton="0" quotePrefix="0" xfId="0">
      <alignment vertical="center"/>
    </xf>
    <xf numFmtId="183" fontId="7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3" fontId="69" fillId="10" borderId="0" applyAlignment="1" pivotButton="0" quotePrefix="0" xfId="0">
      <alignment vertical="center"/>
    </xf>
    <xf numFmtId="3" fontId="55" fillId="1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165" fontId="0" fillId="15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3" fontId="0" fillId="15" borderId="0" applyAlignment="1" pivotButton="0" quotePrefix="0" xfId="0">
      <alignment vertical="center"/>
    </xf>
    <xf numFmtId="0" fontId="82" fillId="0" borderId="0" applyAlignment="1" pivotButton="0" quotePrefix="0" xfId="0">
      <alignment horizontal="right"/>
    </xf>
    <xf numFmtId="9" fontId="83" fillId="0" borderId="0" pivotButton="0" quotePrefix="0" xfId="2"/>
    <xf numFmtId="165" fontId="48" fillId="0" borderId="0" pivotButton="0" quotePrefix="0" xfId="2"/>
    <xf numFmtId="9" fontId="48" fillId="0" borderId="0" pivotButton="0" quotePrefix="0" xfId="2"/>
    <xf numFmtId="0" fontId="0" fillId="0" borderId="8" applyAlignment="1" pivotButton="0" quotePrefix="0" xfId="0">
      <alignment horizontal="center"/>
    </xf>
    <xf numFmtId="0" fontId="82" fillId="0" borderId="0" applyAlignment="1" pivotButton="0" quotePrefix="0" xfId="0">
      <alignment vertical="center"/>
    </xf>
    <xf numFmtId="2" fontId="85" fillId="18" borderId="8" applyAlignment="1" pivotButton="0" quotePrefix="0" xfId="0">
      <alignment horizontal="center" vertical="center"/>
    </xf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2" fontId="36" fillId="18" borderId="8" applyAlignment="1" pivotButton="0" quotePrefix="0" xfId="0">
      <alignment horizontal="center" vertical="center"/>
    </xf>
    <xf numFmtId="0" fontId="35" fillId="17" borderId="8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11" fillId="2" borderId="3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0" fillId="2" borderId="3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23" fillId="12" borderId="10" applyAlignment="1" pivotButton="0" quotePrefix="0" xfId="0">
      <alignment vertical="center"/>
    </xf>
    <xf numFmtId="0" fontId="0" fillId="12" borderId="1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3" fontId="82" fillId="0" borderId="9" applyAlignment="1" pivotButton="0" quotePrefix="0" xfId="0">
      <alignment vertical="center"/>
    </xf>
    <xf numFmtId="0" fontId="88" fillId="0" borderId="9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0" fontId="0" fillId="0" borderId="0" pivotButton="0" quotePrefix="0" xfId="0"/>
    <xf numFmtId="165" fontId="8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4" fillId="0" borderId="0" pivotButton="0" quotePrefix="0" xfId="0"/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165" fontId="82" fillId="0" borderId="0" applyAlignment="1" pivotButton="0" quotePrefix="0" xfId="0">
      <alignment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176" fontId="37" fillId="0" borderId="8" pivotButton="0" quotePrefix="0" xfId="0"/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165" fontId="34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34" fillId="19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165" fontId="56" fillId="0" borderId="0" applyAlignment="1" pivotButton="0" quotePrefix="0" xfId="0">
      <alignment vertical="center"/>
    </xf>
    <xf numFmtId="176" fontId="37" fillId="0" borderId="0" pivotButton="0" quotePrefix="0" xfId="0"/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65" fontId="68" fillId="0" borderId="0" pivotButton="0" quotePrefix="0" xfId="0"/>
    <xf numFmtId="165" fontId="73" fillId="0" borderId="0" pivotButton="0" quotePrefix="0" xfId="0"/>
    <xf numFmtId="165" fontId="72" fillId="0" borderId="0" pivotButton="0" quotePrefix="0" xfId="0"/>
    <xf numFmtId="178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173" fontId="0" fillId="16" borderId="0" pivotButton="0" quotePrefix="0" xfId="0"/>
    <xf numFmtId="180" fontId="48" fillId="0" borderId="0" pivotButton="0" quotePrefix="0" xfId="1"/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32" fillId="0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95" fillId="0" borderId="0" pivotButton="0" quotePrefix="0" xfId="0"/>
    <xf numFmtId="0" fontId="96" fillId="0" borderId="0" pivotButton="0" quotePrefix="0" xfId="0"/>
    <xf numFmtId="0" fontId="97" fillId="20" borderId="0" pivotButton="0" quotePrefix="0" xfId="0"/>
    <xf numFmtId="0" fontId="97" fillId="20" borderId="0" applyAlignment="1" pivotButton="0" quotePrefix="0" xfId="0">
      <alignment horizontal="center"/>
    </xf>
    <xf numFmtId="0" fontId="97" fillId="21" borderId="0" applyAlignment="1" pivotButton="0" quotePrefix="0" xfId="0">
      <alignment horizontal="center"/>
    </xf>
    <xf numFmtId="0" fontId="92" fillId="22" borderId="0" pivotButton="0" quotePrefix="0" xfId="0"/>
    <xf numFmtId="3" fontId="0" fillId="0" borderId="0" pivotButton="0" quotePrefix="0" xfId="0"/>
    <xf numFmtId="0" fontId="92" fillId="23" borderId="0" pivotButton="0" quotePrefix="0" xfId="0"/>
    <xf numFmtId="3" fontId="91" fillId="23" borderId="0" pivotButton="0" quotePrefix="0" xfId="0"/>
    <xf numFmtId="3" fontId="92" fillId="23" borderId="0" pivotButton="0" quotePrefix="0" xfId="0"/>
    <xf numFmtId="3" fontId="94" fillId="24" borderId="0" pivotButton="0" quotePrefix="0" xfId="0"/>
    <xf numFmtId="165" fontId="0" fillId="0" borderId="0" pivotButton="0" quotePrefix="0" xfId="0"/>
    <xf numFmtId="0" fontId="98" fillId="23" borderId="0" pivotButton="0" quotePrefix="0" xfId="0"/>
    <xf numFmtId="3" fontId="98" fillId="23" borderId="0" pivotButton="0" quotePrefix="0" xfId="0"/>
    <xf numFmtId="0" fontId="99" fillId="23" borderId="0" pivotButton="0" quotePrefix="0" xfId="0"/>
    <xf numFmtId="3" fontId="99" fillId="23" borderId="0" pivotButton="0" quotePrefix="0" xfId="0"/>
    <xf numFmtId="165" fontId="0" fillId="25" borderId="0" pivotButton="0" quotePrefix="0" xfId="0"/>
    <xf numFmtId="184" fontId="92" fillId="0" borderId="0" pivotButton="0" quotePrefix="0" xfId="0"/>
    <xf numFmtId="9" fontId="91" fillId="0" borderId="0" pivotButton="0" quotePrefix="0" xfId="0"/>
    <xf numFmtId="0" fontId="100" fillId="0" borderId="0" pivotButton="0" quotePrefix="0" xfId="0"/>
    <xf numFmtId="0" fontId="92" fillId="0" borderId="0" pivotButton="0" quotePrefix="0" xfId="0"/>
    <xf numFmtId="3" fontId="0" fillId="25" borderId="0" pivotButton="0" quotePrefix="0" xfId="0"/>
    <xf numFmtId="183" fontId="0" fillId="0" borderId="0" pivotButton="0" quotePrefix="0" xfId="0"/>
    <xf numFmtId="0" fontId="101" fillId="0" borderId="0" pivotButton="0" quotePrefix="0" xfId="0"/>
    <xf numFmtId="174" fontId="91" fillId="0" borderId="0" pivotButton="0" quotePrefix="0" xfId="0"/>
    <xf numFmtId="0" fontId="92" fillId="22" borderId="0" applyAlignment="1" pivotButton="0" quotePrefix="0" xfId="0">
      <alignment horizontal="center" vertical="center"/>
    </xf>
    <xf numFmtId="167" fontId="0" fillId="0" borderId="0" pivotButton="0" quotePrefix="0" xfId="0"/>
    <xf numFmtId="185" fontId="92" fillId="0" borderId="0" pivotButton="0" quotePrefix="0" xfId="0"/>
    <xf numFmtId="185" fontId="101" fillId="0" borderId="0" pivotButton="0" quotePrefix="0" xfId="0"/>
    <xf numFmtId="0" fontId="102" fillId="0" borderId="0" pivotButton="0" quotePrefix="0" xfId="0"/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92" fillId="14" borderId="0" applyAlignment="1" pivotButton="0" quotePrefix="0" xfId="0">
      <alignment vertical="center"/>
    </xf>
    <xf numFmtId="0" fontId="93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91" fillId="0" borderId="0" applyAlignment="1" pivotButton="0" quotePrefix="0" xfId="0">
      <alignment vertical="center"/>
    </xf>
    <xf numFmtId="181" fontId="0" fillId="0" borderId="0" pivotButton="0" quotePrefix="0" xfId="0"/>
    <xf numFmtId="183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0" fontId="91" fillId="0" borderId="0" pivotButton="0" quotePrefix="0" xfId="0"/>
    <xf numFmtId="175" fontId="92" fillId="0" borderId="0" pivotButton="0" quotePrefix="0" xfId="0"/>
    <xf numFmtId="175" fontId="0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3" fontId="91" fillId="24" borderId="0" pivotButton="0" quotePrefix="0" xfId="0"/>
    <xf numFmtId="3" fontId="103" fillId="0" borderId="0" pivotButton="0" quotePrefix="0" xfId="0"/>
    <xf numFmtId="3" fontId="91" fillId="0" borderId="0" pivotButton="0" quotePrefix="0" xfId="0"/>
    <xf numFmtId="3" fontId="101" fillId="0" borderId="0" pivotButton="0" quotePrefix="0" xfId="0"/>
    <xf numFmtId="0" fontId="93" fillId="0" borderId="0" pivotButton="0" quotePrefix="0" xfId="0"/>
    <xf numFmtId="165" fontId="91" fillId="0" borderId="0" pivotButton="0" quotePrefix="0" xfId="0"/>
    <xf numFmtId="1" fontId="91" fillId="0" borderId="0" pivotButton="0" quotePrefix="0" xfId="0"/>
    <xf numFmtId="0" fontId="97" fillId="26" borderId="0" applyAlignment="1" pivotButton="0" quotePrefix="0" xfId="0">
      <alignment horizontal="center" vertical="center"/>
    </xf>
    <xf numFmtId="188" fontId="0" fillId="0" borderId="0" pivotButton="0" quotePrefix="0" xfId="0"/>
    <xf numFmtId="0" fontId="104" fillId="0" borderId="0" pivotButton="0" quotePrefix="0" xfId="0"/>
    <xf numFmtId="172" fontId="70" fillId="0" borderId="0" pivotButton="0" quotePrefix="0" xfId="1"/>
    <xf numFmtId="172" fontId="48" fillId="0" borderId="0" pivotButton="0" quotePrefix="0" xfId="1"/>
    <xf numFmtId="172" fontId="71" fillId="0" borderId="0" pivotButton="0" quotePrefix="0" xfId="1"/>
    <xf numFmtId="165" fontId="70" fillId="0" borderId="0" pivotButton="0" quotePrefix="0" xfId="2"/>
    <xf numFmtId="179" fontId="0" fillId="0" borderId="0" applyAlignment="1" pivotButton="0" quotePrefix="0" xfId="0">
      <alignment vertical="center"/>
    </xf>
    <xf numFmtId="0" fontId="105" fillId="0" borderId="0" applyAlignment="1" pivotButton="0" quotePrefix="0" xfId="0">
      <alignment horizontal="left" vertical="center" indent="1"/>
    </xf>
    <xf numFmtId="0" fontId="57" fillId="12" borderId="1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23" fillId="12" borderId="15" applyAlignment="1" pivotButton="0" quotePrefix="0" xfId="0">
      <alignment vertical="center"/>
    </xf>
    <xf numFmtId="0" fontId="57" fillId="12" borderId="15" applyAlignment="1" pivotButton="0" quotePrefix="0" xfId="0">
      <alignment vertical="center"/>
    </xf>
    <xf numFmtId="0" fontId="88" fillId="0" borderId="16" applyAlignment="1" pivotButton="0" quotePrefix="0" xfId="0">
      <alignment vertical="center"/>
    </xf>
    <xf numFmtId="165" fontId="89" fillId="0" borderId="16" applyAlignment="1" pivotButton="0" quotePrefix="0" xfId="0">
      <alignment horizontal="right" vertical="center"/>
    </xf>
    <xf numFmtId="165" fontId="82" fillId="0" borderId="16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6" fillId="0" borderId="0" pivotButton="0" quotePrefix="0" xfId="0"/>
    <xf numFmtId="0" fontId="106" fillId="0" borderId="0" pivotButton="0" quotePrefix="0" xfId="0"/>
    <xf numFmtId="0" fontId="106" fillId="0" borderId="0" applyAlignment="1" pivotButton="0" quotePrefix="0" xfId="0">
      <alignment vertical="center"/>
    </xf>
    <xf numFmtId="0" fontId="107" fillId="27" borderId="17" applyAlignment="1" pivotButton="0" quotePrefix="0" xfId="0">
      <alignment horizontal="center" vertical="center"/>
    </xf>
    <xf numFmtId="0" fontId="107" fillId="28" borderId="17" pivotButton="0" quotePrefix="0" xfId="0"/>
    <xf numFmtId="0" fontId="107" fillId="27" borderId="17" applyAlignment="1" pivotButton="0" quotePrefix="0" xfId="0">
      <alignment horizontal="left" vertical="center"/>
    </xf>
    <xf numFmtId="0" fontId="57" fillId="28" borderId="17" pivotButton="0" quotePrefix="0" xfId="0"/>
    <xf numFmtId="0" fontId="36" fillId="0" borderId="0" applyAlignment="1" pivotButton="0" quotePrefix="0" xfId="0">
      <alignment horizontal="center" vertical="center"/>
    </xf>
    <xf numFmtId="175" fontId="36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18" fillId="0" borderId="0" pivotButton="0" quotePrefix="0" xfId="0"/>
    <xf numFmtId="176" fontId="35" fillId="0" borderId="0" pivotButton="0" quotePrefix="0" xfId="0"/>
    <xf numFmtId="175" fontId="35" fillId="0" borderId="0" applyAlignment="1" pivotButton="0" quotePrefix="0" xfId="0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176" fontId="35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 vertical="center"/>
    </xf>
    <xf numFmtId="175" fontId="36" fillId="0" borderId="16" applyAlignment="1" pivotButton="0" quotePrefix="0" xfId="0">
      <alignment horizontal="center" vertical="center"/>
    </xf>
    <xf numFmtId="0" fontId="39" fillId="0" borderId="16" applyAlignment="1" pivotButton="0" quotePrefix="0" xfId="0">
      <alignment horizontal="left" vertical="center"/>
    </xf>
    <xf numFmtId="0" fontId="18" fillId="0" borderId="16" pivotButton="0" quotePrefix="0" xfId="0"/>
    <xf numFmtId="0" fontId="36" fillId="0" borderId="16" applyAlignment="1" pivotButton="0" quotePrefix="0" xfId="0">
      <alignment horizontal="left" vertical="center"/>
    </xf>
    <xf numFmtId="176" fontId="35" fillId="0" borderId="16" pivotButton="0" quotePrefix="0" xfId="0"/>
    <xf numFmtId="0" fontId="53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center"/>
    </xf>
    <xf numFmtId="0" fontId="109" fillId="0" borderId="0" pivotButton="0" quotePrefix="0" xfId="0"/>
    <xf numFmtId="0" fontId="110" fillId="0" borderId="0" pivotButton="0" quotePrefix="0" xfId="0"/>
    <xf numFmtId="0" fontId="57" fillId="12" borderId="0" applyAlignment="1" pivotButton="0" quotePrefix="0" xfId="0">
      <alignment vertical="center"/>
    </xf>
    <xf numFmtId="3" fontId="57" fillId="0" borderId="0" applyAlignment="1" pivotButton="0" quotePrefix="0" xfId="0">
      <alignment vertical="center"/>
    </xf>
    <xf numFmtId="164" fontId="57" fillId="0" borderId="0" applyAlignment="1" pivotButton="0" quotePrefix="0" xfId="0">
      <alignment vertical="center"/>
    </xf>
    <xf numFmtId="0" fontId="23" fillId="12" borderId="0" pivotButton="0" quotePrefix="0" xfId="0"/>
    <xf numFmtId="178" fontId="57" fillId="0" borderId="0" applyAlignment="1" pivotButton="0" quotePrefix="0" xfId="0">
      <alignment vertical="center"/>
    </xf>
    <xf numFmtId="0" fontId="82" fillId="0" borderId="0" pivotButton="0" quotePrefix="0" xfId="0"/>
    <xf numFmtId="166" fontId="57" fillId="0" borderId="0" applyAlignment="1" pivotButton="0" quotePrefix="0" xfId="0">
      <alignment vertical="center"/>
    </xf>
    <xf numFmtId="0" fontId="57" fillId="2" borderId="0" applyAlignment="1" pivotButton="0" quotePrefix="0" xfId="0">
      <alignment vertical="center"/>
    </xf>
    <xf numFmtId="177" fontId="57" fillId="0" borderId="0" applyAlignment="1" pivotButton="0" quotePrefix="0" xfId="0">
      <alignment vertical="center"/>
    </xf>
    <xf numFmtId="173" fontId="57" fillId="16" borderId="0" pivotButton="0" quotePrefix="0" xfId="0"/>
    <xf numFmtId="184" fontId="92" fillId="0" borderId="0" pivotButton="0" quotePrefix="0" xfId="0"/>
    <xf numFmtId="185" fontId="92" fillId="0" borderId="0" pivotButton="0" quotePrefix="0" xfId="0"/>
    <xf numFmtId="185" fontId="101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0" fontId="111" fillId="29" borderId="18" xfId="0">
      <alignment vertical="center"/>
    </xf>
    <xf numFmtId="0" fontId="116" fillId="34" borderId="19" xfId="0" applyFont="1" applyFill="1" applyBorder="1" applyAlignment="1">
      <alignment horizontal="center" vertical="center"/>
    </xf>
    <xf numFmtId="0" fontId="111" fillId="31" borderId="18" xfId="0" applyFill="1">
      <alignment vertical="center"/>
    </xf>
    <xf numFmtId="0" fontId="111" fillId="29" borderId="18" xfId="0" applyAlignment="1"/>
    <xf numFmtId="0" fontId="111" fillId="29" borderId="18" xfId="0" applyAlignment="1">
      <alignment horizontal="center" vertical="center"/>
    </xf>
    <xf numFmtId="0" fontId="115" fillId="29" borderId="18" xfId="0" applyFont="1">
      <alignment vertical="center"/>
    </xf>
    <xf numFmtId="0" fontId="111" fillId="29" borderId="18" xfId="0" applyAlignment="1">
      <alignment horizontal="right" vertical="center"/>
    </xf>
    <xf numFmtId="0" fontId="121" fillId="29" borderId="18" xfId="0" applyFont="1" applyAlignment="1">
      <alignment horizontal="center" vertical="center"/>
    </xf>
    <xf numFmtId="0" fontId="125" fillId="29" borderId="18" xfId="0" applyFont="1" applyAlignment="1">
      <alignment horizontal="left" vertical="center"/>
    </xf>
    <xf numFmtId="0" fontId="126" fillId="29" borderId="18" xfId="0" applyFont="1" applyAlignment="1">
      <alignment horizontal="left" vertical="center"/>
    </xf>
    <xf numFmtId="0" fontId="113" fillId="29" borderId="18" xfId="0" applyFont="1" applyAlignment="1">
      <alignment horizontal="left" vertical="center"/>
    </xf>
    <xf numFmtId="0" fontId="127" fillId="29" borderId="18" xfId="0" applyFont="1" applyAlignment="1">
      <alignment horizontal="left" vertical="center"/>
    </xf>
    <xf numFmtId="0" fontId="128" fillId="29" borderId="18" xfId="0" applyFont="1" applyAlignment="1">
      <alignment horizontal="left" vertical="center" indent="1"/>
    </xf>
    <xf numFmtId="0" fontId="129" fillId="29" borderId="18" xfId="0" applyFont="1" applyAlignment="1">
      <alignment horizontal="left" vertical="center" indent="2"/>
    </xf>
    <xf numFmtId="0" fontId="130" fillId="29" borderId="18" xfId="0" applyFont="1">
      <alignment vertical="center"/>
    </xf>
    <xf numFmtId="0" fontId="116" fillId="35" borderId="18" xfId="0" applyFont="1" applyFill="1" applyAlignment="1">
      <alignment horizontal="center" vertical="center"/>
    </xf>
    <xf numFmtId="1" fontId="131" fillId="35" borderId="18" xfId="0" applyNumberFormat="1" applyFont="1" applyFill="1" applyAlignment="1">
      <alignment horizontal="center" vertical="center"/>
    </xf>
    <xf numFmtId="0" fontId="122" fillId="40" borderId="20" xfId="0" applyFont="1" applyFill="1" applyBorder="1">
      <alignment vertical="center"/>
    </xf>
    <xf numFmtId="0" fontId="111" fillId="40" borderId="20" xfId="0" applyFill="1" applyBorder="1">
      <alignment vertical="center"/>
    </xf>
    <xf numFmtId="3" fontId="132" fillId="29" borderId="18" xfId="0" applyNumberFormat="1" applyFont="1">
      <alignment vertical="center"/>
    </xf>
    <xf numFmtId="0" fontId="133" fillId="29" borderId="21" xfId="0" applyFont="1" applyBorder="1">
      <alignment vertical="center"/>
    </xf>
    <xf numFmtId="3" fontId="111" fillId="29" borderId="21" xfId="0" applyNumberFormat="1" applyBorder="1">
      <alignment vertical="center"/>
    </xf>
    <xf numFmtId="10" fontId="111" fillId="29" borderId="18" xfId="0" applyNumberFormat="1">
      <alignment vertical="center"/>
    </xf>
    <xf numFmtId="0" fontId="111" fillId="29" borderId="21" xfId="0" applyBorder="1">
      <alignment vertical="center"/>
    </xf>
    <xf numFmtId="10" fontId="111" fillId="29" borderId="21" xfId="0" applyNumberFormat="1" applyBorder="1">
      <alignment vertical="center"/>
    </xf>
    <xf numFmtId="10" fontId="111" fillId="41" borderId="21" xfId="0" applyNumberFormat="1" applyFill="1" applyBorder="1">
      <alignment vertical="center"/>
    </xf>
    <xf numFmtId="3" fontId="132" fillId="31" borderId="18" xfId="0" applyNumberFormat="1" applyFont="1" applyFill="1">
      <alignment vertical="center"/>
    </xf>
    <xf numFmtId="0" fontId="133" fillId="38" borderId="21" xfId="0" applyFont="1" applyFill="1" applyBorder="1">
      <alignment vertical="center"/>
    </xf>
    <xf numFmtId="3" fontId="122" fillId="38" borderId="21" xfId="0" applyNumberFormat="1" applyFont="1" applyFill="1" applyBorder="1">
      <alignment vertical="center"/>
    </xf>
    <xf numFmtId="0" fontId="134" fillId="29" borderId="18" xfId="0" applyFont="1" applyAlignment="1">
      <alignment horizontal="right" vertical="center"/>
    </xf>
    <xf numFmtId="191" fontId="136" fillId="29" borderId="18" xfId="0" applyNumberFormat="1" applyFont="1"/>
    <xf numFmtId="0" fontId="143" fillId="29" borderId="18" xfId="0" applyFont="1">
      <alignment vertical="center"/>
    </xf>
    <xf numFmtId="0" fontId="130" fillId="29" borderId="18" xfId="0" applyFont="1" applyAlignment="1">
      <alignment horizontal="left" vertical="center" indent="1"/>
    </xf>
    <xf numFmtId="0" fontId="111" fillId="29" borderId="18" xfId="0" applyAlignment="1">
      <alignment horizontal="left" vertical="center" indent="1"/>
    </xf>
    <xf numFmtId="0" fontId="145" fillId="29" borderId="18" xfId="0" applyFont="1" applyAlignment="1">
      <alignment horizontal="left" vertical="center" indent="1"/>
    </xf>
    <xf numFmtId="0" fontId="120" fillId="29" borderId="21" xfId="0" applyFont="1" applyBorder="1">
      <alignment vertical="center"/>
    </xf>
    <xf numFmtId="3" fontId="122" fillId="31" borderId="21" xfId="0" applyNumberFormat="1" applyFont="1" applyFill="1" applyBorder="1">
      <alignment vertical="center"/>
    </xf>
    <xf numFmtId="3" fontId="147" fillId="31" borderId="21" xfId="0" applyNumberFormat="1" applyFont="1" applyFill="1" applyBorder="1">
      <alignment vertical="center"/>
    </xf>
    <xf numFmtId="191" fontId="111" fillId="29" borderId="21" xfId="0" applyNumberFormat="1" applyBorder="1">
      <alignment vertical="center"/>
    </xf>
    <xf numFmtId="191" fontId="111" fillId="41" borderId="21" xfId="0" applyNumberFormat="1" applyFill="1" applyBorder="1">
      <alignment vertical="center"/>
    </xf>
    <xf numFmtId="0" fontId="122" fillId="31" borderId="18" xfId="0" applyFont="1" applyFill="1" applyAlignment="1">
      <alignment horizontal="left" vertical="center" indent="5"/>
    </xf>
    <xf numFmtId="193" fontId="122" fillId="41" borderId="18" xfId="0" applyNumberFormat="1" applyFont="1" applyFill="1">
      <alignment vertical="center"/>
    </xf>
    <xf numFmtId="0" fontId="142" fillId="29" borderId="18" xfId="0" applyFont="1">
      <alignment vertical="center"/>
    </xf>
    <xf numFmtId="0" fontId="148" fillId="29" borderId="18" xfId="0" applyFont="1">
      <alignment vertical="center"/>
    </xf>
    <xf numFmtId="0" fontId="120" fillId="29" borderId="21" xfId="0" applyFont="1" applyBorder="1" applyAlignment="1">
      <alignment vertical="center" wrapText="1"/>
    </xf>
    <xf numFmtId="0" fontId="120" fillId="29" borderId="18" xfId="0" applyFont="1" applyAlignment="1">
      <alignment vertical="center" wrapText="1"/>
    </xf>
    <xf numFmtId="0" fontId="111" fillId="29" borderId="21" xfId="0" applyBorder="1" applyAlignment="1">
      <alignment vertical="center" wrapText="1"/>
    </xf>
    <xf numFmtId="0" fontId="111" fillId="29" borderId="18" xfId="0" applyAlignment="1">
      <alignment vertical="center" wrapText="1"/>
    </xf>
    <xf numFmtId="0" fontId="122" fillId="38" borderId="21" xfId="0" applyFont="1" applyFill="1" applyBorder="1">
      <alignment vertical="center"/>
    </xf>
    <xf numFmtId="0" fontId="122" fillId="31" borderId="18" xfId="0" applyFont="1" applyFill="1">
      <alignment vertical="center"/>
    </xf>
    <xf numFmtId="3" fontId="147" fillId="31" borderId="18" xfId="0" applyNumberFormat="1" applyFont="1" applyFill="1">
      <alignment vertical="center"/>
    </xf>
    <xf numFmtId="3" fontId="122" fillId="31" borderId="18" xfId="0" applyNumberFormat="1" applyFont="1" applyFill="1">
      <alignment vertical="center"/>
    </xf>
    <xf numFmtId="0" fontId="137" fillId="31" borderId="18" xfId="0" applyFont="1" applyFill="1" applyAlignment="1">
      <alignment horizontal="left" vertical="center" indent="5"/>
    </xf>
    <xf numFmtId="0" fontId="118" fillId="29" borderId="18" xfId="0" applyFont="1" applyAlignment="1"/>
    <xf numFmtId="191" fontId="111" fillId="29" borderId="18" xfId="0" applyNumberFormat="1">
      <alignment vertical="center"/>
    </xf>
    <xf numFmtId="2" fontId="111" fillId="29" borderId="21" xfId="0" applyNumberFormat="1" applyBorder="1">
      <alignment vertical="center"/>
    </xf>
    <xf numFmtId="195" fontId="111" fillId="29" borderId="21" xfId="0" applyNumberFormat="1" applyBorder="1">
      <alignment vertical="center"/>
    </xf>
    <xf numFmtId="195" fontId="111" fillId="29" borderId="18" xfId="0" applyNumberFormat="1">
      <alignment vertical="center"/>
    </xf>
    <xf numFmtId="196" fontId="111" fillId="29" borderId="18" xfId="0" applyNumberFormat="1">
      <alignment vertical="center"/>
    </xf>
    <xf numFmtId="0" fontId="131" fillId="35" borderId="18" xfId="0" applyFont="1" applyFill="1" applyAlignment="1">
      <alignment horizontal="center" vertical="center"/>
    </xf>
    <xf numFmtId="0" fontId="118" fillId="29" borderId="18" xfId="0" applyFont="1">
      <alignment vertical="center"/>
    </xf>
    <xf numFmtId="0" fontId="118" fillId="29" borderId="21" xfId="0" applyFont="1" applyBorder="1">
      <alignment vertical="center"/>
    </xf>
    <xf numFmtId="191" fontId="135" fillId="29" borderId="18" xfId="0" applyNumberFormat="1"/>
    <xf numFmtId="0" fontId="154" fillId="29" borderId="18" xfId="0" applyFont="1" applyAlignment="1">
      <alignment horizontal="left" vertical="center" indent="5"/>
    </xf>
    <xf numFmtId="0" fontId="154" fillId="31" borderId="18" xfId="0" applyFont="1" applyFill="1">
      <alignment vertical="center"/>
    </xf>
    <xf numFmtId="0" fontId="122" fillId="38" borderId="18" xfId="0" applyFont="1" applyFill="1">
      <alignment vertical="center"/>
    </xf>
    <xf numFmtId="3" fontId="122" fillId="38" borderId="18" xfId="0" applyNumberFormat="1" applyFont="1" applyFill="1">
      <alignment vertical="center"/>
    </xf>
    <xf numFmtId="191" fontId="135" fillId="29" borderId="18" xfId="0" applyNumberFormat="1" applyAlignment="1">
      <alignment vertical="center"/>
    </xf>
    <xf numFmtId="0" fontId="140" fillId="29" borderId="18" xfId="0" applyFont="1" applyAlignment="1">
      <alignment horizontal="left" vertical="center" indent="1"/>
    </xf>
    <xf numFmtId="0" fontId="141" fillId="29" borderId="18" xfId="0" applyFont="1" applyAlignment="1"/>
    <xf numFmtId="9" fontId="141" fillId="29" borderId="18" xfId="0" applyFont="1"/>
    <xf numFmtId="0" fontId="141" fillId="29" borderId="18" xfId="0" applyFont="1" applyAlignment="1">
      <alignment horizontal="left" vertical="center" indent="1"/>
    </xf>
    <xf numFmtId="0" fontId="122" fillId="29" borderId="18" xfId="0" applyFont="1" applyAlignment="1">
      <alignment horizontal="left"/>
    </xf>
    <xf numFmtId="198" fontId="158" fillId="29" borderId="18" xfId="0" applyNumberFormat="1" applyFont="1" applyAlignment="1">
      <alignment horizontal="center" vertical="center"/>
    </xf>
    <xf numFmtId="198" fontId="158" fillId="29" borderId="18" xfId="0" applyNumberFormat="1" applyFont="1">
      <alignment vertical="center"/>
    </xf>
    <xf numFmtId="0" fontId="142" fillId="29" borderId="18" xfId="0" applyFont="1" applyAlignment="1"/>
    <xf numFmtId="0" fontId="159" fillId="29" borderId="18" xfId="0" applyFont="1">
      <alignment vertical="center"/>
    </xf>
    <xf numFmtId="192" fontId="111" fillId="29" borderId="18" xfId="0" applyNumberFormat="1">
      <alignment vertical="center"/>
    </xf>
    <xf numFmtId="0" fontId="160" fillId="29" borderId="18" xfId="0" applyFont="1" applyAlignment="1"/>
    <xf numFmtId="195" fontId="160" fillId="29" borderId="18" xfId="0" applyNumberFormat="1" applyFont="1" applyAlignment="1"/>
    <xf numFmtId="199" fontId="160" fillId="29" borderId="18" xfId="0" applyNumberFormat="1" applyFont="1" applyAlignment="1"/>
    <xf numFmtId="195" fontId="174" fillId="29" borderId="18" xfId="0" applyNumberFormat="1">
      <alignment vertical="center"/>
    </xf>
    <xf numFmtId="199" fontId="111" fillId="29" borderId="18" xfId="0" applyNumberFormat="1" applyAlignment="1"/>
    <xf numFmtId="0" fontId="151" fillId="29" borderId="18" xfId="0" applyFont="1">
      <alignment vertical="center"/>
    </xf>
    <xf numFmtId="0" fontId="153" fillId="35" borderId="31" xfId="0" applyFont="1" applyFill="1" applyBorder="1" applyAlignment="1">
      <alignment horizontal="center"/>
    </xf>
    <xf numFmtId="0" fontId="161" fillId="29" borderId="18" xfId="0" applyFont="1" applyAlignment="1">
      <alignment horizontal="left" vertical="center" indent="4"/>
    </xf>
    <xf numFmtId="0" fontId="162" fillId="29" borderId="18" xfId="0" applyFont="1">
      <alignment vertical="center"/>
    </xf>
    <xf numFmtId="0" fontId="162" fillId="29" borderId="31" xfId="0" applyFont="1" applyBorder="1">
      <alignment vertical="center"/>
    </xf>
    <xf numFmtId="0" fontId="118" fillId="29" borderId="18" xfId="0" applyFont="1" applyAlignment="1">
      <alignment horizontal="left" vertical="center" indent="1"/>
    </xf>
    <xf numFmtId="0" fontId="118" fillId="42" borderId="20" xfId="0" applyFont="1" applyFill="1" applyBorder="1" applyAlignment="1"/>
    <xf numFmtId="0" fontId="118" fillId="42" borderId="20" xfId="0" applyFont="1" applyFill="1" applyBorder="1">
      <alignment vertical="center"/>
    </xf>
    <xf numFmtId="10" fontId="118" fillId="29" borderId="18" xfId="0" applyNumberFormat="1" applyFont="1">
      <alignment vertical="center"/>
    </xf>
    <xf numFmtId="200" fontId="118" fillId="29" borderId="18" xfId="0" applyNumberFormat="1" applyFont="1">
      <alignment vertical="center"/>
    </xf>
    <xf numFmtId="0" fontId="123" fillId="41" borderId="21" xfId="0" applyFont="1" applyFill="1" applyBorder="1">
      <alignment vertical="center"/>
    </xf>
    <xf numFmtId="0" fontId="118" fillId="41" borderId="21" xfId="0" applyFont="1" applyFill="1" applyBorder="1">
      <alignment vertical="center"/>
    </xf>
    <xf numFmtId="200" fontId="118" fillId="41" borderId="21" xfId="0" applyNumberFormat="1" applyFont="1" applyFill="1" applyBorder="1">
      <alignment vertical="center"/>
    </xf>
    <xf numFmtId="0" fontId="166" fillId="29" borderId="18" xfId="0" applyFont="1" applyAlignment="1">
      <alignment horizontal="center" vertical="center"/>
    </xf>
    <xf numFmtId="0" fontId="151" fillId="41" borderId="21" xfId="0" applyFont="1" applyFill="1" applyBorder="1">
      <alignment vertical="center"/>
    </xf>
    <xf numFmtId="0" fontId="118" fillId="41" borderId="21" xfId="0" applyFont="1" applyFill="1" applyBorder="1" applyAlignment="1"/>
    <xf numFmtId="10" fontId="118" fillId="41" borderId="21" xfId="0" applyNumberFormat="1" applyFont="1" applyFill="1" applyBorder="1">
      <alignment vertical="center"/>
    </xf>
    <xf numFmtId="0" fontId="118" fillId="29" borderId="21" xfId="0" applyFont="1" applyBorder="1" applyAlignment="1"/>
    <xf numFmtId="0" fontId="118" fillId="31" borderId="18" xfId="0" applyFont="1" applyFill="1" applyAlignment="1"/>
    <xf numFmtId="10" fontId="118" fillId="31" borderId="18" xfId="0" applyNumberFormat="1" applyFont="1" applyFill="1">
      <alignment vertical="center"/>
    </xf>
    <xf numFmtId="0" fontId="118" fillId="31" borderId="18" xfId="0" applyFont="1" applyFill="1">
      <alignment vertical="center"/>
    </xf>
    <xf numFmtId="0" fontId="123" fillId="43" borderId="22" xfId="0" applyFont="1" applyFill="1" applyBorder="1" applyAlignment="1">
      <alignment horizontal="center" vertical="center"/>
    </xf>
    <xf numFmtId="0" fontId="118" fillId="43" borderId="22" xfId="0" applyFont="1" applyFill="1" applyBorder="1" applyAlignment="1">
      <alignment horizontal="center" vertical="center"/>
    </xf>
    <xf numFmtId="0" fontId="117" fillId="43" borderId="24" xfId="0" applyFont="1" applyFill="1" applyBorder="1" applyAlignment="1">
      <alignment horizontal="center" vertical="center"/>
    </xf>
    <xf numFmtId="0" fontId="117" fillId="43" borderId="22" xfId="0" applyFont="1" applyFill="1" applyBorder="1" applyAlignment="1">
      <alignment horizontal="center" vertical="center"/>
    </xf>
    <xf numFmtId="0" fontId="118" fillId="43" borderId="24" xfId="0" applyFont="1" applyFill="1" applyBorder="1" applyAlignment="1">
      <alignment horizontal="center" vertical="center"/>
    </xf>
    <xf numFmtId="0" fontId="111" fillId="43" borderId="22" xfId="0" applyFill="1" applyBorder="1" applyAlignment="1">
      <alignment horizontal="center" vertical="center"/>
    </xf>
    <xf numFmtId="0" fontId="118" fillId="29" borderId="18" xfId="0" applyFont="1" applyAlignment="1">
      <alignment horizontal="center" vertical="center"/>
    </xf>
    <xf numFmtId="0" fontId="118" fillId="29" borderId="27" xfId="0" applyFont="1" applyBorder="1">
      <alignment vertical="center"/>
    </xf>
    <xf numFmtId="0" fontId="118" fillId="29" borderId="18" xfId="0" applyFont="1" applyAlignment="1">
      <alignment horizontal="right"/>
    </xf>
    <xf numFmtId="0" fontId="118" fillId="29" borderId="21" xfId="0" applyFont="1" applyBorder="1" applyAlignment="1">
      <alignment horizontal="center" vertical="center"/>
    </xf>
    <xf numFmtId="0" fontId="118" fillId="29" borderId="30" xfId="0" applyFont="1" applyBorder="1">
      <alignment vertical="center"/>
    </xf>
    <xf numFmtId="0" fontId="118" fillId="29" borderId="21" xfId="0" applyFont="1" applyBorder="1" applyAlignment="1">
      <alignment horizontal="right"/>
    </xf>
    <xf numFmtId="0" fontId="169" fillId="29" borderId="18" xfId="0" applyFont="1">
      <alignment vertical="center"/>
    </xf>
    <xf numFmtId="0" fontId="117" fillId="29" borderId="18" xfId="0" applyFont="1">
      <alignment vertical="center"/>
    </xf>
    <xf numFmtId="0" fontId="123" fillId="43" borderId="25" xfId="0" applyFont="1" applyFill="1" applyBorder="1" applyAlignment="1">
      <alignment horizontal="center" vertical="center"/>
    </xf>
    <xf numFmtId="0" fontId="111" fillId="43" borderId="23" xfId="0" applyFill="1" applyBorder="1" applyAlignment="1">
      <alignment horizontal="center" vertical="center"/>
    </xf>
    <xf numFmtId="0" fontId="139" fillId="29" borderId="28" xfId="0" applyFont="1" applyBorder="1" applyAlignment="1">
      <alignment horizontal="center" vertical="center"/>
    </xf>
    <xf numFmtId="0" fontId="139" fillId="29" borderId="18" xfId="0" applyFont="1">
      <alignment vertical="center"/>
    </xf>
    <xf numFmtId="10" fontId="118" fillId="29" borderId="27" xfId="0" applyNumberFormat="1" applyFont="1" applyBorder="1">
      <alignment vertical="center"/>
    </xf>
    <xf numFmtId="201" fontId="118" fillId="29" borderId="27" xfId="0" applyNumberFormat="1" applyFont="1" applyBorder="1">
      <alignment vertical="center"/>
    </xf>
    <xf numFmtId="0" fontId="118" fillId="29" borderId="26" xfId="0" applyFont="1" applyBorder="1">
      <alignment vertical="center"/>
    </xf>
    <xf numFmtId="10" fontId="118" fillId="29" borderId="30" xfId="0" applyNumberFormat="1" applyFont="1" applyBorder="1">
      <alignment vertical="center"/>
    </xf>
    <xf numFmtId="201" fontId="118" fillId="29" borderId="30" xfId="0" applyNumberFormat="1" applyFont="1" applyBorder="1">
      <alignment vertical="center"/>
    </xf>
    <xf numFmtId="0" fontId="118" fillId="29" borderId="29" xfId="0" applyFont="1" applyBorder="1">
      <alignment vertical="center"/>
    </xf>
    <xf numFmtId="0" fontId="170" fillId="29" borderId="20" xfId="0" applyFont="1" applyBorder="1">
      <alignment vertical="center"/>
    </xf>
    <xf numFmtId="0" fontId="118" fillId="29" borderId="20" xfId="0" applyFont="1" applyBorder="1">
      <alignment vertical="center"/>
    </xf>
    <xf numFmtId="0" fontId="120" fillId="29" borderId="18" xfId="0" applyFont="1">
      <alignment vertical="center"/>
    </xf>
    <xf numFmtId="0" fontId="112" fillId="32" borderId="18" xfId="0" applyFont="1" applyFill="1">
      <alignment vertical="center"/>
    </xf>
    <xf numFmtId="0" fontId="122" fillId="44" borderId="18" xfId="0" applyFont="1" applyFill="1">
      <alignment vertical="center"/>
    </xf>
    <xf numFmtId="0" fontId="133" fillId="44" borderId="18" xfId="0" applyFont="1" applyFill="1">
      <alignment vertical="center"/>
    </xf>
    <xf numFmtId="3" fontId="111" fillId="29" borderId="18" xfId="0" applyNumberFormat="1">
      <alignment vertical="center"/>
    </xf>
    <xf numFmtId="194" fontId="126" fillId="29" borderId="18" xfId="0" applyNumberFormat="1" applyFont="1">
      <alignment vertical="center"/>
    </xf>
    <xf numFmtId="194" fontId="111" fillId="29" borderId="18" xfId="0" applyNumberFormat="1">
      <alignment vertical="center"/>
    </xf>
    <xf numFmtId="202" fontId="111" fillId="29" borderId="18" xfId="0" applyNumberFormat="1">
      <alignment vertical="center"/>
    </xf>
    <xf numFmtId="0" fontId="126" fillId="29" borderId="18" xfId="0" applyFont="1">
      <alignment vertical="center"/>
    </xf>
    <xf numFmtId="194" fontId="172" fillId="29" borderId="18" xfId="0" applyNumberFormat="1" applyFont="1">
      <alignment vertical="center"/>
    </xf>
    <xf numFmtId="0" fontId="112" fillId="33" borderId="18" xfId="0" applyFont="1" applyFill="1">
      <alignment vertical="center"/>
    </xf>
    <xf numFmtId="0" fontId="173" fillId="33" borderId="18" xfId="0" applyFont="1" applyFill="1">
      <alignment vertical="center"/>
    </xf>
    <xf numFmtId="0" fontId="157" fillId="44" borderId="18" xfId="0" applyFont="1" applyFill="1">
      <alignment vertical="center"/>
    </xf>
    <xf numFmtId="0" fontId="172" fillId="29" borderId="18" xfId="0" applyFont="1">
      <alignment vertical="center"/>
    </xf>
    <xf numFmtId="0" fontId="132" fillId="29" borderId="18" xfId="0" applyFont="1">
      <alignment vertical="center"/>
    </xf>
    <xf numFmtId="200" fontId="132" fillId="29" borderId="18" xfId="0" applyNumberFormat="1" applyFont="1">
      <alignment vertical="center"/>
    </xf>
    <xf numFmtId="0" fontId="122" fillId="29" borderId="18" xfId="0" applyFont="1">
      <alignment vertical="center"/>
    </xf>
    <xf numFmtId="191" fontId="159" fillId="29" borderId="18" xfId="0" applyNumberFormat="1" applyFont="1">
      <alignment vertical="center"/>
    </xf>
    <xf numFmtId="0" fontId="111" fillId="45" borderId="18" xfId="0" applyFill="1">
      <alignment vertical="center"/>
    </xf>
    <xf numFmtId="2" fontId="111" fillId="45" borderId="18" xfId="0" applyNumberFormat="1" applyFill="1">
      <alignment vertical="center"/>
    </xf>
    <xf numFmtId="3" fontId="111" fillId="47" borderId="18" xfId="0" applyNumberFormat="1" applyFill="1">
      <alignment vertical="center"/>
    </xf>
    <xf numFmtId="10" fontId="111" fillId="29" borderId="18" xfId="0" applyNumberFormat="1" applyAlignment="1">
      <alignment horizontal="center" vertical="center"/>
    </xf>
    <xf numFmtId="0" fontId="176" fillId="29" borderId="18" xfId="0" applyFont="1" applyAlignment="1">
      <alignment vertical="center" wrapText="1"/>
    </xf>
    <xf numFmtId="0" fontId="177" fillId="29" borderId="18" xfId="0" applyFont="1">
      <alignment vertical="center"/>
    </xf>
    <xf numFmtId="2" fontId="111" fillId="29" borderId="18" xfId="0" applyNumberFormat="1">
      <alignment vertical="center"/>
    </xf>
    <xf numFmtId="0" fontId="176" fillId="29" borderId="18" xfId="0" applyFont="1">
      <alignment vertical="center"/>
    </xf>
    <xf numFmtId="190" fontId="111" fillId="29" borderId="18" xfId="0" applyFont="1">
      <alignment vertical="center"/>
    </xf>
    <xf numFmtId="0" fontId="116" fillId="34" borderId="18" xfId="0" applyFont="1" applyFill="1" applyAlignment="1">
      <alignment horizontal="center" vertical="center"/>
    </xf>
    <xf numFmtId="0" fontId="111" fillId="29" borderId="32" xfId="0" applyBorder="1" applyAlignment="1"/>
    <xf numFmtId="0" fontId="111" fillId="29" borderId="32" xfId="0" applyBorder="1">
      <alignment vertical="center"/>
    </xf>
    <xf numFmtId="0" fontId="118" fillId="29" borderId="32" xfId="0" applyFont="1" applyBorder="1">
      <alignment vertical="center"/>
    </xf>
    <xf numFmtId="0" fontId="187" fillId="29" borderId="18" xfId="0" applyFont="1" applyAlignment="1">
      <alignment horizontal="center" vertical="center"/>
    </xf>
    <xf numFmtId="10" fontId="111" fillId="41" borderId="18" xfId="0" applyNumberFormat="1" applyFill="1">
      <alignment vertical="center"/>
    </xf>
    <xf numFmtId="3" fontId="111" fillId="41" borderId="18" xfId="0" applyNumberFormat="1" applyFill="1">
      <alignment vertical="center"/>
    </xf>
    <xf numFmtId="0" fontId="188" fillId="29" borderId="18" xfId="0" applyFont="1" applyAlignment="1">
      <alignment horizontal="right" vertical="center"/>
    </xf>
    <xf numFmtId="0" fontId="193" fillId="29" borderId="18" xfId="0" applyFont="1" applyAlignment="1">
      <alignment horizontal="left" vertical="center" indent="1"/>
    </xf>
    <xf numFmtId="0" fontId="194" fillId="29" borderId="32" xfId="0" applyFont="1" applyBorder="1" applyAlignment="1">
      <alignment horizontal="left" vertical="center" indent="1"/>
    </xf>
    <xf numFmtId="1" fontId="131" fillId="39" borderId="18" xfId="0" applyNumberFormat="1" applyFont="1" applyFill="1" applyAlignment="1">
      <alignment horizontal="center" vertical="center"/>
    </xf>
    <xf numFmtId="0" fontId="131" fillId="39" borderId="18" xfId="0" applyFont="1" applyFill="1" applyAlignment="1">
      <alignment horizontal="center" vertical="center"/>
    </xf>
    <xf numFmtId="0" fontId="198" fillId="29" borderId="18" xfId="0" applyFont="1">
      <alignment vertical="center"/>
    </xf>
    <xf numFmtId="0" fontId="149" fillId="29" borderId="18" xfId="0" applyFont="1">
      <alignment vertical="center"/>
    </xf>
    <xf numFmtId="0" fontId="203" fillId="31" borderId="18" xfId="0" applyFont="1" applyFill="1" applyAlignment="1">
      <alignment horizontal="left" vertical="center"/>
    </xf>
    <xf numFmtId="0" fontId="204" fillId="29" borderId="18" xfId="0" applyFont="1" applyAlignment="1"/>
    <xf numFmtId="0" fontId="145" fillId="29" borderId="18" xfId="0" applyFont="1" applyAlignment="1">
      <alignment horizontal="left" vertical="center"/>
    </xf>
    <xf numFmtId="0" fontId="130" fillId="29" borderId="18" xfId="0" applyFont="1" applyAlignment="1">
      <alignment horizontal="left" vertical="center"/>
    </xf>
    <xf numFmtId="0" fontId="144" fillId="29" borderId="18" xfId="0" applyFont="1" applyAlignment="1">
      <alignment horizontal="left" vertical="center"/>
    </xf>
    <xf numFmtId="0" fontId="207" fillId="29" borderId="18" xfId="0" applyFont="1" applyAlignment="1">
      <alignment horizontal="left" vertical="center"/>
    </xf>
    <xf numFmtId="191" fontId="111" fillId="51" borderId="18" xfId="0" applyNumberFormat="1" applyFill="1">
      <alignment vertical="center"/>
    </xf>
    <xf numFmtId="0" fontId="111" fillId="52" borderId="18" xfId="0" applyFill="1">
      <alignment vertical="center"/>
    </xf>
    <xf numFmtId="0" fontId="215" fillId="29" borderId="18" xfId="0" applyFont="1" applyAlignment="1">
      <alignment horizontal="right" vertical="center"/>
    </xf>
    <xf numFmtId="0" fontId="145" fillId="31" borderId="18" xfId="0" applyFont="1" applyFill="1" applyAlignment="1">
      <alignment horizontal="right" vertical="center"/>
    </xf>
    <xf numFmtId="0" fontId="207" fillId="31" borderId="18" xfId="0" applyFont="1" applyFill="1" applyAlignment="1">
      <alignment horizontal="center" vertical="center"/>
    </xf>
    <xf numFmtId="0" fontId="145" fillId="31" borderId="35" xfId="0" applyFont="1" applyFill="1" applyBorder="1" applyAlignment="1">
      <alignment horizontal="right" vertical="center"/>
    </xf>
    <xf numFmtId="0" fontId="207" fillId="31" borderId="35" xfId="0" applyFont="1" applyFill="1" applyBorder="1" applyAlignment="1">
      <alignment horizontal="center" vertical="center"/>
    </xf>
    <xf numFmtId="0" fontId="208" fillId="42" borderId="38" xfId="0" applyFont="1" applyFill="1" applyBorder="1" applyAlignment="1">
      <alignment horizontal="left" vertical="center" indent="2"/>
    </xf>
    <xf numFmtId="0" fontId="146" fillId="42" borderId="38" xfId="0" applyFont="1" applyFill="1" applyBorder="1" applyAlignment="1">
      <alignment horizontal="center" vertical="center"/>
    </xf>
    <xf numFmtId="0" fontId="145" fillId="31" borderId="38" xfId="0" applyFont="1" applyFill="1" applyBorder="1" applyAlignment="1">
      <alignment horizontal="right" vertical="center"/>
    </xf>
    <xf numFmtId="0" fontId="159" fillId="31" borderId="38" xfId="0" applyFont="1" applyFill="1" applyBorder="1" applyAlignment="1">
      <alignment horizontal="center" vertical="center"/>
    </xf>
    <xf numFmtId="0" fontId="146" fillId="42" borderId="39" xfId="0" applyFont="1" applyFill="1" applyBorder="1" applyAlignment="1">
      <alignment horizontal="center" vertical="center"/>
    </xf>
    <xf numFmtId="0" fontId="145" fillId="42" borderId="39" xfId="0" applyFont="1" applyFill="1" applyBorder="1" applyAlignment="1">
      <alignment horizontal="center" vertical="center"/>
    </xf>
    <xf numFmtId="194" fontId="207" fillId="31" borderId="39" xfId="0" applyNumberFormat="1" applyFont="1" applyFill="1" applyBorder="1" applyAlignment="1">
      <alignment horizontal="center" vertical="center"/>
    </xf>
    <xf numFmtId="194" fontId="207" fillId="31" borderId="40" xfId="0" applyNumberFormat="1" applyFont="1" applyFill="1" applyBorder="1" applyAlignment="1">
      <alignment horizontal="center" vertical="center"/>
    </xf>
    <xf numFmtId="194" fontId="207" fillId="31" borderId="41" xfId="0" applyNumberFormat="1" applyFont="1" applyFill="1" applyBorder="1" applyAlignment="1">
      <alignment horizontal="center" vertical="center"/>
    </xf>
    <xf numFmtId="200" fontId="140" fillId="31" borderId="39" xfId="0" applyNumberFormat="1" applyFont="1" applyFill="1" applyBorder="1" applyAlignment="1">
      <alignment horizontal="center" vertical="center"/>
    </xf>
    <xf numFmtId="193" fontId="140" fillId="31" borderId="38" xfId="0" applyNumberFormat="1" applyFont="1" applyFill="1" applyBorder="1" applyAlignment="1">
      <alignment horizontal="center" vertical="center"/>
    </xf>
    <xf numFmtId="200" fontId="140" fillId="31" borderId="40" xfId="0" applyNumberFormat="1" applyFont="1" applyFill="1" applyBorder="1" applyAlignment="1">
      <alignment horizontal="center" vertical="center"/>
    </xf>
    <xf numFmtId="193" fontId="140" fillId="31" borderId="18" xfId="0" applyNumberFormat="1" applyFont="1" applyFill="1" applyAlignment="1">
      <alignment horizontal="center" vertical="center"/>
    </xf>
    <xf numFmtId="200" fontId="140" fillId="31" borderId="41" xfId="0" applyNumberFormat="1" applyFont="1" applyFill="1" applyBorder="1" applyAlignment="1">
      <alignment horizontal="center" vertical="center"/>
    </xf>
    <xf numFmtId="193" fontId="140" fillId="31" borderId="35" xfId="0" applyNumberFormat="1" applyFont="1" applyFill="1" applyBorder="1" applyAlignment="1">
      <alignment horizontal="center" vertical="center"/>
    </xf>
    <xf numFmtId="0" fontId="207" fillId="31" borderId="18" xfId="0" applyFont="1" applyFill="1">
      <alignment vertical="center"/>
    </xf>
    <xf numFmtId="0" fontId="207" fillId="29" borderId="18" xfId="0" applyFont="1" applyAlignment="1">
      <alignment horizontal="right" vertical="center"/>
    </xf>
    <xf numFmtId="0" fontId="207" fillId="31" borderId="18" xfId="0" applyFont="1" applyFill="1" applyAlignment="1">
      <alignment horizontal="left" vertical="center"/>
    </xf>
    <xf numFmtId="0" fontId="216" fillId="31" borderId="18" xfId="0" applyFont="1" applyFill="1" applyAlignment="1">
      <alignment horizontal="left" vertical="center"/>
    </xf>
    <xf numFmtId="0" fontId="149" fillId="29" borderId="18" xfId="0" applyFont="1" applyAlignment="1">
      <alignment horizontal="left" vertical="center"/>
    </xf>
    <xf numFmtId="0" fontId="159" fillId="31" borderId="18" xfId="0" applyFont="1" applyFill="1">
      <alignment vertical="center"/>
    </xf>
    <xf numFmtId="0" fontId="159" fillId="29" borderId="18" xfId="0" applyFont="1" applyAlignment="1"/>
    <xf numFmtId="0" fontId="207" fillId="29" borderId="18" xfId="0" applyFont="1" applyAlignment="1"/>
    <xf numFmtId="0" fontId="207" fillId="31" borderId="18" xfId="0" applyFont="1" applyFill="1" applyAlignment="1">
      <alignment horizontal="right" vertical="center"/>
    </xf>
    <xf numFmtId="0" fontId="207" fillId="31" borderId="18" xfId="0" applyFont="1" applyFill="1" applyAlignment="1">
      <alignment horizontal="left" vertical="center" indent="1"/>
    </xf>
    <xf numFmtId="0" fontId="207" fillId="31" borderId="35" xfId="0" applyFont="1" applyFill="1" applyBorder="1" applyAlignment="1">
      <alignment horizontal="right" vertical="center"/>
    </xf>
    <xf numFmtId="0" fontId="207" fillId="31" borderId="35" xfId="0" applyFont="1" applyFill="1" applyBorder="1" applyAlignment="1">
      <alignment horizontal="left" vertical="center" indent="1"/>
    </xf>
    <xf numFmtId="0" fontId="203" fillId="42" borderId="38" xfId="0" applyFont="1" applyFill="1" applyBorder="1" applyAlignment="1">
      <alignment horizontal="left" vertical="center" indent="1"/>
    </xf>
    <xf numFmtId="0" fontId="207" fillId="31" borderId="38" xfId="0" applyFont="1" applyFill="1" applyBorder="1" applyAlignment="1">
      <alignment horizontal="right" vertical="center"/>
    </xf>
    <xf numFmtId="0" fontId="207" fillId="31" borderId="38" xfId="0" applyFont="1" applyFill="1" applyBorder="1" applyAlignment="1">
      <alignment horizontal="left" vertical="center" indent="1"/>
    </xf>
    <xf numFmtId="0" fontId="203" fillId="42" borderId="39" xfId="0" applyFont="1" applyFill="1" applyBorder="1" applyAlignment="1">
      <alignment horizontal="center" vertical="center"/>
    </xf>
    <xf numFmtId="2" fontId="140" fillId="31" borderId="39" xfId="0" applyNumberFormat="1" applyFont="1" applyFill="1" applyBorder="1">
      <alignment vertical="center"/>
    </xf>
    <xf numFmtId="2" fontId="140" fillId="31" borderId="40" xfId="0" applyNumberFormat="1" applyFont="1" applyFill="1" applyBorder="1">
      <alignment vertical="center"/>
    </xf>
    <xf numFmtId="2" fontId="140" fillId="31" borderId="41" xfId="0" applyNumberFormat="1" applyFont="1" applyFill="1" applyBorder="1">
      <alignment vertical="center"/>
    </xf>
    <xf numFmtId="190" fontId="126" fillId="29" borderId="18" xfId="0" applyFont="1" applyAlignment="1">
      <alignment horizontal="left" vertical="center"/>
    </xf>
    <xf numFmtId="0" fontId="181" fillId="29" borderId="18" xfId="0" applyFont="1" applyAlignment="1"/>
    <xf numFmtId="0" fontId="218" fillId="29" borderId="18" xfId="0" applyFont="1" applyAlignment="1"/>
    <xf numFmtId="0" fontId="207" fillId="31" borderId="38" xfId="0" applyFont="1" applyFill="1" applyBorder="1" applyAlignment="1">
      <alignment horizontal="left" vertical="center"/>
    </xf>
    <xf numFmtId="0" fontId="207" fillId="31" borderId="35" xfId="0" applyFont="1" applyFill="1" applyBorder="1" applyAlignment="1">
      <alignment horizontal="left" vertical="center"/>
    </xf>
    <xf numFmtId="0" fontId="219" fillId="29" borderId="18" xfId="0" applyFont="1" applyAlignment="1"/>
    <xf numFmtId="0" fontId="220" fillId="29" borderId="18" xfId="0" applyFont="1" applyAlignment="1">
      <alignment horizontal="left" vertical="center" indent="7"/>
    </xf>
    <xf numFmtId="0" fontId="111" fillId="40" borderId="18" xfId="0" applyFill="1">
      <alignment vertical="center"/>
    </xf>
    <xf numFmtId="0" fontId="139" fillId="40" borderId="18" xfId="0" applyFont="1" applyFill="1" applyAlignment="1">
      <alignment horizontal="left" vertical="center"/>
    </xf>
    <xf numFmtId="193" fontId="122" fillId="51" borderId="18" xfId="0" applyNumberFormat="1" applyFont="1" applyFill="1">
      <alignment vertical="center"/>
    </xf>
    <xf numFmtId="191" fontId="150" fillId="53" borderId="18" xfId="0" applyNumberFormat="1" applyFont="1" applyFill="1">
      <alignment vertical="center"/>
    </xf>
    <xf numFmtId="0" fontId="207" fillId="29" borderId="18" xfId="0" applyFont="1" applyAlignment="1">
      <alignment horizontal="right"/>
    </xf>
    <xf numFmtId="0" fontId="222" fillId="29" borderId="18" xfId="0" applyFont="1" applyAlignment="1"/>
    <xf numFmtId="0" fontId="223" fillId="29" borderId="18" xfId="0" applyFont="1" applyAlignment="1"/>
    <xf numFmtId="0" fontId="225" fillId="29" borderId="18" xfId="0" applyFont="1" applyAlignment="1">
      <alignment horizontal="left" vertical="center" indent="1"/>
    </xf>
    <xf numFmtId="0" fontId="141" fillId="29" borderId="18" xfId="0" applyFont="1" applyAlignment="1">
      <alignment horizontal="left" vertical="center" indent="3"/>
    </xf>
    <xf numFmtId="0" fontId="207" fillId="31" borderId="18" xfId="0" applyFont="1" applyFill="1" applyAlignment="1">
      <alignment horizontal="left" vertical="center" indent="6"/>
    </xf>
    <xf numFmtId="191" fontId="141" fillId="29" borderId="18" xfId="0" applyNumberFormat="1" applyFont="1" applyAlignment="1">
      <alignment vertical="center"/>
    </xf>
    <xf numFmtId="195" fontId="118" fillId="29" borderId="18" xfId="0" applyNumberFormat="1" applyFont="1" applyAlignment="1"/>
    <xf numFmtId="191" fontId="141" fillId="29" borderId="18" xfId="0" applyNumberFormat="1" applyFont="1"/>
    <xf numFmtId="0" fontId="169" fillId="29" borderId="18" xfId="0" applyFont="1" applyAlignment="1"/>
    <xf numFmtId="191" fontId="203" fillId="29" borderId="18" xfId="0" applyNumberFormat="1" applyFont="1" applyAlignment="1">
      <alignment vertical="center"/>
    </xf>
    <xf numFmtId="0" fontId="227" fillId="29" borderId="18" xfId="0" applyFont="1" applyAlignment="1">
      <alignment horizontal="right" vertical="center" indent="1"/>
    </xf>
    <xf numFmtId="193" fontId="227" fillId="29" borderId="18" xfId="0" applyNumberFormat="1" applyFont="1" applyAlignment="1">
      <alignment horizontal="center"/>
    </xf>
    <xf numFmtId="194" fontId="227" fillId="29" borderId="18" xfId="0" applyNumberFormat="1" applyFont="1" applyAlignment="1">
      <alignment horizontal="center"/>
    </xf>
    <xf numFmtId="193" fontId="227" fillId="29" borderId="40" xfId="0" applyNumberFormat="1" applyFont="1" applyBorder="1" applyAlignment="1">
      <alignment horizontal="center"/>
    </xf>
    <xf numFmtId="0" fontId="207" fillId="29" borderId="18" xfId="0" applyFont="1" applyAlignment="1">
      <alignment horizontal="center"/>
    </xf>
    <xf numFmtId="193" fontId="227" fillId="29" borderId="35" xfId="0" applyNumberFormat="1" applyFont="1" applyBorder="1" applyAlignment="1">
      <alignment horizontal="center"/>
    </xf>
    <xf numFmtId="0" fontId="226" fillId="29" borderId="18" xfId="0" applyFont="1" applyAlignment="1">
      <alignment horizontal="center"/>
    </xf>
    <xf numFmtId="193" fontId="227" fillId="29" borderId="41" xfId="0" applyNumberFormat="1" applyFont="1" applyBorder="1" applyAlignment="1">
      <alignment horizontal="center"/>
    </xf>
    <xf numFmtId="2" fontId="227" fillId="29" borderId="35" xfId="0" applyNumberFormat="1" applyFont="1" applyBorder="1" applyAlignment="1">
      <alignment horizontal="center"/>
    </xf>
    <xf numFmtId="0" fontId="207" fillId="29" borderId="18" xfId="0" applyFont="1">
      <alignment vertical="center"/>
    </xf>
    <xf numFmtId="203" fontId="141" fillId="29" borderId="18" xfId="0" applyNumberFormat="1" applyFont="1"/>
    <xf numFmtId="204" fontId="141" fillId="29" borderId="18" xfId="0" applyNumberFormat="1" applyFont="1"/>
    <xf numFmtId="0" fontId="226" fillId="29" borderId="42" xfId="0" applyFont="1" applyBorder="1" applyAlignment="1">
      <alignment horizontal="center"/>
    </xf>
    <xf numFmtId="194" fontId="227" fillId="29" borderId="42" xfId="0" applyNumberFormat="1" applyFont="1" applyBorder="1" applyAlignment="1">
      <alignment horizontal="center"/>
    </xf>
    <xf numFmtId="0" fontId="139" fillId="29" borderId="18" xfId="0" applyFont="1" applyAlignment="1">
      <alignment horizontal="right" vertical="center"/>
    </xf>
    <xf numFmtId="2" fontId="227" fillId="29" borderId="18" xfId="0" applyNumberFormat="1" applyFont="1" applyAlignment="1">
      <alignment horizontal="center"/>
    </xf>
    <xf numFmtId="0" fontId="203" fillId="54" borderId="38" xfId="0" applyFont="1" applyFill="1" applyBorder="1" applyAlignment="1">
      <alignment horizontal="right" vertical="center"/>
    </xf>
    <xf numFmtId="0" fontId="226" fillId="55" borderId="42" xfId="0" applyFont="1" applyFill="1" applyBorder="1" applyAlignment="1">
      <alignment horizontal="center"/>
    </xf>
    <xf numFmtId="0" fontId="226" fillId="55" borderId="36" xfId="0" applyFont="1" applyFill="1" applyBorder="1" applyAlignment="1">
      <alignment horizontal="center" vertical="center"/>
    </xf>
    <xf numFmtId="0" fontId="227" fillId="29" borderId="44" xfId="0" applyFont="1" applyBorder="1" applyAlignment="1">
      <alignment horizontal="center" vertical="center"/>
    </xf>
    <xf numFmtId="0" fontId="227" fillId="29" borderId="45" xfId="0" applyFont="1" applyBorder="1" applyAlignment="1">
      <alignment horizontal="center" vertical="center"/>
    </xf>
    <xf numFmtId="0" fontId="226" fillId="55" borderId="19" xfId="0" applyFont="1" applyFill="1" applyBorder="1" applyAlignment="1">
      <alignment horizontal="center" vertical="center"/>
    </xf>
    <xf numFmtId="0" fontId="227" fillId="29" borderId="40" xfId="0" applyFont="1" applyBorder="1" applyAlignment="1">
      <alignment horizontal="center" vertical="center"/>
    </xf>
    <xf numFmtId="0" fontId="227" fillId="29" borderId="41" xfId="0" applyFont="1" applyBorder="1" applyAlignment="1">
      <alignment horizontal="center" vertical="center"/>
    </xf>
    <xf numFmtId="0" fontId="118" fillId="29" borderId="35" xfId="0" applyFont="1" applyBorder="1" applyAlignment="1">
      <alignment horizontal="center" vertical="center"/>
    </xf>
    <xf numFmtId="0" fontId="226" fillId="55" borderId="19" xfId="0" applyFont="1" applyFill="1" applyBorder="1" applyAlignment="1">
      <alignment horizontal="center"/>
    </xf>
    <xf numFmtId="0" fontId="226" fillId="55" borderId="36" xfId="0" applyFont="1" applyFill="1" applyBorder="1" applyAlignment="1">
      <alignment horizontal="center"/>
    </xf>
    <xf numFmtId="194" fontId="227" fillId="29" borderId="44" xfId="0" applyNumberFormat="1" applyFont="1" applyBorder="1" applyAlignment="1">
      <alignment horizontal="center"/>
    </xf>
    <xf numFmtId="194" fontId="227" fillId="29" borderId="45" xfId="0" applyNumberFormat="1" applyFont="1" applyBorder="1" applyAlignment="1">
      <alignment horizontal="center"/>
    </xf>
    <xf numFmtId="193" fontId="227" fillId="29" borderId="44" xfId="0" applyNumberFormat="1" applyFont="1" applyBorder="1" applyAlignment="1">
      <alignment horizontal="center"/>
    </xf>
    <xf numFmtId="193" fontId="227" fillId="29" borderId="45" xfId="0" applyNumberFormat="1" applyFont="1" applyBorder="1" applyAlignment="1">
      <alignment horizontal="center"/>
    </xf>
    <xf numFmtId="10" fontId="207" fillId="29" borderId="42" xfId="0" applyNumberFormat="1" applyFont="1" applyBorder="1" applyAlignment="1">
      <alignment horizontal="left"/>
    </xf>
    <xf numFmtId="0" fontId="118" fillId="29" borderId="18" xfId="0" applyFont="1" applyAlignment="1">
      <alignment horizontal="center"/>
    </xf>
    <xf numFmtId="0" fontId="118" fillId="29" borderId="47" xfId="0" applyFont="1" applyBorder="1">
      <alignment vertical="center"/>
    </xf>
    <xf numFmtId="0" fontId="228" fillId="29" borderId="38" xfId="0" applyFont="1" applyBorder="1" applyAlignment="1">
      <alignment horizontal="center" vertical="center"/>
    </xf>
    <xf numFmtId="10" fontId="118" fillId="56" borderId="18" xfId="0" applyNumberFormat="1" applyFont="1" applyFill="1">
      <alignment vertical="center"/>
    </xf>
    <xf numFmtId="10" fontId="118" fillId="56" borderId="35" xfId="0" applyNumberFormat="1" applyFont="1" applyFill="1" applyBorder="1">
      <alignment vertical="center"/>
    </xf>
    <xf numFmtId="10" fontId="118" fillId="56" borderId="38" xfId="0" applyNumberFormat="1" applyFont="1" applyFill="1" applyBorder="1">
      <alignment vertical="center"/>
    </xf>
    <xf numFmtId="0" fontId="118" fillId="40" borderId="20" xfId="0" applyFont="1" applyFill="1" applyBorder="1">
      <alignment vertical="center"/>
    </xf>
    <xf numFmtId="3" fontId="118" fillId="29" borderId="21" xfId="0" applyNumberFormat="1" applyFont="1" applyBorder="1">
      <alignment vertical="center"/>
    </xf>
    <xf numFmtId="191" fontId="147" fillId="31" borderId="18" xfId="0" applyNumberFormat="1" applyFont="1" applyFill="1">
      <alignment vertical="center"/>
    </xf>
    <xf numFmtId="191" fontId="229" fillId="41" borderId="18" xfId="0" applyNumberFormat="1" applyFont="1" applyFill="1">
      <alignment vertical="center"/>
    </xf>
    <xf numFmtId="191" fontId="147" fillId="31" borderId="21" xfId="0" applyNumberFormat="1" applyFont="1" applyFill="1" applyBorder="1">
      <alignment vertical="center"/>
    </xf>
    <xf numFmtId="191" fontId="229" fillId="41" borderId="21" xfId="0" applyNumberFormat="1" applyFont="1" applyFill="1" applyBorder="1">
      <alignment vertical="center"/>
    </xf>
    <xf numFmtId="0" fontId="138" fillId="29" borderId="18" xfId="0" applyFont="1" applyAlignment="1">
      <alignment horizontal="left" vertical="center" indent="5"/>
    </xf>
    <xf numFmtId="195" fontId="147" fillId="31" borderId="18" xfId="0" applyNumberFormat="1" applyFont="1" applyFill="1">
      <alignment vertical="center"/>
    </xf>
    <xf numFmtId="195" fontId="228" fillId="41" borderId="18" xfId="0" applyNumberFormat="1" applyFont="1" applyFill="1">
      <alignment vertical="center"/>
    </xf>
    <xf numFmtId="191" fontId="166" fillId="29" borderId="18" xfId="0" applyNumberFormat="1" applyFont="1" applyAlignment="1">
      <alignment vertical="center"/>
    </xf>
    <xf numFmtId="191" fontId="166" fillId="29" borderId="21" xfId="0" applyNumberFormat="1" applyFont="1" applyBorder="1" applyAlignment="1">
      <alignment vertical="center"/>
    </xf>
    <xf numFmtId="0" fontId="230" fillId="29" borderId="18" xfId="0" applyFont="1" applyAlignment="1">
      <alignment horizontal="right" vertical="center" indent="1"/>
    </xf>
    <xf numFmtId="0" fontId="117" fillId="29" borderId="42" xfId="0" applyFont="1" applyBorder="1" applyAlignment="1">
      <alignment horizontal="center" vertical="center"/>
    </xf>
    <xf numFmtId="0" fontId="118" fillId="29" borderId="42" xfId="0" applyFont="1" applyBorder="1" applyAlignment="1">
      <alignment horizontal="center" vertical="center"/>
    </xf>
    <xf numFmtId="0" fontId="150" fillId="42" borderId="20" xfId="0" applyFont="1" applyFill="1" applyBorder="1" applyAlignment="1">
      <alignment horizontal="left" vertical="center" indent="1"/>
    </xf>
    <xf numFmtId="0" fontId="118" fillId="42" borderId="18" xfId="0" applyFont="1" applyFill="1">
      <alignment vertical="center"/>
    </xf>
    <xf numFmtId="0" fontId="232" fillId="42" borderId="18" xfId="0" applyFont="1" applyFill="1" applyAlignment="1"/>
    <xf numFmtId="0" fontId="232" fillId="42" borderId="18" xfId="0" applyFont="1" applyFill="1">
      <alignment vertical="center"/>
    </xf>
    <xf numFmtId="0" fontId="232" fillId="29" borderId="18" xfId="0" applyFont="1">
      <alignment vertical="center"/>
    </xf>
    <xf numFmtId="0" fontId="216" fillId="42" borderId="18" xfId="0" applyFont="1" applyFill="1" applyAlignment="1">
      <alignment horizontal="left" vertical="center" indent="1"/>
    </xf>
    <xf numFmtId="200" fontId="118" fillId="29" borderId="18" xfId="0" applyNumberFormat="1" applyFont="1" applyAlignment="1">
      <alignment horizontal="left" vertical="center" indent="1"/>
    </xf>
    <xf numFmtId="0" fontId="163" fillId="57" borderId="48" xfId="0" applyFont="1" applyFill="1" applyBorder="1">
      <alignment vertical="center"/>
    </xf>
    <xf numFmtId="0" fontId="165" fillId="57" borderId="48" xfId="0" applyFont="1" applyFill="1" applyBorder="1">
      <alignment vertical="center"/>
    </xf>
    <xf numFmtId="0" fontId="140" fillId="29" borderId="18" xfId="0" applyFont="1">
      <alignment vertical="center"/>
    </xf>
    <xf numFmtId="0" fontId="118" fillId="42" borderId="48" xfId="0" applyFont="1" applyFill="1" applyBorder="1">
      <alignment vertical="center"/>
    </xf>
    <xf numFmtId="0" fontId="118" fillId="42" borderId="48" xfId="0" applyFont="1" applyFill="1" applyBorder="1" applyAlignment="1"/>
    <xf numFmtId="0" fontId="118" fillId="42" borderId="49" xfId="0" applyFont="1" applyFill="1" applyBorder="1">
      <alignment vertical="center"/>
    </xf>
    <xf numFmtId="0" fontId="118" fillId="42" borderId="49" xfId="0" applyFont="1" applyFill="1" applyBorder="1" applyAlignment="1"/>
    <xf numFmtId="0" fontId="231" fillId="42" borderId="49" xfId="0" applyFont="1" applyFill="1" applyBorder="1" applyAlignment="1">
      <alignment horizontal="left" vertical="center" indent="1"/>
    </xf>
    <xf numFmtId="0" fontId="230" fillId="29" borderId="18" xfId="0" applyFont="1">
      <alignment vertical="center"/>
    </xf>
    <xf numFmtId="0" fontId="118" fillId="29" borderId="18" xfId="0" applyFont="1" applyAlignment="1">
      <alignment horizontal="left" vertical="center" indent="11"/>
    </xf>
    <xf numFmtId="0" fontId="236" fillId="42" borderId="49" xfId="0" applyFont="1" applyFill="1" applyBorder="1" applyAlignment="1">
      <alignment horizontal="left" vertical="center" indent="1"/>
    </xf>
    <xf numFmtId="0" fontId="138" fillId="29" borderId="18" xfId="0" applyFont="1" applyAlignment="1">
      <alignment horizontal="center" vertical="center"/>
    </xf>
    <xf numFmtId="0" fontId="117" fillId="58" borderId="18" xfId="0" applyFont="1" applyFill="1">
      <alignment vertical="center"/>
    </xf>
    <xf numFmtId="0" fontId="155" fillId="29" borderId="32" xfId="0" applyFont="1" applyBorder="1" applyAlignment="1"/>
    <xf numFmtId="0" fontId="155" fillId="29" borderId="32" xfId="0" applyFont="1" applyBorder="1">
      <alignment vertical="center"/>
    </xf>
    <xf numFmtId="0" fontId="155" fillId="29" borderId="18" xfId="0" applyFont="1">
      <alignment vertical="center"/>
    </xf>
    <xf numFmtId="0" fontId="237" fillId="29" borderId="18" xfId="0" applyFont="1">
      <alignment vertical="center"/>
    </xf>
    <xf numFmtId="0" fontId="238" fillId="29" borderId="18" xfId="0" applyFont="1" applyAlignment="1"/>
    <xf numFmtId="0" fontId="238" fillId="29" borderId="18" xfId="0" applyFont="1">
      <alignment vertical="center"/>
    </xf>
    <xf numFmtId="0" fontId="186" fillId="29" borderId="18" xfId="0" applyFont="1">
      <alignment vertical="center"/>
    </xf>
    <xf numFmtId="191" fontId="239" fillId="41" borderId="18" xfId="0" applyNumberFormat="1" applyFont="1" applyFill="1">
      <alignment vertical="center"/>
    </xf>
    <xf numFmtId="191" fontId="240" fillId="29" borderId="18" xfId="0" applyNumberFormat="1" applyFont="1"/>
    <xf numFmtId="0" fontId="186" fillId="29" borderId="18" xfId="0" applyFont="1" applyAlignment="1">
      <alignment horizontal="right"/>
    </xf>
    <xf numFmtId="198" fontId="186" fillId="29" borderId="18" xfId="0" applyNumberFormat="1" applyFont="1"/>
    <xf numFmtId="198" fontId="186" fillId="29" borderId="18" xfId="0" applyNumberFormat="1" applyFont="1" applyAlignment="1"/>
    <xf numFmtId="0" fontId="118" fillId="48" borderId="49" xfId="0" applyFont="1" applyFill="1" applyBorder="1" applyAlignment="1"/>
    <xf numFmtId="0" fontId="122" fillId="61" borderId="18" xfId="0" applyFont="1" applyFill="1">
      <alignment vertical="center"/>
    </xf>
    <xf numFmtId="190" fontId="111" fillId="52" borderId="49" xfId="0" applyFont="1" applyFill="1" applyBorder="1">
      <alignment vertical="center"/>
    </xf>
    <xf numFmtId="190" fontId="111" fillId="58" borderId="49" xfId="0" applyFont="1" applyFill="1" applyBorder="1">
      <alignment vertical="center"/>
    </xf>
    <xf numFmtId="0" fontId="240" fillId="29" borderId="18" xfId="0" applyFont="1">
      <alignment vertical="center"/>
    </xf>
    <xf numFmtId="0" fontId="238" fillId="52" borderId="18" xfId="0" applyFont="1" applyFill="1">
      <alignment vertical="center"/>
    </xf>
    <xf numFmtId="0" fontId="118" fillId="48" borderId="18" xfId="0" applyFont="1" applyFill="1" applyAlignment="1"/>
    <xf numFmtId="3" fontId="157" fillId="60" borderId="18" xfId="0" applyNumberFormat="1" applyFont="1" applyFill="1">
      <alignment vertical="center"/>
    </xf>
    <xf numFmtId="3" fontId="242" fillId="48" borderId="18" xfId="0" applyNumberFormat="1" applyFont="1" applyFill="1"/>
    <xf numFmtId="3" fontId="210" fillId="48" borderId="18" xfId="0" applyNumberFormat="1" applyFont="1" applyFill="1" applyAlignment="1"/>
    <xf numFmtId="0" fontId="122" fillId="48" borderId="18" xfId="0" applyFont="1" applyFill="1">
      <alignment vertical="center"/>
    </xf>
    <xf numFmtId="3" fontId="122" fillId="59" borderId="18" xfId="0" applyNumberFormat="1" applyFont="1" applyFill="1">
      <alignment vertical="center"/>
    </xf>
    <xf numFmtId="0" fontId="122" fillId="48" borderId="18" xfId="0" applyFont="1" applyFill="1" applyAlignment="1"/>
    <xf numFmtId="0" fontId="238" fillId="48" borderId="18" xfId="0" applyFont="1" applyFill="1" applyAlignment="1"/>
    <xf numFmtId="191" fontId="240" fillId="48" borderId="18" xfId="0" applyNumberFormat="1" applyFont="1" applyFill="1"/>
    <xf numFmtId="3" fontId="182" fillId="48" borderId="18" xfId="0" applyNumberFormat="1" applyFont="1" applyFill="1"/>
    <xf numFmtId="3" fontId="182" fillId="48" borderId="18" xfId="0" applyNumberFormat="1" applyFont="1" applyFill="1" applyAlignment="1"/>
    <xf numFmtId="3" fontId="185" fillId="48" borderId="18" xfId="0" applyNumberFormat="1" applyFont="1" applyFill="1"/>
    <xf numFmtId="3" fontId="185" fillId="48" borderId="18" xfId="0" applyNumberFormat="1" applyFont="1" applyFill="1" applyAlignment="1"/>
    <xf numFmtId="0" fontId="122" fillId="40" borderId="48" xfId="0" applyFont="1" applyFill="1" applyBorder="1">
      <alignment vertical="center"/>
    </xf>
    <xf numFmtId="0" fontId="111" fillId="40" borderId="48" xfId="0" applyFill="1" applyBorder="1">
      <alignment vertical="center"/>
    </xf>
    <xf numFmtId="0" fontId="142" fillId="52" borderId="18" xfId="0" applyFont="1" applyFill="1">
      <alignment vertical="center"/>
    </xf>
    <xf numFmtId="3" fontId="132" fillId="62" borderId="18" xfId="0" applyNumberFormat="1" applyFont="1" applyFill="1">
      <alignment vertical="center"/>
    </xf>
    <xf numFmtId="3" fontId="122" fillId="51" borderId="18" xfId="0" applyNumberFormat="1" applyFont="1" applyFill="1">
      <alignment vertical="center"/>
    </xf>
    <xf numFmtId="0" fontId="139" fillId="52" borderId="18" xfId="0" applyFont="1" applyFill="1" applyAlignment="1"/>
    <xf numFmtId="0" fontId="111" fillId="52" borderId="18" xfId="0" applyFill="1" applyAlignment="1"/>
    <xf numFmtId="191" fontId="241" fillId="52" borderId="18" xfId="0" applyNumberFormat="1" applyFont="1" applyFill="1"/>
    <xf numFmtId="0" fontId="238" fillId="52" borderId="18" xfId="0" applyFont="1" applyFill="1" applyAlignment="1"/>
    <xf numFmtId="191" fontId="240" fillId="52" borderId="18" xfId="0" applyNumberFormat="1" applyFont="1" applyFill="1"/>
    <xf numFmtId="0" fontId="182" fillId="48" borderId="18" xfId="0" applyFont="1" applyFill="1" applyAlignment="1">
      <alignment horizontal="left"/>
    </xf>
    <xf numFmtId="0" fontId="185" fillId="48" borderId="18" xfId="0" applyFont="1" applyFill="1" applyAlignment="1">
      <alignment horizontal="left"/>
    </xf>
    <xf numFmtId="0" fontId="139" fillId="52" borderId="49" xfId="0" applyFont="1" applyFill="1" applyBorder="1" applyAlignment="1"/>
    <xf numFmtId="0" fontId="238" fillId="52" borderId="49" xfId="0" applyFont="1" applyFill="1" applyBorder="1" applyAlignment="1"/>
    <xf numFmtId="191" fontId="240" fillId="52" borderId="49" xfId="0" applyNumberFormat="1" applyFont="1" applyFill="1" applyBorder="1"/>
    <xf numFmtId="0" fontId="111" fillId="48" borderId="18" xfId="0" applyFill="1" applyAlignment="1"/>
    <xf numFmtId="191" fontId="241" fillId="48" borderId="18" xfId="0" applyNumberFormat="1" applyFont="1" applyFill="1"/>
    <xf numFmtId="3" fontId="132" fillId="60" borderId="18" xfId="0" applyNumberFormat="1" applyFont="1" applyFill="1">
      <alignment vertical="center"/>
    </xf>
    <xf numFmtId="0" fontId="122" fillId="29" borderId="18" xfId="0" applyFont="1" applyAlignment="1">
      <alignment horizontal="center" vertical="center"/>
    </xf>
    <xf numFmtId="9" fontId="111" fillId="52" borderId="18" xfId="0" applyNumberFormat="1" applyFill="1" applyAlignment="1">
      <alignment horizontal="center" vertical="center"/>
    </xf>
    <xf numFmtId="202" fontId="122" fillId="52" borderId="18" xfId="0" applyNumberFormat="1" applyFont="1" applyFill="1" applyAlignment="1">
      <alignment horizontal="center" vertical="center"/>
    </xf>
    <xf numFmtId="0" fontId="139" fillId="29" borderId="18" xfId="0" applyFont="1" applyAlignment="1">
      <alignment horizontal="left" vertical="center"/>
    </xf>
    <xf numFmtId="190" fontId="122" fillId="52" borderId="49" xfId="0" applyFont="1" applyFill="1" applyBorder="1">
      <alignment vertical="center"/>
    </xf>
    <xf numFmtId="3" fontId="156" fillId="38" borderId="18" xfId="0" applyNumberFormat="1" applyFont="1" applyFill="1" applyAlignment="1">
      <alignment horizontal="center" vertical="center"/>
    </xf>
    <xf numFmtId="3" fontId="147" fillId="38" borderId="18" xfId="0" applyNumberFormat="1" applyFont="1" applyFill="1">
      <alignment vertical="center"/>
    </xf>
    <xf numFmtId="3" fontId="122" fillId="48" borderId="18" xfId="0" applyNumberFormat="1" applyFont="1" applyFill="1">
      <alignment vertical="center"/>
    </xf>
    <xf numFmtId="0" fontId="240" fillId="29" borderId="18" xfId="0" applyFont="1" applyAlignment="1"/>
    <xf numFmtId="198" fontId="230" fillId="29" borderId="18" xfId="0" applyNumberFormat="1" applyFont="1" applyAlignment="1">
      <alignment horizontal="center" vertical="center"/>
    </xf>
    <xf numFmtId="198" fontId="230" fillId="29" borderId="18" xfId="0" applyNumberFormat="1" applyFont="1">
      <alignment vertical="center"/>
    </xf>
    <xf numFmtId="0" fontId="118" fillId="40" borderId="48" xfId="0" applyFont="1" applyFill="1" applyBorder="1">
      <alignment vertical="center"/>
    </xf>
    <xf numFmtId="198" fontId="243" fillId="29" borderId="18" xfId="0" applyNumberFormat="1" applyFont="1" applyAlignment="1">
      <alignment horizontal="center" vertical="center"/>
    </xf>
    <xf numFmtId="198" fontId="243" fillId="29" borderId="18" xfId="0" applyNumberFormat="1" applyFont="1">
      <alignment vertical="center"/>
    </xf>
    <xf numFmtId="0" fontId="139" fillId="61" borderId="18" xfId="0" applyFont="1" applyFill="1">
      <alignment vertical="center"/>
    </xf>
    <xf numFmtId="198" fontId="243" fillId="48" borderId="18" xfId="0" applyNumberFormat="1" applyFont="1" applyFill="1" applyAlignment="1">
      <alignment horizontal="center" vertical="center"/>
    </xf>
    <xf numFmtId="198" fontId="243" fillId="48" borderId="18" xfId="0" applyNumberFormat="1" applyFont="1" applyFill="1">
      <alignment vertical="center"/>
    </xf>
    <xf numFmtId="3" fontId="182" fillId="48" borderId="18" xfId="0" applyNumberFormat="1" applyFont="1" applyFill="1">
      <alignment vertical="center"/>
    </xf>
    <xf numFmtId="0" fontId="240" fillId="29" borderId="18" xfId="0" applyFont="1" applyAlignment="1">
      <alignment horizontal="right" vertical="center"/>
    </xf>
    <xf numFmtId="0" fontId="182" fillId="48" borderId="18" xfId="0" applyFont="1" applyFill="1">
      <alignment vertical="center"/>
    </xf>
    <xf numFmtId="0" fontId="185" fillId="48" borderId="49" xfId="0" applyFont="1" applyFill="1" applyBorder="1">
      <alignment vertical="center"/>
    </xf>
    <xf numFmtId="198" fontId="243" fillId="48" borderId="49" xfId="0" applyNumberFormat="1" applyFont="1" applyFill="1" applyBorder="1" applyAlignment="1">
      <alignment horizontal="center" vertical="center"/>
    </xf>
    <xf numFmtId="198" fontId="243" fillId="48" borderId="49" xfId="0" applyNumberFormat="1" applyFont="1" applyFill="1" applyBorder="1">
      <alignment vertical="center"/>
    </xf>
    <xf numFmtId="3" fontId="185" fillId="48" borderId="49" xfId="0" applyNumberFormat="1" applyFont="1" applyFill="1" applyBorder="1">
      <alignment vertical="center"/>
    </xf>
    <xf numFmtId="0" fontId="144" fillId="29" borderId="18" xfId="0" applyFont="1">
      <alignment vertical="center"/>
    </xf>
    <xf numFmtId="0" fontId="145" fillId="29" borderId="18" xfId="0" applyFont="1">
      <alignment vertical="center"/>
    </xf>
    <xf numFmtId="0" fontId="244" fillId="29" borderId="32" xfId="0" applyFont="1" applyBorder="1" applyAlignment="1">
      <alignment horizontal="left" vertical="center" indent="1"/>
    </xf>
    <xf numFmtId="0" fontId="247" fillId="29" borderId="18" xfId="0" applyFont="1">
      <alignment vertical="center"/>
    </xf>
    <xf numFmtId="0" fontId="203" fillId="29" borderId="18" xfId="0" quotePrefix="1" applyFont="1" applyAlignment="1">
      <alignment horizontal="left" vertical="center" indent="1"/>
    </xf>
    <xf numFmtId="0" fontId="203" fillId="29" borderId="18" xfId="0" quotePrefix="1" applyFont="1" applyAlignment="1">
      <alignment horizontal="left" vertical="center" indent="2"/>
    </xf>
    <xf numFmtId="0" fontId="203" fillId="29" borderId="18" xfId="0" applyFont="1" applyAlignment="1">
      <alignment horizontal="left" vertical="center" indent="1"/>
    </xf>
    <xf numFmtId="198" fontId="207" fillId="29" borderId="18" xfId="0" applyNumberFormat="1" applyFont="1" applyAlignment="1">
      <alignment horizontal="center" vertical="center"/>
    </xf>
    <xf numFmtId="198" fontId="207" fillId="29" borderId="18" xfId="0" applyNumberFormat="1" applyFont="1">
      <alignment vertical="center"/>
    </xf>
    <xf numFmtId="0" fontId="207" fillId="29" borderId="18" xfId="0" quotePrefix="1" applyFont="1" applyAlignment="1">
      <alignment horizontal="left" vertical="center" indent="2"/>
    </xf>
    <xf numFmtId="0" fontId="207" fillId="29" borderId="18" xfId="0" quotePrefix="1" applyFont="1" applyAlignment="1">
      <alignment horizontal="left" indent="2"/>
    </xf>
    <xf numFmtId="0" fontId="111" fillId="29" borderId="18" xfId="0" applyAlignment="1">
      <alignment wrapText="1"/>
    </xf>
    <xf numFmtId="0" fontId="116" fillId="34" borderId="39" xfId="0" applyFont="1" applyFill="1" applyBorder="1" applyAlignment="1">
      <alignment horizontal="center" vertical="center"/>
    </xf>
    <xf numFmtId="0" fontId="192" fillId="34" borderId="39" xfId="0" applyFont="1" applyFill="1" applyBorder="1" applyAlignment="1">
      <alignment horizontal="center" vertical="center"/>
    </xf>
    <xf numFmtId="0" fontId="116" fillId="34" borderId="50" xfId="0" applyFont="1" applyFill="1" applyBorder="1" applyAlignment="1">
      <alignment horizontal="center" vertical="center"/>
    </xf>
    <xf numFmtId="0" fontId="116" fillId="34" borderId="46" xfId="0" applyFont="1" applyFill="1" applyBorder="1" applyAlignment="1">
      <alignment horizontal="center" vertical="center"/>
    </xf>
    <xf numFmtId="0" fontId="111" fillId="29" borderId="36" xfId="0" applyBorder="1" applyAlignment="1">
      <alignment horizontal="center" vertical="center"/>
    </xf>
    <xf numFmtId="0" fontId="120" fillId="29" borderId="36" xfId="0" applyFont="1" applyBorder="1" applyAlignment="1">
      <alignment horizontal="center" vertical="center"/>
    </xf>
    <xf numFmtId="3" fontId="111" fillId="29" borderId="51" xfId="0" applyNumberFormat="1" applyBorder="1" applyAlignment="1">
      <alignment horizontal="right" vertical="center"/>
    </xf>
    <xf numFmtId="0" fontId="118" fillId="29" borderId="51" xfId="0" applyFont="1" applyBorder="1" applyAlignment="1">
      <alignment horizontal="left" vertical="center" wrapText="1"/>
    </xf>
    <xf numFmtId="0" fontId="119" fillId="29" borderId="51" xfId="0" applyFont="1" applyBorder="1" applyAlignment="1">
      <alignment horizontal="center" vertical="center"/>
    </xf>
    <xf numFmtId="192" fontId="111" fillId="29" borderId="51" xfId="0" applyNumberFormat="1" applyBorder="1" applyAlignment="1">
      <alignment horizontal="right" vertical="center"/>
    </xf>
    <xf numFmtId="191" fontId="111" fillId="29" borderId="51" xfId="0" applyNumberFormat="1" applyBorder="1" applyAlignment="1">
      <alignment horizontal="right" vertical="center"/>
    </xf>
    <xf numFmtId="191" fontId="118" fillId="29" borderId="51" xfId="0" applyNumberFormat="1" applyFont="1" applyBorder="1" applyAlignment="1">
      <alignment horizontal="left" vertical="center" wrapText="1"/>
    </xf>
    <xf numFmtId="0" fontId="122" fillId="38" borderId="51" xfId="0" applyFont="1" applyFill="1" applyBorder="1" applyAlignment="1">
      <alignment horizontal="center" vertical="center"/>
    </xf>
    <xf numFmtId="3" fontId="122" fillId="38" borderId="51" xfId="0" applyNumberFormat="1" applyFont="1" applyFill="1" applyBorder="1" applyAlignment="1">
      <alignment horizontal="right" vertical="center"/>
    </xf>
    <xf numFmtId="0" fontId="122" fillId="38" borderId="51" xfId="0" applyFont="1" applyFill="1" applyBorder="1" applyAlignment="1">
      <alignment vertical="center" wrapText="1"/>
    </xf>
    <xf numFmtId="3" fontId="124" fillId="38" borderId="51" xfId="0" applyNumberFormat="1" applyFont="1" applyFill="1" applyBorder="1" applyAlignment="1">
      <alignment horizontal="right" vertical="center"/>
    </xf>
    <xf numFmtId="0" fontId="119" fillId="29" borderId="51" xfId="0" applyBorder="1" applyAlignment="1">
      <alignment horizontal="center" vertical="center"/>
    </xf>
    <xf numFmtId="3" fontId="249" fillId="29" borderId="51" xfId="0" applyNumberFormat="1" applyFont="1" applyBorder="1" applyAlignment="1">
      <alignment horizontal="right" vertical="center"/>
    </xf>
    <xf numFmtId="4" fontId="249" fillId="29" borderId="51" xfId="0" applyNumberFormat="1" applyFont="1" applyBorder="1" applyAlignment="1">
      <alignment horizontal="right" vertical="center"/>
    </xf>
    <xf numFmtId="191" fontId="249" fillId="29" borderId="51" xfId="0" applyNumberFormat="1" applyFont="1" applyBorder="1" applyAlignment="1">
      <alignment horizontal="right" vertical="center"/>
    </xf>
    <xf numFmtId="0" fontId="230" fillId="29" borderId="21" xfId="0" applyFont="1" applyBorder="1" applyAlignment="1">
      <alignment horizontal="right" vertical="center" indent="1"/>
    </xf>
    <xf numFmtId="0" fontId="181" fillId="29" borderId="18" xfId="0" applyFont="1" applyAlignment="1">
      <alignment horizontal="right"/>
    </xf>
    <xf numFmtId="0" fontId="250" fillId="29" borderId="18" xfId="0" applyFont="1">
      <alignment vertical="center"/>
    </xf>
    <xf numFmtId="192" fontId="111" fillId="29" borderId="33" xfId="0" applyNumberFormat="1" applyBorder="1" applyAlignment="1">
      <alignment horizontal="center" vertical="center"/>
    </xf>
    <xf numFmtId="192" fontId="111" fillId="29" borderId="34" xfId="0" applyNumberFormat="1" applyBorder="1" applyAlignment="1">
      <alignment horizontal="center" vertical="center"/>
    </xf>
    <xf numFmtId="3" fontId="111" fillId="29" borderId="33" xfId="0" applyNumberFormat="1" applyBorder="1" applyAlignment="1">
      <alignment horizontal="center" vertical="center"/>
    </xf>
    <xf numFmtId="3" fontId="111" fillId="29" borderId="34" xfId="0" applyNumberFormat="1" applyBorder="1" applyAlignment="1">
      <alignment horizontal="center" vertical="center"/>
    </xf>
    <xf numFmtId="192" fontId="111" fillId="29" borderId="18" xfId="0" applyNumberFormat="1" applyAlignment="1">
      <alignment horizontal="center" vertical="center"/>
    </xf>
    <xf numFmtId="0" fontId="111" fillId="29" borderId="55" xfId="0" applyBorder="1" applyAlignment="1">
      <alignment horizontal="right" vertical="center"/>
    </xf>
    <xf numFmtId="0" fontId="111" fillId="29" borderId="54" xfId="0" applyBorder="1">
      <alignment vertical="center"/>
    </xf>
    <xf numFmtId="0" fontId="111" fillId="29" borderId="55" xfId="0" applyBorder="1">
      <alignment vertical="center"/>
    </xf>
    <xf numFmtId="0" fontId="251" fillId="29" borderId="54" xfId="0" applyFont="1" applyBorder="1">
      <alignment vertical="center"/>
    </xf>
    <xf numFmtId="0" fontId="131" fillId="49" borderId="54" xfId="0" applyFont="1" applyFill="1" applyBorder="1">
      <alignment vertical="center"/>
    </xf>
    <xf numFmtId="0" fontId="131" fillId="49" borderId="18" xfId="0" applyFont="1" applyFill="1" applyAlignment="1">
      <alignment horizontal="center" vertical="center"/>
    </xf>
    <xf numFmtId="0" fontId="131" fillId="49" borderId="55" xfId="0" applyFont="1" applyFill="1" applyBorder="1" applyAlignment="1">
      <alignment horizontal="center" vertical="center"/>
    </xf>
    <xf numFmtId="0" fontId="183" fillId="50" borderId="54" xfId="0" applyFont="1" applyFill="1" applyBorder="1">
      <alignment vertical="center"/>
    </xf>
    <xf numFmtId="192" fontId="111" fillId="50" borderId="18" xfId="0" applyNumberFormat="1" applyFill="1" applyAlignment="1">
      <alignment horizontal="center" vertical="center"/>
    </xf>
    <xf numFmtId="192" fontId="111" fillId="50" borderId="55" xfId="0" applyNumberFormat="1" applyFill="1" applyBorder="1" applyAlignment="1">
      <alignment horizontal="center" vertical="center"/>
    </xf>
    <xf numFmtId="0" fontId="184" fillId="29" borderId="56" xfId="0" applyFont="1" applyBorder="1">
      <alignment vertical="center"/>
    </xf>
    <xf numFmtId="192" fontId="111" fillId="29" borderId="57" xfId="0" applyNumberFormat="1" applyBorder="1" applyAlignment="1">
      <alignment horizontal="center" vertical="center"/>
    </xf>
    <xf numFmtId="0" fontId="182" fillId="29" borderId="56" xfId="0" applyFont="1" applyBorder="1">
      <alignment vertical="center"/>
    </xf>
    <xf numFmtId="0" fontId="185" fillId="29" borderId="58" xfId="0" applyFont="1" applyBorder="1">
      <alignment vertical="center"/>
    </xf>
    <xf numFmtId="192" fontId="111" fillId="29" borderId="59" xfId="0" applyNumberFormat="1" applyBorder="1" applyAlignment="1">
      <alignment horizontal="center" vertical="center"/>
    </xf>
    <xf numFmtId="0" fontId="185" fillId="29" borderId="54" xfId="0" applyFont="1" applyBorder="1">
      <alignment vertical="center"/>
    </xf>
    <xf numFmtId="192" fontId="111" fillId="29" borderId="55" xfId="0" applyNumberFormat="1" applyBorder="1" applyAlignment="1">
      <alignment horizontal="center" vertical="center"/>
    </xf>
    <xf numFmtId="3" fontId="111" fillId="50" borderId="18" xfId="0" applyNumberFormat="1" applyFill="1" applyAlignment="1">
      <alignment horizontal="center" vertical="center"/>
    </xf>
    <xf numFmtId="3" fontId="111" fillId="50" borderId="55" xfId="0" applyNumberFormat="1" applyFill="1" applyBorder="1" applyAlignment="1">
      <alignment horizontal="center" vertical="center"/>
    </xf>
    <xf numFmtId="3" fontId="111" fillId="29" borderId="57" xfId="0" applyNumberFormat="1" applyBorder="1" applyAlignment="1">
      <alignment horizontal="center" vertical="center"/>
    </xf>
    <xf numFmtId="3" fontId="111" fillId="29" borderId="59" xfId="0" applyNumberFormat="1" applyBorder="1" applyAlignment="1">
      <alignment horizontal="center" vertical="center"/>
    </xf>
    <xf numFmtId="0" fontId="111" fillId="29" borderId="60" xfId="0" applyBorder="1">
      <alignment vertical="center"/>
    </xf>
    <xf numFmtId="0" fontId="111" fillId="29" borderId="61" xfId="0" applyBorder="1">
      <alignment vertical="center"/>
    </xf>
    <xf numFmtId="0" fontId="111" fillId="29" borderId="62" xfId="0" applyBorder="1">
      <alignment vertical="center"/>
    </xf>
    <xf numFmtId="0" fontId="183" fillId="29" borderId="18" xfId="0" applyFont="1">
      <alignment vertical="center"/>
    </xf>
    <xf numFmtId="0" fontId="218" fillId="29" borderId="18" xfId="0" applyFont="1">
      <alignment vertical="center"/>
    </xf>
    <xf numFmtId="0" fontId="183" fillId="29" borderId="18" xfId="0" applyFont="1" applyAlignment="1"/>
    <xf numFmtId="0" fontId="119" fillId="29" borderId="18" xfId="0">
      <alignment vertical="center"/>
    </xf>
    <xf numFmtId="0" fontId="178" fillId="64" borderId="18" xfId="0" applyFont="1" applyFill="1" applyAlignment="1">
      <alignment horizontal="left" vertical="center"/>
    </xf>
    <xf numFmtId="0" fontId="122" fillId="64" borderId="18" xfId="0" applyFont="1" applyFill="1" applyAlignment="1">
      <alignment horizontal="left" vertical="center"/>
    </xf>
    <xf numFmtId="0" fontId="122" fillId="64" borderId="18" xfId="0" applyFont="1" applyFill="1" applyAlignment="1">
      <alignment horizontal="left" vertical="center" indent="2"/>
    </xf>
    <xf numFmtId="0" fontId="218" fillId="52" borderId="18" xfId="0" applyFont="1" applyFill="1">
      <alignment vertical="center"/>
    </xf>
    <xf numFmtId="0" fontId="122" fillId="52" borderId="18" xfId="0" applyFont="1" applyFill="1">
      <alignment vertical="center"/>
    </xf>
    <xf numFmtId="0" fontId="165" fillId="52" borderId="18" xfId="0" applyFont="1" applyFill="1">
      <alignment vertical="center"/>
    </xf>
    <xf numFmtId="0" fontId="142" fillId="52" borderId="18" xfId="0" applyFont="1" applyFill="1" applyAlignment="1">
      <alignment horizontal="left" vertical="center" indent="1"/>
    </xf>
    <xf numFmtId="0" fontId="142" fillId="52" borderId="63" xfId="0" applyFont="1" applyFill="1" applyBorder="1" applyAlignment="1">
      <alignment horizontal="left" vertical="center" indent="1"/>
    </xf>
    <xf numFmtId="0" fontId="142" fillId="52" borderId="61" xfId="0" applyFont="1" applyFill="1" applyBorder="1" applyAlignment="1">
      <alignment horizontal="left" vertical="center" indent="1"/>
    </xf>
    <xf numFmtId="0" fontId="118" fillId="64" borderId="18" xfId="0" quotePrefix="1" applyFont="1" applyFill="1" applyAlignment="1">
      <alignment horizontal="left" vertical="center" indent="3"/>
    </xf>
    <xf numFmtId="0" fontId="118" fillId="29" borderId="18" xfId="0" quotePrefix="1" applyFont="1" applyAlignment="1">
      <alignment horizontal="left" vertical="center" indent="3"/>
    </xf>
    <xf numFmtId="0" fontId="111" fillId="29" borderId="18" xfId="0" applyAlignment="1">
      <alignment horizontal="left" vertical="center" indent="3"/>
    </xf>
    <xf numFmtId="0" fontId="257" fillId="52" borderId="18" xfId="0" applyFont="1" applyFill="1">
      <alignment vertical="center"/>
    </xf>
    <xf numFmtId="0" fontId="218" fillId="29" borderId="18" xfId="0" applyFont="1" applyAlignment="1">
      <alignment horizontal="left" vertical="center" indent="1"/>
    </xf>
    <xf numFmtId="0" fontId="194" fillId="29" borderId="18" xfId="0" applyFont="1" applyAlignment="1">
      <alignment horizontal="left" vertical="center" indent="1"/>
    </xf>
    <xf numFmtId="0" fontId="258" fillId="52" borderId="61" xfId="0" applyFont="1" applyFill="1" applyBorder="1" applyAlignment="1">
      <alignment horizontal="right" vertical="center"/>
    </xf>
    <xf numFmtId="0" fontId="258" fillId="52" borderId="64" xfId="0" applyFont="1" applyFill="1" applyBorder="1" applyAlignment="1">
      <alignment horizontal="right" vertical="center"/>
    </xf>
    <xf numFmtId="0" fontId="258" fillId="52" borderId="64" xfId="0" applyFont="1" applyFill="1" applyBorder="1" applyAlignment="1">
      <alignment horizontal="center" vertical="center"/>
    </xf>
    <xf numFmtId="0" fontId="258" fillId="52" borderId="61" xfId="0" applyFont="1" applyFill="1" applyBorder="1" applyAlignment="1">
      <alignment horizontal="center" vertical="center"/>
    </xf>
    <xf numFmtId="0" fontId="139" fillId="52" borderId="61" xfId="0" applyFont="1" applyFill="1" applyBorder="1" applyAlignment="1">
      <alignment horizontal="center" vertical="center"/>
    </xf>
    <xf numFmtId="0" fontId="258" fillId="52" borderId="65" xfId="0" applyFont="1" applyFill="1" applyBorder="1" applyAlignment="1">
      <alignment horizontal="center" vertical="center"/>
    </xf>
    <xf numFmtId="0" fontId="258" fillId="52" borderId="66" xfId="0" applyFont="1" applyFill="1" applyBorder="1" applyAlignment="1">
      <alignment horizontal="center" vertical="center"/>
    </xf>
    <xf numFmtId="0" fontId="258" fillId="52" borderId="67" xfId="0" applyFont="1" applyFill="1" applyBorder="1" applyAlignment="1">
      <alignment horizontal="center" vertical="center"/>
    </xf>
    <xf numFmtId="0" fontId="258" fillId="65" borderId="64" xfId="0" applyFont="1" applyFill="1" applyBorder="1" applyAlignment="1">
      <alignment horizontal="right" vertical="center"/>
    </xf>
    <xf numFmtId="0" fontId="258" fillId="65" borderId="66" xfId="0" applyFont="1" applyFill="1" applyBorder="1" applyAlignment="1">
      <alignment horizontal="left" vertical="center"/>
    </xf>
    <xf numFmtId="0" fontId="258" fillId="65" borderId="64" xfId="0" applyFont="1" applyFill="1" applyBorder="1" applyAlignment="1">
      <alignment horizontal="left" vertical="center"/>
    </xf>
    <xf numFmtId="0" fontId="139" fillId="65" borderId="64" xfId="0" applyFont="1" applyFill="1" applyBorder="1" applyAlignment="1">
      <alignment horizontal="left" vertical="center"/>
    </xf>
    <xf numFmtId="0" fontId="258" fillId="65" borderId="63" xfId="0" applyFont="1" applyFill="1" applyBorder="1" applyAlignment="1">
      <alignment horizontal="right" vertical="center"/>
    </xf>
    <xf numFmtId="0" fontId="258" fillId="65" borderId="69" xfId="0" applyFont="1" applyFill="1" applyBorder="1" applyAlignment="1">
      <alignment horizontal="center" vertical="center"/>
    </xf>
    <xf numFmtId="0" fontId="258" fillId="65" borderId="63" xfId="0" applyFont="1" applyFill="1" applyBorder="1" applyAlignment="1">
      <alignment horizontal="center" vertical="center"/>
    </xf>
    <xf numFmtId="0" fontId="258" fillId="65" borderId="68" xfId="0" applyFont="1" applyFill="1" applyBorder="1" applyAlignment="1">
      <alignment horizontal="center" vertical="center"/>
    </xf>
    <xf numFmtId="0" fontId="118" fillId="52" borderId="18" xfId="0" applyFont="1" applyFill="1" applyAlignment="1">
      <alignment horizontal="center" vertical="center"/>
    </xf>
    <xf numFmtId="0" fontId="122" fillId="65" borderId="64" xfId="0" applyFont="1" applyFill="1" applyBorder="1" applyAlignment="1">
      <alignment horizontal="center" vertical="center"/>
    </xf>
    <xf numFmtId="0" fontId="118" fillId="65" borderId="64" xfId="0" applyFont="1" applyFill="1" applyBorder="1" applyAlignment="1">
      <alignment horizontal="center" vertical="center"/>
    </xf>
    <xf numFmtId="0" fontId="118" fillId="65" borderId="65" xfId="0" applyFont="1" applyFill="1" applyBorder="1" applyAlignment="1">
      <alignment horizontal="center" vertical="center"/>
    </xf>
    <xf numFmtId="0" fontId="142" fillId="52" borderId="68" xfId="0" applyFont="1" applyFill="1" applyBorder="1">
      <alignment vertical="center"/>
    </xf>
    <xf numFmtId="0" fontId="142" fillId="52" borderId="54" xfId="0" applyFont="1" applyFill="1" applyBorder="1">
      <alignment vertical="center"/>
    </xf>
    <xf numFmtId="0" fontId="142" fillId="52" borderId="60" xfId="0" applyFont="1" applyFill="1" applyBorder="1">
      <alignment vertical="center"/>
    </xf>
    <xf numFmtId="0" fontId="118" fillId="65" borderId="66" xfId="0" applyFont="1" applyFill="1" applyBorder="1" applyAlignment="1">
      <alignment horizontal="center" vertical="center"/>
    </xf>
    <xf numFmtId="0" fontId="142" fillId="52" borderId="69" xfId="0" applyFont="1" applyFill="1" applyBorder="1">
      <alignment vertical="center"/>
    </xf>
    <xf numFmtId="0" fontId="142" fillId="52" borderId="70" xfId="0" applyFont="1" applyFill="1" applyBorder="1">
      <alignment vertical="center"/>
    </xf>
    <xf numFmtId="0" fontId="142" fillId="52" borderId="67" xfId="0" applyFont="1" applyFill="1" applyBorder="1">
      <alignment vertical="center"/>
    </xf>
    <xf numFmtId="0" fontId="142" fillId="52" borderId="63" xfId="0" applyFont="1" applyFill="1" applyBorder="1" applyAlignment="1">
      <alignment horizontal="center" vertical="center"/>
    </xf>
    <xf numFmtId="0" fontId="142" fillId="52" borderId="18" xfId="0" applyFont="1" applyFill="1" applyAlignment="1">
      <alignment horizontal="center" vertical="center"/>
    </xf>
    <xf numFmtId="10" fontId="139" fillId="52" borderId="18" xfId="0" applyNumberFormat="1" applyFont="1" applyFill="1" applyAlignment="1">
      <alignment horizontal="center" vertical="center"/>
    </xf>
    <xf numFmtId="0" fontId="142" fillId="52" borderId="61" xfId="0" applyFont="1" applyFill="1" applyBorder="1" applyAlignment="1">
      <alignment horizontal="center" vertical="center"/>
    </xf>
    <xf numFmtId="9" fontId="139" fillId="52" borderId="69" xfId="0" applyNumberFormat="1" applyFont="1" applyFill="1" applyBorder="1" applyAlignment="1">
      <alignment horizontal="center" vertical="center"/>
    </xf>
    <xf numFmtId="0" fontId="142" fillId="52" borderId="70" xfId="0" applyFont="1" applyFill="1" applyBorder="1" applyAlignment="1">
      <alignment horizontal="center" vertical="center"/>
    </xf>
    <xf numFmtId="10" fontId="139" fillId="52" borderId="70" xfId="0" applyNumberFormat="1" applyFont="1" applyFill="1" applyBorder="1" applyAlignment="1">
      <alignment horizontal="center" vertical="center"/>
    </xf>
    <xf numFmtId="0" fontId="142" fillId="52" borderId="67" xfId="0" applyFont="1" applyFill="1" applyBorder="1" applyAlignment="1">
      <alignment horizontal="center" vertical="center"/>
    </xf>
    <xf numFmtId="9" fontId="139" fillId="52" borderId="63" xfId="0" applyNumberFormat="1" applyFont="1" applyFill="1" applyBorder="1" applyAlignment="1">
      <alignment horizontal="center" vertical="center"/>
    </xf>
    <xf numFmtId="0" fontId="111" fillId="52" borderId="61" xfId="0" applyFill="1" applyBorder="1">
      <alignment vertical="center"/>
    </xf>
    <xf numFmtId="205" fontId="139" fillId="52" borderId="18" xfId="0" applyNumberFormat="1" applyFont="1" applyFill="1">
      <alignment vertical="center"/>
    </xf>
    <xf numFmtId="205" fontId="139" fillId="52" borderId="61" xfId="0" applyNumberFormat="1" applyFont="1" applyFill="1" applyBorder="1">
      <alignment vertical="center"/>
    </xf>
    <xf numFmtId="0" fontId="137" fillId="52" borderId="63" xfId="0" applyFont="1" applyFill="1" applyBorder="1" applyAlignment="1">
      <alignment horizontal="left" vertical="center" indent="1"/>
    </xf>
    <xf numFmtId="205" fontId="137" fillId="52" borderId="63" xfId="0" applyNumberFormat="1" applyFont="1" applyFill="1" applyBorder="1">
      <alignment vertical="center"/>
    </xf>
    <xf numFmtId="0" fontId="122" fillId="65" borderId="64" xfId="0" applyFont="1" applyFill="1" applyBorder="1">
      <alignment vertical="center"/>
    </xf>
    <xf numFmtId="205" fontId="137" fillId="52" borderId="68" xfId="0" applyNumberFormat="1" applyFont="1" applyFill="1" applyBorder="1">
      <alignment vertical="center"/>
    </xf>
    <xf numFmtId="205" fontId="139" fillId="52" borderId="54" xfId="0" applyNumberFormat="1" applyFont="1" applyFill="1" applyBorder="1">
      <alignment vertical="center"/>
    </xf>
    <xf numFmtId="205" fontId="139" fillId="52" borderId="60" xfId="0" applyNumberFormat="1" applyFont="1" applyFill="1" applyBorder="1">
      <alignment vertical="center"/>
    </xf>
    <xf numFmtId="205" fontId="137" fillId="52" borderId="69" xfId="0" applyNumberFormat="1" applyFont="1" applyFill="1" applyBorder="1">
      <alignment vertical="center"/>
    </xf>
    <xf numFmtId="205" fontId="139" fillId="52" borderId="70" xfId="0" applyNumberFormat="1" applyFont="1" applyFill="1" applyBorder="1">
      <alignment vertical="center"/>
    </xf>
    <xf numFmtId="205" fontId="139" fillId="52" borderId="67" xfId="0" applyNumberFormat="1" applyFont="1" applyFill="1" applyBorder="1">
      <alignment vertical="center"/>
    </xf>
    <xf numFmtId="0" fontId="118" fillId="65" borderId="65" xfId="0" applyFont="1" applyFill="1" applyBorder="1" applyAlignment="1">
      <alignment horizontal="left" vertical="center"/>
    </xf>
    <xf numFmtId="206" fontId="111" fillId="29" borderId="18" xfId="0" applyNumberFormat="1">
      <alignment vertical="center"/>
    </xf>
    <xf numFmtId="191" fontId="259" fillId="29" borderId="18" xfId="0" applyNumberFormat="1" applyFont="1"/>
    <xf numFmtId="191" fontId="259" fillId="29" borderId="21" xfId="0" applyNumberFormat="1" applyFont="1" applyBorder="1"/>
    <xf numFmtId="0" fontId="153" fillId="35" borderId="31" xfId="0" applyFont="1" applyFill="1" applyBorder="1" applyAlignment="1">
      <alignment horizontal="center" wrapText="1"/>
    </xf>
    <xf numFmtId="0" fontId="131" fillId="35" borderId="31" xfId="0" applyFont="1" applyFill="1" applyBorder="1" applyAlignment="1">
      <alignment horizontal="center" wrapText="1"/>
    </xf>
    <xf numFmtId="0" fontId="118" fillId="29" borderId="18" xfId="0" applyFont="1" applyAlignment="1">
      <alignment vertical="center" wrapText="1"/>
    </xf>
    <xf numFmtId="0" fontId="178" fillId="64" borderId="18" xfId="0" applyFont="1" applyFill="1" applyAlignment="1">
      <alignment horizontal="left" vertical="center" indent="2"/>
    </xf>
    <xf numFmtId="0" fontId="122" fillId="64" borderId="18" xfId="0" applyFont="1" applyFill="1" applyAlignment="1">
      <alignment horizontal="left" vertical="center" indent="2"/>
    </xf>
    <xf numFmtId="0" fontId="116" fillId="34" borderId="52" xfId="0" applyFont="1" applyFill="1" applyBorder="1" applyAlignment="1">
      <alignment horizontal="center" vertical="center"/>
    </xf>
    <xf numFmtId="0" fontId="116" fillId="34" borderId="53" xfId="0" applyFont="1" applyFill="1" applyBorder="1" applyAlignment="1">
      <alignment horizontal="center" vertical="center"/>
    </xf>
    <xf numFmtId="0" fontId="187" fillId="29" borderId="35" xfId="0" applyFont="1" applyBorder="1" applyAlignment="1">
      <alignment horizontal="center" vertical="center"/>
    </xf>
    <xf numFmtId="0" fontId="116" fillId="35" borderId="19" xfId="0" applyFont="1" applyFill="1" applyBorder="1" applyAlignment="1">
      <alignment horizontal="center" vertical="center"/>
    </xf>
    <xf numFmtId="0" fontId="116" fillId="36" borderId="19" xfId="0" applyFont="1" applyFill="1" applyBorder="1" applyAlignment="1">
      <alignment horizontal="center" vertical="center"/>
    </xf>
    <xf numFmtId="0" fontId="116" fillId="37" borderId="19" xfId="0" applyFont="1" applyFill="1" applyBorder="1" applyAlignment="1">
      <alignment horizontal="center" vertical="center"/>
    </xf>
    <xf numFmtId="0" fontId="116" fillId="63" borderId="19" xfId="0" applyFont="1" applyFill="1" applyBorder="1" applyAlignment="1">
      <alignment horizontal="center" vertical="center"/>
    </xf>
    <xf numFmtId="0" fontId="207" fillId="29" borderId="18" xfId="0" applyFont="1" applyAlignment="1">
      <alignment horizontal="center"/>
    </xf>
    <xf numFmtId="0" fontId="207" fillId="29" borderId="35" xfId="0" applyFont="1" applyBorder="1" applyAlignment="1">
      <alignment horizontal="center"/>
    </xf>
    <xf numFmtId="0" fontId="207" fillId="55" borderId="42" xfId="0" applyFont="1" applyFill="1" applyBorder="1" applyAlignment="1">
      <alignment horizontal="center"/>
    </xf>
    <xf numFmtId="0" fontId="207" fillId="31" borderId="18" xfId="0" applyFont="1" applyFill="1" applyAlignment="1">
      <alignment horizontal="left" vertical="center"/>
    </xf>
    <xf numFmtId="0" fontId="227" fillId="29" borderId="36" xfId="0" applyFont="1" applyBorder="1" applyAlignment="1">
      <alignment horizontal="left" vertical="center"/>
    </xf>
    <xf numFmtId="0" fontId="227" fillId="29" borderId="42" xfId="0" applyFont="1" applyBorder="1" applyAlignment="1">
      <alignment horizontal="left" vertical="center"/>
    </xf>
    <xf numFmtId="0" fontId="207" fillId="55" borderId="37" xfId="0" applyFont="1" applyFill="1" applyBorder="1" applyAlignment="1">
      <alignment horizontal="center"/>
    </xf>
    <xf numFmtId="0" fontId="207" fillId="29" borderId="38" xfId="0" applyFont="1" applyBorder="1" applyAlignment="1">
      <alignment horizontal="center"/>
    </xf>
    <xf numFmtId="0" fontId="207" fillId="29" borderId="46" xfId="0" applyFont="1" applyBorder="1" applyAlignment="1">
      <alignment horizontal="center"/>
    </xf>
    <xf numFmtId="0" fontId="207" fillId="29" borderId="43" xfId="0" applyFont="1" applyBorder="1" applyAlignment="1">
      <alignment horizontal="center"/>
    </xf>
    <xf numFmtId="0" fontId="207" fillId="29" borderId="42" xfId="0" applyFont="1" applyBorder="1" applyAlignment="1">
      <alignment horizontal="center"/>
    </xf>
    <xf numFmtId="0" fontId="180" fillId="52" borderId="18" xfId="0" applyFont="1" applyFill="1" applyAlignment="1">
      <alignment vertical="center"/>
    </xf>
    <xf numFmtId="0" fontId="179" fillId="52" borderId="18" xfId="0" applyFont="1" applyFill="1" applyAlignment="1">
      <alignment vertical="center"/>
    </xf>
    <xf numFmtId="0" fontId="254" fillId="52" borderId="18" xfId="0" applyFont="1" applyFill="1" applyAlignment="1">
      <alignment vertical="center"/>
    </xf>
    <xf numFmtId="0" fontId="255" fillId="52" borderId="18" xfId="0" applyFont="1" applyFill="1" applyAlignment="1">
      <alignment vertical="center"/>
    </xf>
    <xf numFmtId="0" fontId="150" fillId="29" borderId="18" xfId="0" applyFont="1">
      <alignment vertical="center"/>
    </xf>
    <xf numFmtId="0" fontId="150" fillId="42" borderId="48" xfId="0" applyFont="1" applyFill="1" applyBorder="1" applyAlignment="1">
      <alignment horizontal="left" vertical="center" indent="1"/>
    </xf>
    <xf numFmtId="0" fontId="150" fillId="31" borderId="18" xfId="0" applyFont="1" applyFill="1">
      <alignment vertical="center"/>
    </xf>
    <xf numFmtId="0" fontId="152" fillId="29" borderId="32" xfId="0" applyFont="1" applyBorder="1" applyAlignment="1"/>
    <xf numFmtId="0" fontId="152" fillId="29" borderId="18" xfId="0" applyFont="1">
      <alignment vertical="center"/>
    </xf>
    <xf numFmtId="0" fontId="152" fillId="29" borderId="18" xfId="0" applyFont="1" applyAlignment="1"/>
    <xf numFmtId="0" fontId="152" fillId="29" borderId="18" xfId="0" applyFont="1" applyAlignment="1">
      <alignment horizontal="left" vertical="center"/>
    </xf>
    <xf numFmtId="0" fontId="152" fillId="29" borderId="31" xfId="0" applyFont="1" applyBorder="1" applyAlignment="1">
      <alignment horizontal="center"/>
    </xf>
    <xf numFmtId="191" fontId="152" fillId="29" borderId="31" xfId="0" applyNumberFormat="1" applyFont="1" applyBorder="1" applyAlignment="1">
      <alignment horizontal="right"/>
    </xf>
    <xf numFmtId="0" fontId="152" fillId="29" borderId="18" xfId="0" applyFont="1" applyAlignment="1">
      <alignment horizontal="center" vertical="center"/>
    </xf>
    <xf numFmtId="0" fontId="152" fillId="29" borderId="31" xfId="0" applyFont="1" applyBorder="1" applyAlignment="1"/>
    <xf numFmtId="0" fontId="152" fillId="29" borderId="31" xfId="0" applyFont="1" applyBorder="1">
      <alignment vertical="center"/>
    </xf>
    <xf numFmtId="0" fontId="152" fillId="29" borderId="31" xfId="0" applyFont="1" applyBorder="1" applyAlignment="1">
      <alignment horizontal="center" vertical="center"/>
    </xf>
    <xf numFmtId="191" fontId="152" fillId="29" borderId="31" xfId="0" applyNumberFormat="1" applyFont="1" applyBorder="1">
      <alignment vertical="center"/>
    </xf>
    <xf numFmtId="191" fontId="152" fillId="29" borderId="18" xfId="0" applyNumberFormat="1" applyFont="1">
      <alignment vertical="center"/>
    </xf>
    <xf numFmtId="0" fontId="152" fillId="29" borderId="18" xfId="0" applyFont="1" applyAlignment="1">
      <alignment wrapText="1"/>
    </xf>
    <xf numFmtId="194" fontId="152" fillId="29" borderId="31" xfId="0" applyNumberFormat="1" applyFont="1" applyBorder="1">
      <alignment vertical="center"/>
    </xf>
    <xf numFmtId="0" fontId="131" fillId="46" borderId="18" xfId="0" applyFont="1" applyFill="1" applyAlignment="1">
      <alignment horizontal="center" vertical="center"/>
    </xf>
  </cellXfs>
  <cellStyles count="11">
    <cellStyle name="표준" xfId="0" builtinId="0"/>
    <cellStyle name="쉼표 [0]" xfId="1" builtinId="6"/>
    <cellStyle name="백분율" xfId="2" builtinId="5"/>
    <cellStyle name="백분율 2" xfId="3"/>
    <cellStyle name="쉼표 [0] 2" xfId="4"/>
    <cellStyle name="표준 2" xfId="5"/>
    <cellStyle name="표준 3" xfId="6"/>
    <cellStyle name="표준 4" xfId="7"/>
    <cellStyle name="하이퍼링크" xfId="8" builtinId="8"/>
    <cellStyle name="쉼표 [0] 3" xfId="9"/>
    <cellStyle name="백분율 3" xfId="10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6100"/>
      <rgbColor rgb="FF787878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B4ED"/>
      <rgbColor rgb="FFDDEBF7"/>
      <rgbColor rgb="FFE2EFDA"/>
      <rgbColor rgb="FFF2F2F2"/>
      <rgbColor rgb="FF99CCFF"/>
      <rgbColor rgb="FFFF99CC"/>
      <rgbColor rgb="FFCC99FF"/>
      <rgbColor rgb="FFFFCC99"/>
      <rgbColor rgb="FF1F4E78"/>
      <rgbColor rgb="FF33CCCC"/>
      <rgbColor rgb="FF6BB745"/>
      <rgbColor rgb="FFFFCC00"/>
      <rgbColor rgb="FFFF9900"/>
      <rgbColor rgb="FFFF6600"/>
      <rgbColor rgb="FF666666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근거_민감도!$A$41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8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근거_민감도!$B$40:$J$40</c:f>
            </c:strRef>
          </c:cat>
          <c:val>
            <c:numRef>
              <c:f>근거_민감도!$B$41:$J$41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NSA MS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근거_민감도!$A$44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근거_민감도!$B$43:$D$43</c:f>
            </c:strRef>
          </c:cat>
          <c:val>
            <c:numRef>
              <c:f>근거_민감도!$B$44:$D$44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&#44540;&#44144;_&#47588;&#52636;!A1"/><Relationship Id="rId3" Type="http://schemas.openxmlformats.org/officeDocument/2006/relationships/hyperlink" Target="#'FCST FLOW'!A1"/><Relationship Id="rId7" Type="http://schemas.openxmlformats.org/officeDocument/2006/relationships/hyperlink" Target="#'&#44540;&#44144;_NSA&#49688;&#47049;(IQVIA&#44592;&#51456;)'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'&#44540;&#44144;_Ramosetron &#49884;&#51109; &#49688;&#47049;'!A1"/><Relationship Id="rId11" Type="http://schemas.openxmlformats.org/officeDocument/2006/relationships/hyperlink" Target="#&#50896;&#51088;&#47308;_&#48516;&#44592;&#49892;&#52769;!A1"/><Relationship Id="rId5" Type="http://schemas.openxmlformats.org/officeDocument/2006/relationships/hyperlink" Target="#'&#44540;&#44144;_&#51333;&#48324;&#51204;&#49888;&#47560;&#52712;&#54872;&#51088;&#49688;'!A1"/><Relationship Id="rId10" Type="http://schemas.openxmlformats.org/officeDocument/2006/relationships/hyperlink" Target="#&#50896;&#48376;_NSA_&#50672;&#44036;&#50696;&#52769;!A1"/><Relationship Id="rId4" Type="http://schemas.openxmlformats.org/officeDocument/2006/relationships/hyperlink" Target="#&#44540;&#44144;_&#51204;&#49888;&#47560;&#52712;&#54872;&#51088;&#49688;!A1"/><Relationship Id="rId9" Type="http://schemas.openxmlformats.org/officeDocument/2006/relationships/hyperlink" Target="#&#44540;&#44144;_&#48124;&#44048;&#46020;!A1"/><Relationship Id="rId12" Type="http://schemas.openxmlformats.org/officeDocument/2006/relationships/hyperlink" Target="#CALC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NSA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NSA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전신마취환자수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종별 전신마취환자수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Ramosetron 시장 수량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NSA 수량 · MS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매출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민감도 분석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27</xdr:row>
      <xdr:rowOff>54610</xdr:rowOff>
    </xdr:from>
    <xdr:to>
      <xdr:col>1</xdr:col>
      <xdr:colOff>772160</xdr:colOff>
      <xdr:row>28</xdr:row>
      <xdr:rowOff>112395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27</xdr:row>
      <xdr:rowOff>16510</xdr:rowOff>
    </xdr:from>
    <xdr:to>
      <xdr:col>6</xdr:col>
      <xdr:colOff>772160</xdr:colOff>
      <xdr:row>28</xdr:row>
      <xdr:rowOff>163195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연간예측 탑다운 검증</a:t>
          </a:r>
        </a:p>
      </xdr:txBody>
    </xdr:sp>
    <xdr:clientData/>
  </xdr:twoCellAnchor>
  <xdr:twoCellAnchor>
    <xdr:from>
      <xdr:col>1</xdr:col>
      <xdr:colOff>607060</xdr:colOff>
      <xdr:row>30</xdr:row>
      <xdr:rowOff>63500</xdr:rowOff>
    </xdr:from>
    <xdr:to>
      <xdr:col>5</xdr:col>
      <xdr:colOff>850900</xdr:colOff>
      <xdr:row>31</xdr:row>
      <xdr:rowOff>31115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31</xdr:row>
      <xdr:rowOff>146050</xdr:rowOff>
    </xdr:from>
    <xdr:to>
      <xdr:col>1</xdr:col>
      <xdr:colOff>772160</xdr:colOff>
      <xdr:row>32</xdr:row>
      <xdr:rowOff>90170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31</xdr:row>
      <xdr:rowOff>107950</xdr:rowOff>
    </xdr:from>
    <xdr:to>
      <xdr:col>6</xdr:col>
      <xdr:colOff>772160</xdr:colOff>
      <xdr:row>32</xdr:row>
      <xdr:rowOff>140970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원자료</a:t>
          </a:r>
          <a:r>
            <a:rPr lang="en-US" altLang="ko-KR" sz="1150">
              <a:solidFill>
                <a:srgbClr val="333333"/>
              </a:solidFill>
            </a:rPr>
            <a:t>_분기실측  (</a:t>
          </a:r>
          <a:r>
            <a:rPr lang="ko-KR" altLang="en-US" sz="1150">
              <a:solidFill>
                <a:srgbClr val="333333"/>
              </a:solidFill>
            </a:rPr>
            <a:t>분기 실측 입력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32</xdr:row>
      <xdr:rowOff>179070</xdr:rowOff>
    </xdr:from>
    <xdr:to>
      <xdr:col>8</xdr:col>
      <xdr:colOff>859790</xdr:colOff>
      <xdr:row>33</xdr:row>
      <xdr:rowOff>154940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매분기 </a:t>
          </a:r>
          <a:r>
            <a:rPr lang="en-US" altLang="ko-KR" sz="900">
              <a:solidFill>
                <a:srgbClr val="A0A0A8"/>
              </a:solidFill>
            </a:rPr>
            <a:t>IQVIA·HIRA·SS-Chart </a:t>
          </a:r>
          <a:r>
            <a:rPr lang="ko-KR" altLang="en-US" sz="900">
              <a:solidFill>
                <a:srgbClr val="A0A0A8"/>
              </a:solidFill>
            </a:rPr>
            <a:t>실측을 원자료</a:t>
          </a:r>
          <a:r>
            <a:rPr lang="en-US" altLang="ko-KR" sz="900">
              <a:solidFill>
                <a:srgbClr val="A0A0A8"/>
              </a:solidFill>
            </a:rPr>
            <a:t>_분기실측</a:t>
          </a:r>
          <a:r>
            <a:rPr lang="ko-KR" altLang="en-US" sz="900">
              <a:solidFill>
                <a:srgbClr val="A0A0A8"/>
              </a:solidFill>
            </a:rPr>
            <a:t>에 입력하면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  <xdr:twoCellAnchor>
    <xdr:from>
      <xdr:col>1</xdr:col>
      <xdr:colOff>607060</xdr:colOff>
      <xdr:row>25</xdr:row>
      <xdr:rowOff>186690</xdr:rowOff>
    </xdr:from>
    <xdr:to>
      <xdr:col>1</xdr:col>
      <xdr:colOff>772160</xdr:colOff>
      <xdr:row>26</xdr:row>
      <xdr:rowOff>46990</xdr:rowOff>
    </xdr:to>
    <xdr:sp macro="" textlink="">
      <xdr:nvSpPr>
        <xdr:cNvPr id="95" name="타원 34_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147955</xdr:rowOff>
    </xdr:from>
    <xdr:to>
      <xdr:col>6</xdr:col>
      <xdr:colOff>772160</xdr:colOff>
      <xdr:row>26</xdr:row>
      <xdr:rowOff>98425</xdr:rowOff>
    </xdr:to>
    <xdr:sp macro="" textlink="">
      <xdr:nvSpPr>
        <xdr:cNvPr id="96" name="직사각형 35_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7  CALC (산출 엔진)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563" customFormat="1" ht="23.45" customHeight="1">
      <c r="B2" s="928" t="inlineStr">
        <is>
          <t xml:space="preserve"> </t>
          <phoneticPr fontId="64" type="noConversion"/>
        </is>
      </c>
      <c r="C2" s="929"/>
      <c r="D2" s="929"/>
      <c r="E2" s="929"/>
      <c r="F2" s="929"/>
      <c r="G2" s="929"/>
    </row>
    <row r="3" spans="2:16" ht="30" customHeight="1">
      <c r="B3" s="930" t="inlineStr">
        <is>
          <t xml:space="preserve">NSA SALES FORECAST</t>
        </is>
      </c>
      <c r="C3" s="931"/>
      <c r="D3" s="931"/>
      <c r="E3" s="931"/>
      <c r="F3" s="931"/>
      <c r="G3" s="931"/>
    </row>
    <row r="4" spans="2:16" ht="25.9" customHeight="1">
      <c r="G4" s="810"/>
      <c r="P4">
        <v>2026</v>
      </c>
    </row>
    <row r="5" spans="2:16" ht="7.9" customHeight="1">
      <c r="B5" s="811"/>
      <c r="G5" s="812"/>
    </row>
    <row r="6" spans="2:16" ht="19.899999999999999" customHeight="1">
      <c r="B6" s="813" t="inlineStr">
        <is>
          <t xml:space="preserve">1. 매출수량 (백만 A)</t>
        </is>
      </c>
      <c r="G6" s="812"/>
    </row>
    <row r="7" spans="2:16" ht="15" customHeight="1">
      <c r="B7" s="811"/>
      <c r="G7" s="812"/>
    </row>
    <row r="8" spans="2:16" ht="15" customHeight="1">
      <c r="B8" s="811"/>
      <c r="G8" s="812"/>
    </row>
    <row r="9" spans="2:16" ht="15" customHeight="1">
      <c r="B9" s="811"/>
      <c r="G9" s="812"/>
    </row>
    <row r="10" spans="2:16" ht="15" customHeight="1">
      <c r="B10" s="811"/>
      <c r="G10" s="812"/>
    </row>
    <row r="11" spans="2:16" ht="15" customHeight="1">
      <c r="B11" s="811"/>
      <c r="G11" s="812"/>
    </row>
    <row r="12" spans="2:16" ht="15" customHeight="1">
      <c r="B12" s="811"/>
      <c r="G12" s="812"/>
    </row>
    <row r="13" spans="2:16" ht="15" customHeight="1">
      <c r="B13" s="811"/>
      <c r="G13" s="812"/>
    </row>
    <row r="14" spans="2:16" ht="15" customHeight="1">
      <c r="B14" s="811"/>
      <c r="G14" s="812"/>
    </row>
    <row r="15" spans="2:16" ht="15" customHeight="1">
      <c r="B15" s="811"/>
      <c r="G15" s="812"/>
    </row>
    <row r="16" spans="2:16" ht="15" customHeight="1">
      <c r="B16" s="811"/>
      <c r="G16" s="812"/>
    </row>
    <row r="17" spans="2:7" ht="15" customHeight="1">
      <c r="B17" s="811"/>
      <c r="G17" s="812"/>
    </row>
    <row r="18" spans="2:7" ht="15" customHeight="1">
      <c r="B18" s="811"/>
      <c r="G18" s="812"/>
    </row>
    <row r="19" spans="2:7" ht="15" customHeight="1">
      <c r="B19" s="811"/>
      <c r="G19" s="812"/>
    </row>
    <row r="20" spans="2:7" ht="2.4500000000000002" customHeight="1">
      <c r="B20" s="811"/>
      <c r="G20" s="812"/>
    </row>
    <row r="21" spans="2:7" ht="19.899999999999999" customHeight="1">
      <c r="B21" s="814" t="inlineStr">
        <is>
          <t>구분</t>
        </is>
      </c>
      <c r="C21" s="815" t="inlineStr">
        <is>
          <t>FY2026</t>
        </is>
      </c>
      <c r="D21" s="815" t="inlineStr">
        <is>
          <t>FY2027</t>
        </is>
      </c>
      <c r="E21" s="815" t="inlineStr">
        <is>
          <t>FY2028</t>
        </is>
      </c>
      <c r="F21" s="815" t="inlineStr">
        <is>
          <t>FY2029</t>
        </is>
      </c>
      <c r="G21" s="816" t="inlineStr">
        <is>
          <t>FY2030</t>
        </is>
      </c>
    </row>
    <row r="22" spans="2:7" ht="19.899999999999999" customHeight="1">
      <c r="B22" s="817" t="inlineStr">
        <is>
          <t>Model Base</t>
        </is>
      </c>
      <c r="C22" s="818">
        <f ca="1">근거_매출!J10/1000000</f>
      </c>
      <c r="D22" s="818">
        <f ca="1">근거_매출!K10/1000000</f>
      </c>
      <c r="E22" s="818">
        <f ca="1">근거_매출!L10/1000000</f>
      </c>
      <c r="F22" s="818">
        <f ca="1">근거_매출!M10/1000000</f>
      </c>
      <c r="G22" s="819">
        <f ca="1">근거_매출!N10/1000000</f>
      </c>
    </row>
    <row r="23" spans="2:7" ht="19.899999999999999" customHeight="1">
      <c r="B23" s="820" t="inlineStr">
        <is>
          <t>MKT Base</t>
        </is>
      </c>
      <c r="C23" s="806">
        <f>IF(근거_매출!$J$12="",NA(),근거_매출!J12/1000000)</f>
      </c>
      <c r="D23" s="806">
        <f>IF(근거_매출!$J$12="",NA(),근거_매출!K12/1000000)</f>
      </c>
      <c r="E23" s="806">
        <f>IF(근거_매출!$J$12="",NA(),근거_매출!L12/1000000)</f>
      </c>
      <c r="F23" s="806">
        <f>IF(근거_매출!$J$12="",NA(),근거_매출!M12/1000000)</f>
      </c>
      <c r="G23" s="821">
        <f>IF(근거_매출!$J$12="",NA(),근거_매출!N12/1000000)</f>
      </c>
    </row>
    <row r="24" spans="2:7" ht="19.899999999999999" customHeight="1">
      <c r="B24" s="822" t="inlineStr">
        <is>
          <t xml:space="preserve">Best (MS +10%p)</t>
        </is>
      </c>
      <c r="C24" s="806">
        <f ca="1">근거_매출!J14/1000000</f>
      </c>
      <c r="D24" s="806">
        <f ca="1">근거_매출!K14/1000000</f>
      </c>
      <c r="E24" s="806">
        <f ca="1">근거_매출!L14/1000000</f>
      </c>
      <c r="F24" s="806">
        <f ca="1">근거_매출!M14/1000000</f>
      </c>
      <c r="G24" s="821">
        <f ca="1">근거_매출!N14/1000000</f>
      </c>
    </row>
    <row r="25" spans="2:7" ht="19.899999999999999" customHeight="1">
      <c r="B25" s="823" t="inlineStr">
        <is>
          <t xml:space="preserve">Worst (MS -10%p)</t>
        </is>
      </c>
      <c r="C25" s="805">
        <f ca="1">근거_매출!J16/1000000</f>
      </c>
      <c r="D25" s="805">
        <f ca="1">근거_매출!K16/1000000</f>
      </c>
      <c r="E25" s="805">
        <f ca="1">근거_매출!L16/1000000</f>
      </c>
      <c r="F25" s="805">
        <f ca="1">근거_매출!M16/1000000</f>
      </c>
      <c r="G25" s="824">
        <f ca="1">근거_매출!N16/1000000</f>
      </c>
    </row>
    <row r="26" spans="2:7" ht="19.899999999999999" customHeight="1">
      <c r="B26" s="822" t="inlineStr">
        <is>
          <t xml:space="preserve">Best (MS +5%p)</t>
        </is>
      </c>
      <c r="C26" s="806">
        <f ca="1">근거_매출!J18/1000000</f>
      </c>
      <c r="D26" s="806">
        <f ca="1">근거_매출!K18/1000000</f>
      </c>
      <c r="E26" s="806">
        <f ca="1">근거_매출!L18/1000000</f>
      </c>
      <c r="F26" s="806">
        <f ca="1">근거_매출!M18/1000000</f>
      </c>
      <c r="G26" s="821">
        <f ca="1">근거_매출!N18/1000000</f>
      </c>
    </row>
    <row r="27" spans="2:7" ht="19.899999999999999" customHeight="1">
      <c r="B27" s="823" t="inlineStr">
        <is>
          <t xml:space="preserve">Worst (MS -5%p)</t>
        </is>
      </c>
      <c r="C27" s="805">
        <f ca="1">근거_매출!J20/1000000</f>
      </c>
      <c r="D27" s="805">
        <f ca="1">근거_매출!K20/1000000</f>
      </c>
      <c r="E27" s="805">
        <f ca="1">근거_매출!L20/1000000</f>
      </c>
      <c r="F27" s="805">
        <f ca="1">근거_매출!M20/1000000</f>
      </c>
      <c r="G27" s="824">
        <f ca="1">근거_매출!N20/1000000</f>
      </c>
    </row>
    <row r="28" spans="2:7" ht="7.9" customHeight="1">
      <c r="B28" s="811"/>
      <c r="G28" s="812"/>
    </row>
    <row r="29" spans="2:7" ht="15" customHeight="1">
      <c r="B29" s="813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812"/>
    </row>
    <row r="30" spans="2:7" ht="15" customHeight="1">
      <c r="B30" s="811"/>
      <c r="G30" s="812"/>
    </row>
    <row r="31" spans="2:7" ht="15" customHeight="1">
      <c r="B31" s="811"/>
      <c r="G31" s="812"/>
    </row>
    <row r="32" spans="2:7" ht="15" customHeight="1">
      <c r="B32" s="811"/>
      <c r="G32" s="812"/>
    </row>
    <row r="33" spans="2:7" ht="15" customHeight="1">
      <c r="B33" s="811"/>
      <c r="G33" s="812"/>
    </row>
    <row r="34" spans="2:7" ht="15" customHeight="1">
      <c r="B34" s="811"/>
      <c r="G34" s="812"/>
    </row>
    <row r="35" spans="2:7" ht="15" customHeight="1">
      <c r="B35" s="811"/>
      <c r="G35" s="812"/>
    </row>
    <row r="36" spans="2:7" ht="15" customHeight="1">
      <c r="B36" s="811"/>
      <c r="G36" s="812"/>
    </row>
    <row r="37" spans="2:7" ht="15" customHeight="1">
      <c r="B37" s="811"/>
      <c r="G37" s="812"/>
    </row>
    <row r="38" spans="2:7" ht="15" customHeight="1">
      <c r="B38" s="811"/>
      <c r="G38" s="812"/>
    </row>
    <row r="39" spans="2:7" ht="15" customHeight="1">
      <c r="B39" s="811"/>
      <c r="G39" s="812"/>
    </row>
    <row r="40" spans="2:7" ht="15" customHeight="1">
      <c r="B40" s="811"/>
      <c r="G40" s="812"/>
    </row>
    <row r="41" spans="2:7" ht="15" customHeight="1">
      <c r="B41" s="811"/>
      <c r="G41" s="812"/>
    </row>
    <row r="42" spans="2:7" ht="15" customHeight="1">
      <c r="B42" s="811"/>
      <c r="G42" s="812"/>
    </row>
    <row r="43" spans="2:7" ht="15" customHeight="1">
      <c r="B43" s="811"/>
      <c r="G43" s="812"/>
    </row>
    <row r="44" spans="2:7" ht="19.899999999999999" customHeight="1">
      <c r="B44" s="814" t="inlineStr">
        <is>
          <t>구분</t>
        </is>
      </c>
      <c r="C44" s="815" t="inlineStr">
        <is>
          <t>FY2026</t>
        </is>
      </c>
      <c r="D44" s="815" t="inlineStr">
        <is>
          <t>FY2027</t>
        </is>
      </c>
      <c r="E44" s="815" t="inlineStr">
        <is>
          <t>FY2028</t>
        </is>
      </c>
      <c r="F44" s="815" t="inlineStr">
        <is>
          <t>FY2029</t>
        </is>
      </c>
      <c r="G44" s="816" t="inlineStr">
        <is>
          <t>FY2030</t>
        </is>
      </c>
    </row>
    <row r="45" spans="2:7" ht="19.899999999999999" customHeight="1">
      <c r="B45" s="817" t="inlineStr">
        <is>
          <t>Model Base</t>
        </is>
      </c>
      <c r="C45" s="827">
        <f ca="1">근거_매출!J32</f>
      </c>
      <c r="D45" s="827">
        <f ca="1">근거_매출!K32</f>
      </c>
      <c r="E45" s="827">
        <f ca="1">근거_매출!L32</f>
      </c>
      <c r="F45" s="827">
        <f ca="1">근거_매출!M32</f>
      </c>
      <c r="G45" s="828">
        <f ca="1">근거_매출!N32</f>
      </c>
    </row>
    <row r="46" spans="2:7" ht="19.899999999999999" customHeight="1">
      <c r="B46" s="820" t="inlineStr">
        <is>
          <t>MKT Base</t>
        </is>
      </c>
      <c r="C46" s="808">
        <f>IF(근거_매출!$J$12="",NA(),근거_매출!J34)</f>
      </c>
      <c r="D46" s="808">
        <f>IF(근거_매출!$J$12="",NA(),근거_매출!K34)</f>
      </c>
      <c r="E46" s="808">
        <f>IF(근거_매출!$J$12="",NA(),근거_매출!L34)</f>
      </c>
      <c r="F46" s="808">
        <f>IF(근거_매출!$J$12="",NA(),근거_매출!M34)</f>
      </c>
      <c r="G46" s="829">
        <f>IF(근거_매출!$J$12="",NA(),근거_매출!N34)</f>
      </c>
    </row>
    <row r="47" spans="2:7" ht="19.899999999999999" customHeight="1">
      <c r="B47" s="822" t="inlineStr">
        <is>
          <t xml:space="preserve">Best (MS +10%p)</t>
        </is>
      </c>
      <c r="C47" s="808">
        <f ca="1">근거_매출!J35</f>
      </c>
      <c r="D47" s="808">
        <f ca="1">근거_매출!K35</f>
      </c>
      <c r="E47" s="808">
        <f ca="1">근거_매출!L35</f>
      </c>
      <c r="F47" s="808">
        <f ca="1">근거_매출!M35</f>
      </c>
      <c r="G47" s="829">
        <f ca="1">근거_매출!N35</f>
      </c>
    </row>
    <row r="48" spans="2:7" ht="19.899999999999999" customHeight="1">
      <c r="B48" s="823" t="inlineStr">
        <is>
          <t xml:space="preserve">Worst (MS -10%p)</t>
        </is>
      </c>
      <c r="C48" s="807">
        <f ca="1">근거_매출!J36</f>
      </c>
      <c r="D48" s="807">
        <f ca="1">근거_매출!K36</f>
      </c>
      <c r="E48" s="807">
        <f ca="1">근거_매출!L36</f>
      </c>
      <c r="F48" s="807">
        <f ca="1">근거_매출!M36</f>
      </c>
      <c r="G48" s="830">
        <f ca="1">근거_매출!N36</f>
      </c>
    </row>
    <row r="49" spans="2:7" ht="19.899999999999999" customHeight="1">
      <c r="B49" s="822" t="inlineStr">
        <is>
          <t xml:space="preserve">Best (MS +5%p)</t>
        </is>
      </c>
      <c r="C49" s="808">
        <f ca="1">근거_매출!J37</f>
      </c>
      <c r="D49" s="808">
        <f ca="1">근거_매출!K37</f>
      </c>
      <c r="E49" s="808">
        <f ca="1">근거_매출!L37</f>
      </c>
      <c r="F49" s="808">
        <f ca="1">근거_매출!M37</f>
      </c>
      <c r="G49" s="829">
        <f ca="1">근거_매출!N37</f>
      </c>
    </row>
    <row r="50" spans="2:7" ht="19.899999999999999" customHeight="1">
      <c r="B50" s="823" t="inlineStr">
        <is>
          <t xml:space="preserve">Worst (MS -5%p)</t>
        </is>
      </c>
      <c r="C50" s="807">
        <f ca="1">근거_매출!J38</f>
      </c>
      <c r="D50" s="807">
        <f ca="1">근거_매출!K38</f>
      </c>
      <c r="E50" s="807">
        <f ca="1">근거_매출!L38</f>
      </c>
      <c r="F50" s="807">
        <f ca="1">근거_매출!M38</f>
      </c>
      <c r="G50" s="830">
        <f ca="1">근거_매출!N38</f>
      </c>
    </row>
    <row r="51" spans="2:7">
      <c r="B51" s="804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551" t="inlineStr">
        <is>
          <t xml:space="preserve">NSA FCST 변동 요인 분석과 시뮬레이션</t>
        </is>
      </c>
      <c r="B2" s="551"/>
      <c r="C2" s="551"/>
      <c r="D2" s="551"/>
      <c r="E2" s="551"/>
      <c r="F2" s="551"/>
    </row>
    <row r="4" spans="1:6" s="563" customFormat="1" ht="19.899999999999999" customHeight="1">
      <c r="A4" s="908" t="inlineStr">
        <is>
          <t xml:space="preserve">① 변동 요인 분석  </t>
          <phoneticPr fontId="64" type="noConversion"/>
        </is>
      </c>
      <c r="B4" s="909"/>
      <c r="C4" s="909"/>
      <c r="D4" s="909"/>
    </row>
    <row r="5" spans="1:6" s="563" customFormat="1" ht="19.899999999999999" customHeight="1">
      <c r="A5" s="847" t="inlineStr">
        <is>
          <t xml:space="preserve">- 핵심 변동 요인 : NSA MS (Ramosetron 시장 내 점유율) (매출 변동성 ±18.9%로, 타 요인 대비 압도적인 영향력을 행사함)</t>
        </is>
      </c>
      <c r="C5" s="839"/>
      <c r="D5" s="839"/>
    </row>
    <row r="6" spans="1:6" s="563" customFormat="1" ht="19.899999999999999" customHeight="1">
      <c r="A6" s="848" t="inlineStr">
        <is>
          <t xml:space="preserve">- 기타 변동 요인: 환자당 Ramo 사용량(±5.6%), 전환비율(±3.4%), NSA MS 상급종합 하한(±3.0%) 등 (구조 파라미터 성격, 분기 실측 갱신 시 자동 재추정)</t>
        </is>
      </c>
      <c r="C6" s="839"/>
      <c r="D6" s="839"/>
    </row>
    <row r="7" spans="1:6" s="563" customFormat="1" ht="19.899999999999999" customHeight="1">
      <c r="A7" s="848" t="inlineStr">
        <is>
          <t xml:space="preserve">- 예외 요인: 약가 인하 고시(현재 없음) 및 MKT 제출 수치와의 차이는 본 시뮬레이션 외 별도 리스크로 분류 · 입찰(저가 제네릭) 단발 이벤트는 분기 모니터링으로 감시</t>
        </is>
      </c>
      <c r="C7" s="839"/>
      <c r="D7" s="839"/>
    </row>
    <row r="8" spans="1:6" s="563" customFormat="1" ht="19.899999999999999" customHeight="1">
      <c r="A8" s="838"/>
      <c r="B8" s="839"/>
      <c r="C8" s="839"/>
      <c r="D8" s="839"/>
    </row>
    <row r="9" spans="1:6" s="563" customFormat="1" ht="19.899999999999999" customHeight="1">
      <c r="A9" s="838"/>
      <c r="B9" s="839"/>
      <c r="C9" s="839"/>
      <c r="D9" s="839"/>
    </row>
    <row r="25" spans="1:4">
      <c r="A25" s="908" t="inlineStr">
        <is>
          <t xml:space="preserve">② 시뮬레이션 : NSA MS 변동의 재무적 가치 </t>
        </is>
      </c>
      <c r="B25" s="909"/>
      <c r="C25" s="909"/>
      <c r="D25" s="909"/>
    </row>
    <row r="26" spans="1:4">
      <c r="A26" s="847" t="inlineStr">
        <is>
          <t xml:space="preserve">- Best (MS 확대): NSA MS +10%p 시 → FY2030 매출 437억 (상단) · +5%p 시 402억</t>
        </is>
      </c>
      <c r="B26" s="840"/>
      <c r="C26" s="840"/>
      <c r="D26" s="840"/>
    </row>
    <row r="27" spans="1:4">
      <c r="A27" s="847" t="inlineStr">
        <is>
          <t xml:space="preserve">- Worst (MS 잠식): NSA MS -10%p 시 → FY2030 매출 298억 (하단) · -5%p 시 332억</t>
        </is>
      </c>
      <c r="B27" s="840"/>
      <c r="C27" s="840"/>
      <c r="D27" s="840"/>
    </row>
    <row r="28" spans="1:4">
      <c r="A28" s="849" t="inlineStr">
        <is>
          <t xml:space="preserve">(※ 기준선 Base: 367억 · 세일즈 포캐스트 밴드는 FY2027부터 적용)</t>
        </is>
      </c>
    </row>
    <row r="47" spans="1:1">
      <c r="A47" s="851" t="inlineStr">
        <is>
          <t xml:space="preserve">  · 근거: 근거_민감도 참조</t>
          <phoneticPr fontId="64" type="noConversion"/>
        </is>
      </c>
    </row>
    <row r="48" spans="1:1">
      <c r="A48" s="851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36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388" customWidth="1"/>
    <col min="2" max="2" width="31" style="388" customWidth="1"/>
    <col min="3" max="3" width="16.75" style="388" customWidth="1"/>
    <col min="4" max="4" width="64.75" style="388" customWidth="1"/>
    <col min="5" max="9" width="14.75" style="388" customWidth="1"/>
    <col min="10" max="10" width="11.125" style="389" customWidth="1"/>
  </cols>
  <sheetData>
    <row r="1" spans="1:10" ht="19.899999999999999" customHeight="1"/>
    <row r="2" spans="1:10" ht="21.75" customHeight="1">
      <c r="A2" s="550" t="inlineStr">
        <is>
          <t xml:space="preserve">NSA Sales FCST FLOW  </t>
        </is>
      </c>
    </row>
    <row r="3" spans="1:10" ht="16.5" customHeight="1">
      <c r="J3" s="549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390"/>
      <c r="D4" s="390"/>
      <c r="E4" s="390"/>
      <c r="F4" s="546"/>
      <c r="G4" s="912"/>
      <c r="H4" s="912"/>
      <c r="I4" s="912"/>
    </row>
    <row r="5" spans="1:10" ht="16.5" customHeight="1">
      <c r="A5" s="386" t="inlineStr">
        <is>
          <t>단계</t>
        </is>
      </c>
      <c r="B5" s="386" t="inlineStr">
        <is>
          <t>항목</t>
        </is>
      </c>
      <c r="C5" s="783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784" t="inlineStr">
        <is>
          <t>모델 방법</t>
        </is>
      </c>
      <c r="E5" s="542" t="inlineStr">
        <is>
          <t>FY2026E</t>
          <phoneticPr fontId="64" type="noConversion"/>
        </is>
      </c>
      <c r="F5" s="785" t="inlineStr">
        <is>
          <t>FY2027</t>
          <phoneticPr fontId="64" type="noConversion"/>
        </is>
      </c>
      <c r="G5" s="782" t="inlineStr">
        <is>
          <t>FY2028</t>
        </is>
      </c>
      <c r="H5" s="782" t="inlineStr">
        <is>
          <t>FY2029</t>
        </is>
      </c>
      <c r="I5" s="782" t="inlineStr">
        <is>
          <t>FY2030</t>
          <phoneticPr fontId="64" type="noConversion"/>
        </is>
      </c>
      <c r="J5" s="782" t="inlineStr">
        <is>
          <t>근거</t>
        </is>
      </c>
    </row>
    <row r="6" ht="16.5" customHeight="1">
      <c r="A6" s="913" t="inlineStr">
        <is>
          <t xml:space="preserve">① 환자 현황</t>
        </is>
      </c>
      <c r="B6" s="786" t="inlineStr">
        <is>
          <t xml:space="preserve">전신마취 환자수</t>
        </is>
      </c>
      <c r="C6" s="788">
        <f>CALC!C20</f>
      </c>
      <c r="D6" s="789" t="inlineStr">
        <is>
          <t xml:space="preserve"> · 추계인구(통계청 중위) × 연령별 전신마취 비율 (30~50대 선형회귀 연장, 그 외 최근 5개년 평균)</t>
        </is>
      </c>
      <c r="E6" s="799">
        <f>INDEX(CALC!$C$5:$C$25,MATCH(표시연도,CALC!$B$5:$B$25,0))</f>
      </c>
      <c r="F6" s="799">
        <f>INDEX(CALC!$C$5:$C$25,MATCH(2027,CALC!$B$5:$B$25,0))</f>
      </c>
      <c r="G6" s="799">
        <f>INDEX(CALC!$C$5:$C$25,MATCH(2028,CALC!$B$5:$B$25,0))</f>
      </c>
      <c r="H6" s="799">
        <f>INDEX(CALC!$C$5:$C$25,MATCH(2029,CALC!$B$5:$B$25,0))</f>
      </c>
      <c r="I6" s="799">
        <f>INDEX(CALC!$C$5:$C$25,MATCH(2030,CALC!$B$5:$B$25,0))</f>
      </c>
      <c r="J6" s="790" t="inlineStr">
        <is>
          <t xml:space="preserve">▶ 근거</t>
        </is>
      </c>
    </row>
    <row r="7" ht="16.5" customHeight="1">
      <c r="A7" s="913"/>
      <c r="B7" s="787" t="inlineStr">
        <is>
          <t xml:space="preserve">종별 환자비율 (상급종합병원)</t>
        </is>
      </c>
      <c r="C7" s="792">
        <f>'근거_종별전신마취환자수'!Q10</f>
      </c>
      <c r="D7" s="789" t="inlineStr">
        <is>
          <t xml:space="preserve"> · HIRA 분기 실측(~2026Q1) 기반 회복모형 — 상급종합 상한 41%·종합 하한 40%·병원 하한 10%·의원 S-curve, 4종별 정규화</t>
        </is>
      </c>
      <c r="E7" s="801">
        <f>'근거_종별전신마취환자수'!R10</f>
      </c>
      <c r="F7" s="801">
        <f>'근거_종별전신마취환자수'!S10</f>
      </c>
      <c r="G7" s="801">
        <f>'근거_종별전신마취환자수'!T10</f>
      </c>
      <c r="H7" s="801">
        <f>'근거_종별전신마취환자수'!U10</f>
      </c>
      <c r="I7" s="801">
        <f>'근거_종별전신마취환자수'!V10</f>
      </c>
      <c r="J7" s="790" t="inlineStr">
        <is>
          <t xml:space="preserve">▶ 근거</t>
        </is>
      </c>
    </row>
    <row r="8" ht="16.5" customHeight="1">
      <c r="A8" s="914" t="inlineStr">
        <is>
          <t xml:space="preserve">② 시장 구조</t>
        </is>
      </c>
      <c r="B8" s="787" t="inlineStr">
        <is>
          <t xml:space="preserve">환자당 Ramosetron 사용량 (상급종합, A/명)</t>
        </is>
      </c>
      <c r="C8" s="791">
        <f>'근거_Ramosetron 시장 수량'!Q22</f>
      </c>
      <c r="D8" s="789" t="inlineStr">
        <is>
          <t xml:space="preserve"> · 연간 선형회귀(상한 5A) / 종합 상한 4A / 병원·의원 최근값 flat — 4개 분기 동일 적용</t>
        </is>
      </c>
      <c r="E8" s="800">
        <f>'근거_Ramosetron 시장 수량'!R22</f>
      </c>
      <c r="F8" s="800">
        <f>'근거_Ramosetron 시장 수량'!S22</f>
      </c>
      <c r="G8" s="800">
        <f>'근거_Ramosetron 시장 수량'!T22</f>
      </c>
      <c r="H8" s="800">
        <f>'근거_Ramosetron 시장 수량'!U22</f>
      </c>
      <c r="I8" s="800">
        <f>'근거_Ramosetron 시장 수량'!V22</f>
      </c>
      <c r="J8" s="790" t="inlineStr">
        <is>
          <t xml:space="preserve">▶ 근거</t>
        </is>
      </c>
    </row>
    <row r="9" ht="16.5" customHeight="1">
      <c r="A9" s="914"/>
      <c r="B9" s="786" t="inlineStr">
        <is>
          <t xml:space="preserve">Ramosetron 시장 수량 (A)</t>
        </is>
      </c>
      <c r="C9" s="788">
        <f>CALC!E20</f>
      </c>
      <c r="D9" s="789" t="inlineStr">
        <is>
          <t xml:space="preserve"> · Σ 종별 전신마취환자수 × 종별 환자당 사용량 (CY 분기 → FY 재구성)</t>
        </is>
      </c>
      <c r="E9" s="799">
        <f>INDEX(CALC!$E$5:$E$25,MATCH(표시연도,CALC!$B$5:$B$25,0))</f>
      </c>
      <c r="F9" s="799">
        <f>INDEX(CALC!$E$5:$E$25,MATCH(2027,CALC!$B$5:$B$25,0))</f>
      </c>
      <c r="G9" s="799">
        <f>INDEX(CALC!$E$5:$E$25,MATCH(2028,CALC!$B$5:$B$25,0))</f>
      </c>
      <c r="H9" s="799">
        <f>INDEX(CALC!$E$5:$E$25,MATCH(2029,CALC!$B$5:$B$25,0))</f>
      </c>
      <c r="I9" s="799">
        <f>INDEX(CALC!$E$5:$E$25,MATCH(2030,CALC!$B$5:$B$25,0))</f>
      </c>
      <c r="J9" s="790" t="inlineStr">
        <is>
          <t xml:space="preserve">▶ 근거</t>
        </is>
      </c>
    </row>
    <row r="10" ht="16.5" customHeight="1">
      <c r="A10" s="915" t="inlineStr">
        <is>
          <t xml:space="preserve">③ 경쟁 현황</t>
        </is>
      </c>
      <c r="B10" s="787" t="inlineStr">
        <is>
          <t xml:space="preserve">NSA MS (상급종합병원)</t>
        </is>
      </c>
      <c r="C10" s="792">
        <f>'근거_NSA수량(IQVIA기준)'!I16</f>
      </c>
      <c r="D10" s="793" t="inlineStr">
        <is>
          <t xml:space="preserve"> · 전체기간 선형(레벨보정, 하한 55%) — 백테스트 MAPE 2.9%</t>
        </is>
      </c>
      <c r="E10" s="801">
        <f>'근거_NSA수량(IQVIA기준)'!J16</f>
      </c>
      <c r="F10" s="801">
        <f>'근거_NSA수량(IQVIA기준)'!K16</f>
      </c>
      <c r="G10" s="801">
        <f>'근거_NSA수량(IQVIA기준)'!L16</f>
      </c>
      <c r="H10" s="801">
        <f>'근거_NSA수량(IQVIA기준)'!M16</f>
      </c>
      <c r="I10" s="801">
        <f>'근거_NSA수량(IQVIA기준)'!N16</f>
      </c>
      <c r="J10" s="790" t="inlineStr">
        <is>
          <t xml:space="preserve">▶ 근거</t>
        </is>
      </c>
    </row>
    <row r="11" ht="16.5" customHeight="1">
      <c r="A11" s="915"/>
      <c r="B11" s="787" t="inlineStr">
        <is>
          <t xml:space="preserve">NSA MS (종합병원)</t>
        </is>
      </c>
      <c r="C11" s="792">
        <f>'근거_NSA수량(IQVIA기준)'!I17</f>
      </c>
      <c r="D11" s="793" t="inlineStr">
        <is>
          <t xml:space="preserve"> · S-curve(로짓변환+저점앵커, 상한 56%) — 백테스트 MAPE 3.8%</t>
        </is>
      </c>
      <c r="E11" s="801">
        <f>'근거_NSA수량(IQVIA기준)'!J17</f>
      </c>
      <c r="F11" s="801">
        <f>'근거_NSA수량(IQVIA기준)'!K17</f>
      </c>
      <c r="G11" s="801">
        <f>'근거_NSA수량(IQVIA기준)'!L17</f>
      </c>
      <c r="H11" s="801">
        <f>'근거_NSA수량(IQVIA기준)'!M17</f>
      </c>
      <c r="I11" s="801">
        <f>'근거_NSA수량(IQVIA기준)'!N17</f>
      </c>
      <c r="J11" s="790" t="inlineStr">
        <is>
          <t xml:space="preserve">▶ 근거</t>
        </is>
      </c>
    </row>
    <row r="12" ht="16.5" customHeight="1">
      <c r="A12" s="915"/>
      <c r="B12" s="787" t="inlineStr">
        <is>
          <t xml:space="preserve">NSA MS (병원·의원)</t>
        </is>
      </c>
      <c r="C12" s="792">
        <f>'근거_NSA수량(IQVIA기준)'!I18</f>
      </c>
      <c r="D12" s="793" t="inlineStr">
        <is>
          <t xml:space="preserve"> · 병원 롤링 4분기 평균 / 의원 EWMA(α=0.3) flat — MAPE 8.9~10.3% (표시값은 병원)</t>
        </is>
      </c>
      <c r="E12" s="801">
        <f>'근거_NSA수량(IQVIA기준)'!J18</f>
      </c>
      <c r="F12" s="801">
        <f>'근거_NSA수량(IQVIA기준)'!K18</f>
      </c>
      <c r="G12" s="801">
        <f>'근거_NSA수량(IQVIA기준)'!L18</f>
      </c>
      <c r="H12" s="801">
        <f>'근거_NSA수량(IQVIA기준)'!M18</f>
      </c>
      <c r="I12" s="801">
        <f>'근거_NSA수량(IQVIA기준)'!N18</f>
      </c>
      <c r="J12" s="790" t="inlineStr">
        <is>
          <t xml:space="preserve">▶ 근거</t>
        </is>
      </c>
    </row>
    <row r="13" ht="16.5" customHeight="1">
      <c r="A13" s="915"/>
      <c r="B13" s="787" t="inlineStr">
        <is>
          <t xml:space="preserve">NSA MS (전체)</t>
        </is>
      </c>
      <c r="C13" s="792">
        <f>CALC!I20</f>
      </c>
      <c r="D13" s="793" t="inlineStr">
        <is>
          <t xml:space="preserve"> · Σ 종별 NSA 수량 ÷ Ramosetron 시장 수량</t>
        </is>
      </c>
      <c r="E13" s="801">
        <f>INDEX(CALC!$I$5:$I$25,MATCH(표시연도,CALC!$B$5:$B$25,0))</f>
      </c>
      <c r="F13" s="801">
        <f>INDEX(CALC!$I$5:$I$25,MATCH(2027,CALC!$B$5:$B$25,0))</f>
      </c>
      <c r="G13" s="801">
        <f>INDEX(CALC!$I$5:$I$25,MATCH(2028,CALC!$B$5:$B$25,0))</f>
      </c>
      <c r="H13" s="801">
        <f>INDEX(CALC!$I$5:$I$25,MATCH(2029,CALC!$B$5:$B$25,0))</f>
      </c>
      <c r="I13" s="801">
        <f>INDEX(CALC!$I$5:$I$25,MATCH(2030,CALC!$B$5:$B$25,0))</f>
      </c>
      <c r="J13" s="790" t="inlineStr">
        <is>
          <t xml:space="preserve">▶ 근거</t>
        </is>
      </c>
    </row>
    <row r="14" ht="16.5" customHeight="1">
      <c r="A14" s="916" t="inlineStr">
        <is>
          <t xml:space="preserve">④ 시장매출</t>
        </is>
      </c>
      <c r="B14" s="787" t="inlineStr">
        <is>
          <t xml:space="preserve">DSKR 매출수량 (A)</t>
        </is>
      </c>
      <c r="C14" s="788">
        <f>INDEX(근거_매출!$B$10:$N$10,표시연도-1-2017)</f>
      </c>
      <c r="D14" s="789" t="inlineStr">
        <is>
          <t xml:space="preserve"> · NSA 수량(IQVIA, A) ÷ 전환비율(FY24~25 평균 1.044) → SAP 판매 수량 환산</t>
        </is>
      </c>
      <c r="E14" s="799">
        <f>INDEX(근거_매출!$B$10:$N$10,표시연도-2017)</f>
      </c>
      <c r="F14" s="799">
        <f>INDEX(근거_매출!$B$10:$N$10,2027-2017)</f>
      </c>
      <c r="G14" s="799">
        <f>INDEX(근거_매출!$B$10:$N$10,2028-2017)</f>
      </c>
      <c r="H14" s="799">
        <f>INDEX(근거_매출!$B$10:$N$10,2029-2017)</f>
      </c>
      <c r="I14" s="799">
        <f>INDEX(근거_매출!$B$10:$N$10,2030-2017)</f>
      </c>
      <c r="J14" s="798" t="inlineStr">
        <is>
          <t xml:space="preserve">▶ 근거</t>
        </is>
      </c>
    </row>
    <row r="15" ht="16.5" customHeight="1">
      <c r="A15" s="916"/>
      <c r="B15" s="786" t="inlineStr">
        <is>
          <t xml:space="preserve">연도별 단가 (원/A)</t>
        </is>
      </c>
      <c r="C15" s="788">
        <f>근거_매출!B27</f>
      </c>
      <c r="D15" s="789" t="inlineStr">
        <is>
          <t xml:space="preserve"> · FY2026 목표단가 69,056원/5A ÷ 5 = 13,811원/A × 약가 배율 (인하 고시 없음 → 100% 유지, 근거_매출 28행에서 조정)</t>
        </is>
      </c>
      <c r="E15" s="799">
        <f>INDEX(근거_매출!$B$29:$N$29,표시연도-2017)</f>
      </c>
      <c r="F15" s="799">
        <f>INDEX(근거_매출!$B$29:$N$29,2027-2017)</f>
      </c>
      <c r="G15" s="799">
        <f>INDEX(근거_매출!$B$29:$N$29,2028-2017)</f>
      </c>
      <c r="H15" s="799">
        <f>INDEX(근거_매출!$B$29:$N$29,2029-2017)</f>
      </c>
      <c r="I15" s="799">
        <f>INDEX(근거_매출!$B$29:$N$29,2030-2017)</f>
      </c>
      <c r="J15" s="798" t="inlineStr">
        <is>
          <t xml:space="preserve">▶ 근거</t>
        </is>
      </c>
    </row>
    <row r="17" ht="19.5" customHeight="1">
      <c r="A17" s="910" t="inlineStr">
        <is>
          <t xml:space="preserve">▶ 결과</t>
        </is>
      </c>
      <c r="B17" s="794" t="inlineStr">
        <is>
          <t xml:space="preserve">Ramosetron 시장 (수량, A)</t>
        </is>
      </c>
      <c r="C17" s="795">
        <f>CALC!E20</f>
      </c>
      <c r="D17" s="796" t="inlineStr">
        <is>
          <t xml:space="preserve">Σ 종별 전신마취환자수 × 종별 환자당 사용량</t>
        </is>
      </c>
      <c r="E17" s="797">
        <f>INDEX(CALC!$E$5:$E$25,MATCH(표시연도,CALC!$B$5:$B$25,0))</f>
      </c>
      <c r="F17" s="797">
        <f>INDEX(CALC!$E$5:$E$25,MATCH(2027,CALC!$B$5:$B$25,0))</f>
      </c>
      <c r="G17" s="797">
        <f>INDEX(CALC!$E$5:$E$25,MATCH(2028,CALC!$B$5:$B$25,0))</f>
      </c>
      <c r="H17" s="797">
        <f>INDEX(CALC!$E$5:$E$25,MATCH(2029,CALC!$B$5:$B$25,0))</f>
      </c>
      <c r="I17" s="797">
        <f>INDEX(CALC!$E$5:$E$25,MATCH(2030,CALC!$B$5:$B$25,0))</f>
      </c>
      <c r="J17" s="790" t="inlineStr">
        <is>
          <t xml:space="preserve">▶ 근거</t>
        </is>
      </c>
    </row>
    <row r="18" ht="19.5" customHeight="1">
      <c r="A18" s="911"/>
      <c r="B18" s="794" t="inlineStr">
        <is>
          <t xml:space="preserve">NSA 수량 (IQVIA, A)</t>
        </is>
      </c>
      <c r="C18" s="795">
        <f>CALC!H20</f>
      </c>
      <c r="D18" s="796" t="inlineStr">
        <is>
          <t xml:space="preserve">Σ 종별 Ramosetron 수량 × 종별 NSA MS</t>
        </is>
      </c>
      <c r="E18" s="797">
        <f>INDEX(CALC!$H$5:$H$25,MATCH(표시연도,CALC!$B$5:$B$25,0))</f>
      </c>
      <c r="F18" s="797">
        <f>INDEX(CALC!$H$5:$H$25,MATCH(2027,CALC!$B$5:$B$25,0))</f>
      </c>
      <c r="G18" s="797">
        <f>INDEX(CALC!$H$5:$H$25,MATCH(2028,CALC!$B$5:$B$25,0))</f>
      </c>
      <c r="H18" s="797">
        <f>INDEX(CALC!$H$5:$H$25,MATCH(2029,CALC!$B$5:$B$25,0))</f>
      </c>
      <c r="I18" s="797">
        <f>INDEX(CALC!$H$5:$H$25,MATCH(2030,CALC!$B$5:$B$25,0))</f>
      </c>
      <c r="J18" s="790" t="inlineStr">
        <is>
          <t xml:space="preserve">▶ 근거</t>
        </is>
      </c>
    </row>
    <row r="19" ht="19.5" customHeight="1">
      <c r="A19" s="911"/>
      <c r="B19" s="794" t="inlineStr">
        <is>
          <t xml:space="preserve">NSA SAP매출 (백만원)</t>
        </is>
      </c>
      <c r="C19" s="795">
        <f>INDEX(근거_매출!$B$32:$N$32,표시연도-1-2017)</f>
      </c>
      <c r="D19" s="796" t="inlineStr">
        <is>
          <t xml:space="preserve">DSKR 매출수량 × 연도별 단가</t>
        </is>
      </c>
      <c r="E19" s="797">
        <f>INDEX(근거_매출!$B$32:$N$32,표시연도-2017)</f>
      </c>
      <c r="F19" s="797">
        <f>INDEX(근거_매출!$B$32:$N$32,2027-2017)</f>
      </c>
      <c r="G19" s="797">
        <f>INDEX(근거_매출!$B$32:$N$32,2028-2017)</f>
      </c>
      <c r="H19" s="797">
        <f>INDEX(근거_매출!$B$32:$N$32,2029-2017)</f>
      </c>
      <c r="I19" s="797">
        <f>INDEX(근거_매출!$B$32:$N$32,2030-2017)</f>
      </c>
      <c r="J19" s="798" t="inlineStr">
        <is>
          <t xml:space="preserve">▶ 근거</t>
        </is>
      </c>
    </row>
    <row r="20">
      <c r="H20" s="803" t="str">
        <f>"※ 시나리오 밴드(FY2030): "&amp;TEXT(근거_매출!N36,"#,##0")&amp;" ~ "&amp;TEXT(근거_매출!N35,"#,##0")&amp;" (MS ±10%p) · "&amp;TEXT(근거_매출!N38,"#,##0")&amp;" ~ "&amp;TEXT(근거_매출!N37,"#,##0")&amp;" (±5%p) →"</f>
      </c>
      <c r="I20" s="837" t="str">
        <f>HYPERLINK("#'FCST RESULT'!A1","상세: FCST RESULT ▶")</f>
      </c>
    </row>
    <row r="22" ht="16.5" customHeight="1">
      <c r="B22" s="393" t="inlineStr">
        <is>
          <t xml:space="preserve">※ 기준 수치 - 출처 및 기준연도</t>
        </is>
      </c>
      <c r="C22" s="394"/>
      <c r="D22" s="394"/>
      <c r="E22" s="394"/>
      <c r="F22" s="394"/>
      <c r="G22" s="394"/>
      <c r="H22" s="394"/>
      <c r="I22" s="394"/>
    </row>
    <row r="23" ht="16.5" customHeight="1">
      <c r="B23" s="395" t="inlineStr">
        <is>
          <t xml:space="preserve">① 환자 현황 (연령별 전신마취환자수): NHIS 진료행위 통계 L1211·L1212, CY2025 · 행위별 청구분 기준(포괄수가 DRG 제외 → 실제보다 약 15% 적음, 모델 내 배분 기준으로만 사용)</t>
        </is>
      </c>
      <c r="C23" s="394"/>
      <c r="D23" s="394"/>
      <c r="E23" s="394"/>
      <c r="F23" s="394"/>
      <c r="G23" s="394"/>
      <c r="H23" s="394"/>
      <c r="I23" s="394"/>
    </row>
    <row r="24" ht="16.5" customHeight="1">
      <c r="B24" s="395" t="inlineStr">
        <is>
          <t xml:space="preserve">② 시장 구조: 종별 환자비율 HIRA 분기 실측(~2026Q1) / Ramosetron 시장 수량 IQVIA, CY2025 / 흡입마취제 종별 비율 NHIS N01AB, CY2025</t>
        </is>
      </c>
      <c r="C24" s="394"/>
      <c r="D24" s="394"/>
      <c r="E24" s="394"/>
      <c r="F24" s="394"/>
      <c r="G24" s="394"/>
      <c r="H24" s="394"/>
      <c r="I24" s="394"/>
    </row>
    <row r="25" ht="16.5" customHeight="1">
      <c r="B25" s="395" t="inlineStr">
        <is>
          <t xml:space="preserve">③ 경쟁 현황 (종별 NSA MS): IQVIA NASEA 수량 × SS-Chart 종별 비율 ÷ 종별 Ramosetron 수량, 2026Q1</t>
        </is>
      </c>
      <c r="C25" s="394"/>
      <c r="D25" s="394"/>
      <c r="E25" s="394"/>
      <c r="F25" s="394"/>
      <c r="G25" s="394"/>
      <c r="H25" s="394"/>
      <c r="I25" s="394"/>
    </row>
    <row r="26" ht="16.5" customHeight="1">
      <c r="B26" s="395" t="inlineStr">
        <is>
          <t xml:space="preserve">④ 시장매출(수량·단가): SAP 실측 FY2025 / 단가: FY2026 목표단가 (NASEA Inj. 0.3mg/5A)</t>
        </is>
      </c>
      <c r="C26" s="394"/>
      <c r="D26" s="394"/>
      <c r="E26" s="394"/>
      <c r="F26" s="394"/>
      <c r="G26" s="394"/>
      <c r="H26" s="394"/>
      <c r="I26" s="394"/>
    </row>
    <row r="29" hidden="1">
      <c r="B29" s="836" t="inlineStr">
        <is>
          <t xml:space="preserve">■ 부록 — 백테스트 (종별 NSA MS 예측방식 walk-forward, 2020Q1~2026Q1)</t>
        </is>
      </c>
    </row>
    <row r="30" hidden="1">
      <c r="B30" s="388" t="inlineStr">
        <is>
          <t xml:space="preserve">종별 NSA MS</t>
        </is>
      </c>
      <c r="C30" s="388" t="inlineStr">
        <is>
          <t xml:space="preserve">예측 방식</t>
        </is>
      </c>
      <c r="D30" s="388" t="inlineStr">
        <is>
          <t xml:space="preserve">백테스트 MAPE</t>
        </is>
      </c>
      <c r="E30" s="388" t="inlineStr">
        <is>
          <t xml:space="preserve">판정</t>
        </is>
      </c>
    </row>
    <row r="31" hidden="1">
      <c r="B31" s="388" t="inlineStr">
        <is>
          <t xml:space="preserve">상급종합병원 MS</t>
        </is>
      </c>
      <c r="C31" s="388" t="inlineStr">
        <is>
          <t xml:space="preserve">전체기간선형(레벨보정)</t>
        </is>
      </c>
      <c r="D31" s="388" t="inlineStr">
        <is>
          <t xml:space="preserve">2.92%</t>
        </is>
      </c>
      <c r="E31" s="388" t="inlineStr">
        <is>
          <t xml:space="preserve">채택</t>
        </is>
      </c>
    </row>
    <row r="32" hidden="1">
      <c r="B32" s="388" t="inlineStr">
        <is>
          <t xml:space="preserve">종합병원 MS</t>
        </is>
      </c>
      <c r="C32" s="388" t="inlineStr">
        <is>
          <t xml:space="preserve">S-curve(로짓+저점앵커)</t>
        </is>
      </c>
      <c r="D32" s="388" t="inlineStr">
        <is>
          <t xml:space="preserve">3.83%</t>
        </is>
      </c>
      <c r="E32" s="388" t="inlineStr">
        <is>
          <t xml:space="preserve">채택</t>
        </is>
      </c>
    </row>
    <row r="33" hidden="1">
      <c r="B33" s="388" t="inlineStr">
        <is>
          <t xml:space="preserve">병원 MS</t>
        </is>
      </c>
      <c r="C33" s="388" t="inlineStr">
        <is>
          <t xml:space="preserve">롤링 4분기 평균</t>
        </is>
      </c>
      <c r="D33" s="388" t="inlineStr">
        <is>
          <t xml:space="preserve">8.89%</t>
        </is>
      </c>
      <c r="E33" s="388" t="inlineStr">
        <is>
          <t xml:space="preserve">채택 (표본 소)</t>
        </is>
      </c>
    </row>
    <row r="34" hidden="1">
      <c r="B34" s="388" t="inlineStr">
        <is>
          <t xml:space="preserve">의원 MS</t>
        </is>
      </c>
      <c r="C34" s="388" t="inlineStr">
        <is>
          <t xml:space="preserve">EWMA(α=0.3)</t>
        </is>
      </c>
      <c r="D34" s="388" t="inlineStr">
        <is>
          <t xml:space="preserve">10.30%</t>
        </is>
      </c>
      <c r="E34" s="388" t="inlineStr">
        <is>
          <t xml:space="preserve">채택 (표본 소)</t>
        </is>
      </c>
    </row>
    <row r="35" hidden="1">
      <c r="B35" s="605" t="inlineStr">
        <is>
          <t xml:space="preserve">· 방법: 2020Q1~2026Q1 분기 실측 walk-forward 백테스트(근거_NSA수량 [참고] 30~36행에서 이관). 각 종별 MS 예측 방식을 후보 중 MAPE 최소 방식으로 채택.</t>
        </is>
      </c>
    </row>
    <row r="36" hidden="1">
      <c r="B36" s="605" t="inlineStr">
        <is>
          <t xml:space="preserve">· 결론: 상급종합·종합병원(NSA 수량의 95%)은 MAPE 3~4%로 안정, 병원·의원은 표본이 작아 오차 9~10% — 분기 모니터링 대상</t>
        </is>
      </c>
    </row>
  </sheetData>
  <mergeCells count="6">
    <mergeCell ref="G4:I4"/>
    <mergeCell ref="A6:A7"/>
    <mergeCell ref="A8:A9"/>
    <mergeCell ref="A10:A13"/>
    <mergeCell ref="A14:A15"/>
    <mergeCell ref="A17:A19"/>
  </mergeCells>
  <phoneticPr fontId="64" type="noConversion"/>
  <hyperlinks>
    <hyperlink ref="J6" location="근거_전신마취환자수!A1" display="▶ 근거"/>
    <hyperlink ref="J7" location="근거_종별전신마취환자수!A1" display="▶ 근거"/>
    <hyperlink ref="J8" location="'근거_Ramosetron 시장 수량'!A1" display="▶ 근거"/>
    <hyperlink ref="J9" location="'근거_Ramosetron 시장 수량'!A1" display="▶ 근거"/>
    <hyperlink ref="J10" location="'근거_NSA수량(IQVIA기준)'!A1" display="▶ 근거"/>
    <hyperlink ref="J11" location="'근거_NSA수량(IQVIA기준)'!A1" display="▶ 근거"/>
    <hyperlink ref="J12" location="'근거_NSA수량(IQVIA기준)'!A1" display="▶ 근거"/>
    <hyperlink ref="J13" location="'근거_NSA수량(IQVIA기준)'!A1" display="▶ 근거"/>
    <hyperlink ref="J14" location="근거_매출!A1" display="▶ 근거"/>
    <hyperlink ref="J15" location="근거_매출!A1" display="▶ 근거"/>
    <hyperlink ref="J17" location="'근거_Ramosetron 시장 수량'!A1" display="▶ 근거"/>
    <hyperlink ref="J18" location="'근거_NSA수량(IQVIA기준)'!A1" display="▶ 근거"/>
    <hyperlink ref="J19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6"/>
  <sheetViews>
    <sheetView showGridLines="0" tabSelected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640625" customWidth="1" style="217" min="1" max="1"/>
    <col width="10.28515625" customWidth="1" style="217" min="2" max="2"/>
    <col width="10.640625" customWidth="1" style="217" min="3" max="3"/>
    <col width="9.78515625" customWidth="1" style="217" min="4" max="4"/>
  </cols>
  <sheetData>
    <row r="1"/>
    <row r="2" ht="20.25" customHeight="1" s="217">
      <c r="A2" s="333" t="inlineStr">
        <is>
          <t xml:space="preserve">전신마취 환자수 산출  :   NHIS 데이터 기반 예측 </t>
        </is>
      </c>
    </row>
    <row r="3" ht="7.5" customHeight="1" s="217">
      <c r="A3" s="36" t="inlineStr">
        <is>
          <t xml:space="preserve"> </t>
        </is>
      </c>
    </row>
    <row r="4" ht="16.5" customHeight="1" s="217">
      <c r="B4" s="109" t="inlineStr">
        <is>
          <t>◀ 실측 (NHIS, 2010~2025)</t>
        </is>
      </c>
      <c r="L4" s="37" t="n"/>
      <c r="M4" s="37" t="n"/>
      <c r="O4" s="37" t="n"/>
      <c r="P4" s="37" t="n"/>
      <c r="Q4" s="37" t="n"/>
      <c r="R4" s="37" t="inlineStr">
        <is>
          <t>예측 (2025~2030) ▶</t>
        </is>
      </c>
    </row>
    <row r="5" ht="16.5" customHeight="1" s="217">
      <c r="A5" s="38" t="inlineStr">
        <is>
          <t>구분  /  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209" t="inlineStr">
        <is>
          <t>■ A. 인구 (명)                                [통계청 장래인구추계, 중위]</t>
        </is>
      </c>
      <c r="B6" s="334" t="n"/>
      <c r="C6" s="334" t="n"/>
      <c r="D6" s="334" t="n"/>
      <c r="E6" s="334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  <c r="V6" s="334" t="n"/>
    </row>
    <row r="7" ht="16.5" customHeight="1" s="217">
      <c r="A7" s="335" t="inlineStr">
        <is>
          <t xml:space="preserve">  0-9세</t>
        </is>
      </c>
      <c r="B7" s="208" t="n">
        <v>4769730</v>
      </c>
      <c r="C7" s="208" t="n">
        <v>4651969</v>
      </c>
      <c r="D7" s="208" t="n">
        <v>4607872</v>
      </c>
      <c r="E7" s="208" t="n">
        <v>4589149</v>
      </c>
      <c r="F7" s="208" t="n">
        <v>4547518</v>
      </c>
      <c r="G7" s="208" t="n">
        <v>4541197</v>
      </c>
      <c r="H7" s="208" t="n">
        <v>4537256</v>
      </c>
      <c r="I7" s="208" t="n">
        <v>4460206</v>
      </c>
      <c r="J7" s="208" t="n">
        <v>4327663</v>
      </c>
      <c r="K7" s="208" t="n">
        <v>4206519</v>
      </c>
      <c r="L7" s="208" t="n">
        <v>4054901</v>
      </c>
      <c r="M7" s="208" t="n">
        <v>3850627</v>
      </c>
      <c r="N7" s="208" t="n">
        <v>3636125</v>
      </c>
      <c r="O7" s="208" t="n">
        <v>3415474</v>
      </c>
      <c r="P7" s="208" t="n">
        <v>3211594</v>
      </c>
      <c r="Q7" s="208" t="n">
        <v>2986799</v>
      </c>
      <c r="R7" s="208" t="n">
        <v>2774527</v>
      </c>
      <c r="S7" s="208" t="n">
        <v>2617033</v>
      </c>
      <c r="T7" s="208" t="n">
        <v>2507428</v>
      </c>
      <c r="U7" s="208" t="n">
        <v>2434549</v>
      </c>
      <c r="V7" s="208" t="n">
        <v>2396575</v>
      </c>
    </row>
    <row r="8" ht="16.5" customHeight="1" s="217">
      <c r="A8" s="335" t="inlineStr">
        <is>
          <t xml:space="preserve">  10-19세</t>
        </is>
      </c>
      <c r="B8" s="208" t="n">
        <v>6638502</v>
      </c>
      <c r="C8" s="208" t="n">
        <v>6588027</v>
      </c>
      <c r="D8" s="208" t="n">
        <v>6404935</v>
      </c>
      <c r="E8" s="208" t="n">
        <v>6176138</v>
      </c>
      <c r="F8" s="208" t="n">
        <v>5955904</v>
      </c>
      <c r="G8" s="208" t="n">
        <v>5710954</v>
      </c>
      <c r="H8" s="208" t="n">
        <v>5459511</v>
      </c>
      <c r="I8" s="208" t="n">
        <v>5246532</v>
      </c>
      <c r="J8" s="208" t="n">
        <v>5087396</v>
      </c>
      <c r="K8" s="208" t="n">
        <v>4927537</v>
      </c>
      <c r="L8" s="208" t="n">
        <v>4769187</v>
      </c>
      <c r="M8" s="208" t="n">
        <v>4643600</v>
      </c>
      <c r="N8" s="208" t="n">
        <v>4599712</v>
      </c>
      <c r="O8" s="208" t="n">
        <v>4590838</v>
      </c>
      <c r="P8" s="208" t="n">
        <v>4546494</v>
      </c>
      <c r="Q8" s="208" t="n">
        <v>4538674</v>
      </c>
      <c r="R8" s="208" t="n">
        <v>4530952</v>
      </c>
      <c r="S8" s="208" t="n">
        <v>4460471</v>
      </c>
      <c r="T8" s="208" t="n">
        <v>4324683</v>
      </c>
      <c r="U8" s="208" t="n">
        <v>4195539</v>
      </c>
      <c r="V8" s="208" t="n">
        <v>4046514</v>
      </c>
    </row>
    <row r="9" ht="16.5" customHeight="1" s="217">
      <c r="A9" s="335" t="inlineStr">
        <is>
          <t xml:space="preserve">  20-29세</t>
        </is>
      </c>
      <c r="B9" s="208" t="n">
        <v>6973154</v>
      </c>
      <c r="C9" s="208" t="n">
        <v>6840475</v>
      </c>
      <c r="D9" s="208" t="n">
        <v>6733813</v>
      </c>
      <c r="E9" s="208" t="n">
        <v>6686161</v>
      </c>
      <c r="F9" s="208" t="n">
        <v>6716535</v>
      </c>
      <c r="G9" s="208" t="n">
        <v>6781422</v>
      </c>
      <c r="H9" s="208" t="n">
        <v>6839660</v>
      </c>
      <c r="I9" s="208" t="n">
        <v>6897818</v>
      </c>
      <c r="J9" s="208" t="n">
        <v>6991259</v>
      </c>
      <c r="K9" s="208" t="n">
        <v>7026828</v>
      </c>
      <c r="L9" s="208" t="n">
        <v>7037893</v>
      </c>
      <c r="M9" s="208" t="n">
        <v>6953529</v>
      </c>
      <c r="N9" s="208" t="n">
        <v>6734021</v>
      </c>
      <c r="O9" s="208" t="n">
        <v>6548381</v>
      </c>
      <c r="P9" s="208" t="n">
        <v>6372432</v>
      </c>
      <c r="Q9" s="208" t="n">
        <v>6136764</v>
      </c>
      <c r="R9" s="208" t="n">
        <v>5887622</v>
      </c>
      <c r="S9" s="208" t="n">
        <v>5678166</v>
      </c>
      <c r="T9" s="208" t="n">
        <v>5510243</v>
      </c>
      <c r="U9" s="208" t="n">
        <v>5341561</v>
      </c>
      <c r="V9" s="208" t="n">
        <v>5157518</v>
      </c>
    </row>
    <row r="10" ht="16.5" customHeight="1" s="217">
      <c r="A10" s="335" t="inlineStr">
        <is>
          <t xml:space="preserve">  30-39세</t>
        </is>
      </c>
      <c r="B10" s="208" t="n">
        <v>8264820</v>
      </c>
      <c r="C10" s="208" t="n">
        <v>8208754</v>
      </c>
      <c r="D10" s="208" t="n">
        <v>8146381</v>
      </c>
      <c r="E10" s="208" t="n">
        <v>8035971</v>
      </c>
      <c r="F10" s="208" t="n">
        <v>7899840</v>
      </c>
      <c r="G10" s="208" t="n">
        <v>7763702</v>
      </c>
      <c r="H10" s="208" t="n">
        <v>7652940</v>
      </c>
      <c r="I10" s="208" t="n">
        <v>7545842</v>
      </c>
      <c r="J10" s="208" t="n">
        <v>7456227</v>
      </c>
      <c r="K10" s="208" t="n">
        <v>7358231</v>
      </c>
      <c r="L10" s="208" t="n">
        <v>7174782</v>
      </c>
      <c r="M10" s="208" t="n">
        <v>6989477</v>
      </c>
      <c r="N10" s="208" t="n">
        <v>6872945</v>
      </c>
      <c r="O10" s="208" t="n">
        <v>6874383</v>
      </c>
      <c r="P10" s="208" t="n">
        <v>6913023</v>
      </c>
      <c r="Q10" s="208" t="n">
        <v>6975568</v>
      </c>
      <c r="R10" s="208" t="n">
        <v>7037580</v>
      </c>
      <c r="S10" s="208" t="n">
        <v>7096790</v>
      </c>
      <c r="T10" s="208" t="n">
        <v>7152255</v>
      </c>
      <c r="U10" s="208" t="n">
        <v>7158328</v>
      </c>
      <c r="V10" s="208" t="n">
        <v>7156565</v>
      </c>
    </row>
    <row r="11" ht="16.5" customHeight="1" s="217">
      <c r="A11" s="335" t="inlineStr">
        <is>
          <t xml:space="preserve">  40-49세</t>
        </is>
      </c>
      <c r="B11" s="208" t="n">
        <v>8578079</v>
      </c>
      <c r="C11" s="208" t="n">
        <v>8600111</v>
      </c>
      <c r="D11" s="208" t="n">
        <v>8657375</v>
      </c>
      <c r="E11" s="208" t="n">
        <v>8653288</v>
      </c>
      <c r="F11" s="208" t="n">
        <v>8774714</v>
      </c>
      <c r="G11" s="208" t="n">
        <v>8752417</v>
      </c>
      <c r="H11" s="208" t="n">
        <v>8671799</v>
      </c>
      <c r="I11" s="208" t="n">
        <v>8585346</v>
      </c>
      <c r="J11" s="208" t="n">
        <v>8504579</v>
      </c>
      <c r="K11" s="208" t="n">
        <v>8335481</v>
      </c>
      <c r="L11" s="208" t="n">
        <v>8257903</v>
      </c>
      <c r="M11" s="208" t="n">
        <v>8158318</v>
      </c>
      <c r="N11" s="208" t="n">
        <v>8097011</v>
      </c>
      <c r="O11" s="208" t="n">
        <v>7993159</v>
      </c>
      <c r="P11" s="208" t="n">
        <v>7852297</v>
      </c>
      <c r="Q11" s="208" t="n">
        <v>7717016</v>
      </c>
      <c r="R11" s="208" t="n">
        <v>7624180</v>
      </c>
      <c r="S11" s="208" t="n">
        <v>7530657</v>
      </c>
      <c r="T11" s="208" t="n">
        <v>7417118</v>
      </c>
      <c r="U11" s="208" t="n">
        <v>7309393</v>
      </c>
      <c r="V11" s="208" t="n">
        <v>7147423</v>
      </c>
    </row>
    <row r="12" ht="16.5" customHeight="1" s="217">
      <c r="A12" s="335" t="inlineStr">
        <is>
          <t xml:space="preserve">  50-59세</t>
        </is>
      </c>
      <c r="B12" s="208" t="n">
        <v>6751678</v>
      </c>
      <c r="C12" s="208" t="n">
        <v>7229163</v>
      </c>
      <c r="D12" s="208" t="n">
        <v>7504944</v>
      </c>
      <c r="E12" s="208" t="n">
        <v>7821975</v>
      </c>
      <c r="F12" s="208" t="n">
        <v>8033801</v>
      </c>
      <c r="G12" s="208" t="n">
        <v>8173256</v>
      </c>
      <c r="H12" s="208" t="n">
        <v>8305212</v>
      </c>
      <c r="I12" s="208" t="n">
        <v>8389739</v>
      </c>
      <c r="J12" s="208" t="n">
        <v>8462781</v>
      </c>
      <c r="K12" s="208" t="n">
        <v>8593283</v>
      </c>
      <c r="L12" s="208" t="n">
        <v>8575336</v>
      </c>
      <c r="M12" s="208" t="n">
        <v>8539374</v>
      </c>
      <c r="N12" s="208" t="n">
        <v>8603509</v>
      </c>
      <c r="O12" s="208" t="n">
        <v>8596363</v>
      </c>
      <c r="P12" s="208" t="n">
        <v>8705899</v>
      </c>
      <c r="Q12" s="208" t="n">
        <v>8660370</v>
      </c>
      <c r="R12" s="208" t="n">
        <v>8586606</v>
      </c>
      <c r="S12" s="208" t="n">
        <v>8508537</v>
      </c>
      <c r="T12" s="208" t="n">
        <v>8417195</v>
      </c>
      <c r="U12" s="208" t="n">
        <v>8247351</v>
      </c>
      <c r="V12" s="208" t="n">
        <v>8195954</v>
      </c>
    </row>
    <row r="13" ht="16.5" customHeight="1" s="217">
      <c r="A13" s="335" t="inlineStr">
        <is>
          <t xml:space="preserve">  60-69세</t>
        </is>
      </c>
      <c r="B13" s="208" t="n">
        <v>4090354</v>
      </c>
      <c r="C13" s="208" t="n">
        <v>4149296</v>
      </c>
      <c r="D13" s="208" t="n">
        <v>4252495</v>
      </c>
      <c r="E13" s="208" t="n">
        <v>4358060</v>
      </c>
      <c r="F13" s="208" t="n">
        <v>4546950</v>
      </c>
      <c r="G13" s="208" t="n">
        <v>4856462</v>
      </c>
      <c r="H13" s="208" t="n">
        <v>5204346</v>
      </c>
      <c r="I13" s="208" t="n">
        <v>5456887</v>
      </c>
      <c r="J13" s="208" t="n">
        <v>5745656</v>
      </c>
      <c r="K13" s="208" t="n">
        <v>6076571</v>
      </c>
      <c r="L13" s="208" t="n">
        <v>6476602</v>
      </c>
      <c r="M13" s="208" t="n">
        <v>6959660</v>
      </c>
      <c r="N13" s="208" t="n">
        <v>7211963</v>
      </c>
      <c r="O13" s="208" t="n">
        <v>7532388</v>
      </c>
      <c r="P13" s="208" t="n">
        <v>7720341</v>
      </c>
      <c r="Q13" s="208" t="n">
        <v>7844071</v>
      </c>
      <c r="R13" s="208" t="n">
        <v>7980101</v>
      </c>
      <c r="S13" s="208" t="n">
        <v>8068291</v>
      </c>
      <c r="T13" s="208" t="n">
        <v>8139161</v>
      </c>
      <c r="U13" s="208" t="n">
        <v>8263910</v>
      </c>
      <c r="V13" s="208" t="n">
        <v>8262115</v>
      </c>
    </row>
    <row r="14" ht="16.5" customHeight="1" s="217">
      <c r="A14" s="335" t="inlineStr">
        <is>
          <t xml:space="preserve">  70-79세</t>
        </is>
      </c>
      <c r="B14" s="208" t="n">
        <v>2565169</v>
      </c>
      <c r="C14" s="208" t="n">
        <v>2688344</v>
      </c>
      <c r="D14" s="208" t="n">
        <v>2841451</v>
      </c>
      <c r="E14" s="208" t="n">
        <v>2982923</v>
      </c>
      <c r="F14" s="208" t="n">
        <v>3062150</v>
      </c>
      <c r="G14" s="208" t="n">
        <v>3130047</v>
      </c>
      <c r="H14" s="208" t="n">
        <v>3129288</v>
      </c>
      <c r="I14" s="208" t="n">
        <v>3251115</v>
      </c>
      <c r="J14" s="208" t="n">
        <v>3374539</v>
      </c>
      <c r="K14" s="208" t="n">
        <v>3475741</v>
      </c>
      <c r="L14" s="208" t="n">
        <v>3598811</v>
      </c>
      <c r="M14" s="208" t="n">
        <v>3657969</v>
      </c>
      <c r="N14" s="208" t="n">
        <v>3761305</v>
      </c>
      <c r="O14" s="208" t="n">
        <v>3871775</v>
      </c>
      <c r="P14" s="208" t="n">
        <v>4046445</v>
      </c>
      <c r="Q14" s="208" t="n">
        <v>4347619</v>
      </c>
      <c r="R14" s="208" t="n">
        <v>4665354</v>
      </c>
      <c r="S14" s="208" t="n">
        <v>4907263</v>
      </c>
      <c r="T14" s="208" t="n">
        <v>5183887</v>
      </c>
      <c r="U14" s="208" t="n">
        <v>5496486</v>
      </c>
      <c r="V14" s="208" t="n">
        <v>5869554</v>
      </c>
    </row>
    <row r="15" ht="16.5" customHeight="1" s="217">
      <c r="A15" s="335" t="inlineStr">
        <is>
          <t xml:space="preserve">  80세 이상</t>
        </is>
      </c>
      <c r="B15" s="208" t="n">
        <v>922626</v>
      </c>
      <c r="C15" s="208" t="n">
        <v>980499</v>
      </c>
      <c r="D15" s="208" t="n">
        <v>1050587</v>
      </c>
      <c r="E15" s="208" t="n">
        <v>1125228</v>
      </c>
      <c r="F15" s="208" t="n">
        <v>1209247</v>
      </c>
      <c r="G15" s="208" t="n">
        <v>1305490</v>
      </c>
      <c r="H15" s="208" t="n">
        <v>1417791</v>
      </c>
      <c r="I15" s="208" t="n">
        <v>1528426</v>
      </c>
      <c r="J15" s="208" t="n">
        <v>1634958</v>
      </c>
      <c r="K15" s="208" t="n">
        <v>1764631</v>
      </c>
      <c r="L15" s="208" t="n">
        <v>1890824</v>
      </c>
      <c r="M15" s="208" t="n">
        <v>2016985</v>
      </c>
      <c r="N15" s="208" t="n">
        <v>2155978</v>
      </c>
      <c r="O15" s="208" t="n">
        <v>2289858</v>
      </c>
      <c r="P15" s="208" t="n">
        <v>2382540</v>
      </c>
      <c r="Q15" s="208" t="n">
        <v>2477683</v>
      </c>
      <c r="R15" s="208" t="n">
        <v>2522199</v>
      </c>
      <c r="S15" s="208" t="n">
        <v>2667343</v>
      </c>
      <c r="T15" s="208" t="n">
        <v>2807907</v>
      </c>
      <c r="U15" s="208" t="n">
        <v>2936935</v>
      </c>
      <c r="V15" s="208" t="n">
        <v>3073495</v>
      </c>
    </row>
    <row r="16" ht="16.5" customHeight="1" s="217">
      <c r="A16" s="335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</row>
    <row r="17" ht="16.5" customHeight="1" s="217">
      <c r="A17" s="214" t="inlineStr">
        <is>
          <t xml:space="preserve">  전체 인구</t>
        </is>
      </c>
      <c r="B17" s="213">
        <f>SUM(B7:B15)</f>
        <v/>
      </c>
      <c r="C17" s="213">
        <f>SUM(C7:C15)</f>
        <v/>
      </c>
      <c r="D17" s="213">
        <f>SUM(D7:D15)</f>
        <v/>
      </c>
      <c r="E17" s="213">
        <f>SUM(E7:E15)</f>
        <v/>
      </c>
      <c r="F17" s="213">
        <f>SUM(F7:F15)</f>
        <v/>
      </c>
      <c r="G17" s="213">
        <f>SUM(G7:G15)</f>
        <v/>
      </c>
      <c r="H17" s="213">
        <f>SUM(H7:H15)</f>
        <v/>
      </c>
      <c r="I17" s="213">
        <f>SUM(I7:I15)</f>
        <v/>
      </c>
      <c r="J17" s="213">
        <f>SUM(J7:J15)</f>
        <v/>
      </c>
      <c r="K17" s="213">
        <f>SUM(K7:K15)</f>
        <v/>
      </c>
      <c r="L17" s="213">
        <f>SUM(L7:L15)</f>
        <v/>
      </c>
      <c r="M17" s="213">
        <f>SUM(M7:M15)</f>
        <v/>
      </c>
      <c r="N17" s="213">
        <f>SUM(N7:N15)</f>
        <v/>
      </c>
      <c r="O17" s="213">
        <f>SUM(O7:O15)</f>
        <v/>
      </c>
      <c r="P17" s="213">
        <f>SUM(P7:P15)</f>
        <v/>
      </c>
      <c r="Q17" s="213">
        <f>SUM(Q7:Q15)</f>
        <v/>
      </c>
      <c r="R17" s="213">
        <f>SUM(R7:R15)</f>
        <v/>
      </c>
      <c r="S17" s="213">
        <f>SUM(S7:S15)</f>
        <v/>
      </c>
      <c r="T17" s="213">
        <f>SUM(T7:T15)</f>
        <v/>
      </c>
      <c r="U17" s="213">
        <f>SUM(U7:U15)</f>
        <v/>
      </c>
      <c r="V17" s="213">
        <f>SUM(V7:V15)</f>
        <v/>
      </c>
    </row>
    <row r="18"/>
    <row r="19" ht="16.5" customHeight="1" s="217">
      <c r="A19" s="336" t="inlineStr">
        <is>
          <t>■ B. 전신마취 환자 연령별 비율 (%)  [2010~2024 : 환자수(C) ÷ 인구(A) |  2026~2030 : 연령대별 추세에 따른 차별화된(선형회귀·평균)1 추정 방식 적용]</t>
        </is>
      </c>
      <c r="B19" s="337" t="n"/>
      <c r="C19" s="337" t="n"/>
      <c r="D19" s="337" t="n"/>
      <c r="E19" s="337" t="n"/>
      <c r="F19" s="337" t="n"/>
      <c r="G19" s="337" t="n"/>
      <c r="H19" s="337" t="n"/>
      <c r="I19" s="337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</row>
    <row r="20" ht="16.5" customHeight="1" s="217">
      <c r="A20" s="335" t="inlineStr">
        <is>
          <t xml:space="preserve">  0-9세</t>
        </is>
      </c>
      <c r="B20" s="221">
        <f>B33/B7</f>
        <v/>
      </c>
      <c r="C20" s="221">
        <f>C33/C7</f>
        <v/>
      </c>
      <c r="D20" s="221">
        <f>D33/D7</f>
        <v/>
      </c>
      <c r="E20" s="221">
        <f>E33/E7</f>
        <v/>
      </c>
      <c r="F20" s="221">
        <f>F33/F7</f>
        <v/>
      </c>
      <c r="G20" s="221">
        <f>G33/G7</f>
        <v/>
      </c>
      <c r="H20" s="221">
        <f>H33/H7</f>
        <v/>
      </c>
      <c r="I20" s="221">
        <f>I33/I7</f>
        <v/>
      </c>
      <c r="J20" s="221">
        <f>J33/J7</f>
        <v/>
      </c>
      <c r="K20" s="221">
        <f>K33/K7</f>
        <v/>
      </c>
      <c r="L20" s="221">
        <f>L33/L7</f>
        <v/>
      </c>
      <c r="M20" s="221">
        <f>M33/M7</f>
        <v/>
      </c>
      <c r="N20" s="221">
        <f>N33/N7</f>
        <v/>
      </c>
      <c r="O20" s="221">
        <f>O33/O7</f>
        <v/>
      </c>
      <c r="P20" s="221">
        <f>P33/P7</f>
        <v/>
      </c>
      <c r="Q20" s="221">
        <f>Q33/Q7</f>
        <v/>
      </c>
      <c r="R20" s="222">
        <f>$L54</f>
        <v/>
      </c>
      <c r="S20" s="222">
        <f>$L54</f>
        <v/>
      </c>
      <c r="T20" s="222">
        <f>$L54</f>
        <v/>
      </c>
      <c r="U20" s="222">
        <f>$L54</f>
        <v/>
      </c>
      <c r="V20" s="222">
        <f>$L54</f>
        <v/>
      </c>
    </row>
    <row r="21" ht="16.5" customHeight="1" s="217">
      <c r="A21" s="335" t="inlineStr">
        <is>
          <t xml:space="preserve">  10-19세</t>
        </is>
      </c>
      <c r="B21" s="221">
        <f>B34/B8</f>
        <v/>
      </c>
      <c r="C21" s="221">
        <f>C34/C8</f>
        <v/>
      </c>
      <c r="D21" s="221">
        <f>D34/D8</f>
        <v/>
      </c>
      <c r="E21" s="221">
        <f>E34/E8</f>
        <v/>
      </c>
      <c r="F21" s="221">
        <f>F34/F8</f>
        <v/>
      </c>
      <c r="G21" s="221">
        <f>G34/G8</f>
        <v/>
      </c>
      <c r="H21" s="221">
        <f>H34/H8</f>
        <v/>
      </c>
      <c r="I21" s="221">
        <f>I34/I8</f>
        <v/>
      </c>
      <c r="J21" s="221">
        <f>J34/J8</f>
        <v/>
      </c>
      <c r="K21" s="221">
        <f>K34/K8</f>
        <v/>
      </c>
      <c r="L21" s="221">
        <f>L34/L8</f>
        <v/>
      </c>
      <c r="M21" s="221">
        <f>M34/M8</f>
        <v/>
      </c>
      <c r="N21" s="221">
        <f>N34/N8</f>
        <v/>
      </c>
      <c r="O21" s="221">
        <f>O34/O8</f>
        <v/>
      </c>
      <c r="P21" s="221">
        <f>P34/P8</f>
        <v/>
      </c>
      <c r="Q21" s="221">
        <f>Q34/Q8</f>
        <v/>
      </c>
      <c r="R21" s="222">
        <f>$L55</f>
        <v/>
      </c>
      <c r="S21" s="222">
        <f>$L55</f>
        <v/>
      </c>
      <c r="T21" s="222">
        <f>$L55</f>
        <v/>
      </c>
      <c r="U21" s="222">
        <f>$L55</f>
        <v/>
      </c>
      <c r="V21" s="222">
        <f>$L55</f>
        <v/>
      </c>
    </row>
    <row r="22" ht="16.5" customHeight="1" s="217">
      <c r="A22" s="335" t="inlineStr">
        <is>
          <t xml:space="preserve">  20-29세</t>
        </is>
      </c>
      <c r="B22" s="221">
        <f>B35/B9</f>
        <v/>
      </c>
      <c r="C22" s="221">
        <f>C35/C9</f>
        <v/>
      </c>
      <c r="D22" s="221">
        <f>D35/D9</f>
        <v/>
      </c>
      <c r="E22" s="221">
        <f>E35/E9</f>
        <v/>
      </c>
      <c r="F22" s="221">
        <f>F35/F9</f>
        <v/>
      </c>
      <c r="G22" s="221">
        <f>G35/G9</f>
        <v/>
      </c>
      <c r="H22" s="221">
        <f>H35/H9</f>
        <v/>
      </c>
      <c r="I22" s="221">
        <f>I35/I9</f>
        <v/>
      </c>
      <c r="J22" s="221">
        <f>J35/J9</f>
        <v/>
      </c>
      <c r="K22" s="221">
        <f>K35/K9</f>
        <v/>
      </c>
      <c r="L22" s="221">
        <f>L35/L9</f>
        <v/>
      </c>
      <c r="M22" s="221">
        <f>M35/M9</f>
        <v/>
      </c>
      <c r="N22" s="221">
        <f>N35/N9</f>
        <v/>
      </c>
      <c r="O22" s="221">
        <f>O35/O9</f>
        <v/>
      </c>
      <c r="P22" s="221">
        <f>P35/P9</f>
        <v/>
      </c>
      <c r="Q22" s="221">
        <f>Q35/Q9</f>
        <v/>
      </c>
      <c r="R22" s="222">
        <f>$L56</f>
        <v/>
      </c>
      <c r="S22" s="222">
        <f>$L56</f>
        <v/>
      </c>
      <c r="T22" s="222">
        <f>$L56</f>
        <v/>
      </c>
      <c r="U22" s="222">
        <f>$L56</f>
        <v/>
      </c>
      <c r="V22" s="222">
        <f>$L56</f>
        <v/>
      </c>
    </row>
    <row r="23" ht="16.5" customHeight="1" s="217">
      <c r="A23" s="335" t="inlineStr">
        <is>
          <t xml:space="preserve">  30-39세</t>
        </is>
      </c>
      <c r="B23" s="221">
        <f>B36/B10</f>
        <v/>
      </c>
      <c r="C23" s="221">
        <f>C36/C10</f>
        <v/>
      </c>
      <c r="D23" s="221">
        <f>D36/D10</f>
        <v/>
      </c>
      <c r="E23" s="221">
        <f>E36/E10</f>
        <v/>
      </c>
      <c r="F23" s="221">
        <f>F36/F10</f>
        <v/>
      </c>
      <c r="G23" s="221">
        <f>G36/G10</f>
        <v/>
      </c>
      <c r="H23" s="221">
        <f>H36/H10</f>
        <v/>
      </c>
      <c r="I23" s="221">
        <f>I36/I10</f>
        <v/>
      </c>
      <c r="J23" s="221">
        <f>J36/J10</f>
        <v/>
      </c>
      <c r="K23" s="221">
        <f>K36/K10</f>
        <v/>
      </c>
      <c r="L23" s="221">
        <f>L36/L10</f>
        <v/>
      </c>
      <c r="M23" s="221">
        <f>M36/M10</f>
        <v/>
      </c>
      <c r="N23" s="221">
        <f>N36/N10</f>
        <v/>
      </c>
      <c r="O23" s="221">
        <f>O36/O10</f>
        <v/>
      </c>
      <c r="P23" s="221">
        <f>P36/P10</f>
        <v/>
      </c>
      <c r="Q23" s="221">
        <f>Q36/Q10</f>
        <v/>
      </c>
      <c r="R23" s="222">
        <f>$C$57*R$5+$D$57</f>
        <v/>
      </c>
      <c r="S23" s="222">
        <f>$C$57*S$5+$D$57</f>
        <v/>
      </c>
      <c r="T23" s="222">
        <f>$C$57*T$5+$D$57</f>
        <v/>
      </c>
      <c r="U23" s="222">
        <f>$C$57*U$5+$D$57</f>
        <v/>
      </c>
      <c r="V23" s="222">
        <f>$C$57*V$5+$D$57</f>
        <v/>
      </c>
    </row>
    <row r="24" ht="16.5" customHeight="1" s="217">
      <c r="A24" s="335" t="inlineStr">
        <is>
          <t xml:space="preserve">  40-49세</t>
        </is>
      </c>
      <c r="B24" s="221">
        <f>B37/B11</f>
        <v/>
      </c>
      <c r="C24" s="221">
        <f>C37/C11</f>
        <v/>
      </c>
      <c r="D24" s="221">
        <f>D37/D11</f>
        <v/>
      </c>
      <c r="E24" s="221">
        <f>E37/E11</f>
        <v/>
      </c>
      <c r="F24" s="221">
        <f>F37/F11</f>
        <v/>
      </c>
      <c r="G24" s="221">
        <f>G37/G11</f>
        <v/>
      </c>
      <c r="H24" s="221">
        <f>H37/H11</f>
        <v/>
      </c>
      <c r="I24" s="221">
        <f>I37/I11</f>
        <v/>
      </c>
      <c r="J24" s="221">
        <f>J37/J11</f>
        <v/>
      </c>
      <c r="K24" s="221">
        <f>K37/K11</f>
        <v/>
      </c>
      <c r="L24" s="221">
        <f>L37/L11</f>
        <v/>
      </c>
      <c r="M24" s="221">
        <f>M37/M11</f>
        <v/>
      </c>
      <c r="N24" s="221">
        <f>N37/N11</f>
        <v/>
      </c>
      <c r="O24" s="221">
        <f>O37/O11</f>
        <v/>
      </c>
      <c r="P24" s="221">
        <f>P37/P11</f>
        <v/>
      </c>
      <c r="Q24" s="221">
        <f>Q37/Q11</f>
        <v/>
      </c>
      <c r="R24" s="222">
        <f>$C$58*R$5+$D$58</f>
        <v/>
      </c>
      <c r="S24" s="222">
        <f>$C$58*S$5+$D$58</f>
        <v/>
      </c>
      <c r="T24" s="222">
        <f>$C$58*T$5+$D$58</f>
        <v/>
      </c>
      <c r="U24" s="222">
        <f>$C$58*U$5+$D$58</f>
        <v/>
      </c>
      <c r="V24" s="222">
        <f>$C$58*V$5+$D$58</f>
        <v/>
      </c>
    </row>
    <row r="25" ht="16.5" customHeight="1" s="217">
      <c r="A25" s="335" t="inlineStr">
        <is>
          <t xml:space="preserve">  50-59세</t>
        </is>
      </c>
      <c r="B25" s="221">
        <f>B38/B12</f>
        <v/>
      </c>
      <c r="C25" s="221">
        <f>C38/C12</f>
        <v/>
      </c>
      <c r="D25" s="221">
        <f>D38/D12</f>
        <v/>
      </c>
      <c r="E25" s="221">
        <f>E38/E12</f>
        <v/>
      </c>
      <c r="F25" s="221">
        <f>F38/F12</f>
        <v/>
      </c>
      <c r="G25" s="221">
        <f>G38/G12</f>
        <v/>
      </c>
      <c r="H25" s="221">
        <f>H38/H12</f>
        <v/>
      </c>
      <c r="I25" s="221">
        <f>I38/I12</f>
        <v/>
      </c>
      <c r="J25" s="221">
        <f>J38/J12</f>
        <v/>
      </c>
      <c r="K25" s="221">
        <f>K38/K12</f>
        <v/>
      </c>
      <c r="L25" s="221">
        <f>L38/L12</f>
        <v/>
      </c>
      <c r="M25" s="221">
        <f>M38/M12</f>
        <v/>
      </c>
      <c r="N25" s="221">
        <f>N38/N12</f>
        <v/>
      </c>
      <c r="O25" s="221">
        <f>O38/O12</f>
        <v/>
      </c>
      <c r="P25" s="221">
        <f>P38/P12</f>
        <v/>
      </c>
      <c r="Q25" s="221">
        <f>Q38/Q12</f>
        <v/>
      </c>
      <c r="R25" s="222">
        <f>$C$59*R$5+$D$59</f>
        <v/>
      </c>
      <c r="S25" s="222">
        <f>$C$59*S$5+$D$59</f>
        <v/>
      </c>
      <c r="T25" s="222">
        <f>$C$59*T$5+$D$59</f>
        <v/>
      </c>
      <c r="U25" s="222">
        <f>$C$59*U$5+$D$59</f>
        <v/>
      </c>
      <c r="V25" s="222">
        <f>$C$59*V$5+$D$59</f>
        <v/>
      </c>
    </row>
    <row r="26" ht="16.5" customHeight="1" s="217">
      <c r="A26" s="335" t="inlineStr">
        <is>
          <t xml:space="preserve">  60-69세</t>
        </is>
      </c>
      <c r="B26" s="221">
        <f>B39/B13</f>
        <v/>
      </c>
      <c r="C26" s="221">
        <f>C39/C13</f>
        <v/>
      </c>
      <c r="D26" s="221">
        <f>D39/D13</f>
        <v/>
      </c>
      <c r="E26" s="221">
        <f>E39/E13</f>
        <v/>
      </c>
      <c r="F26" s="221">
        <f>F39/F13</f>
        <v/>
      </c>
      <c r="G26" s="221">
        <f>G39/G13</f>
        <v/>
      </c>
      <c r="H26" s="221">
        <f>H39/H13</f>
        <v/>
      </c>
      <c r="I26" s="221">
        <f>I39/I13</f>
        <v/>
      </c>
      <c r="J26" s="221">
        <f>J39/J13</f>
        <v/>
      </c>
      <c r="K26" s="221">
        <f>K39/K13</f>
        <v/>
      </c>
      <c r="L26" s="221">
        <f>L39/L13</f>
        <v/>
      </c>
      <c r="M26" s="221">
        <f>M39/M13</f>
        <v/>
      </c>
      <c r="N26" s="221">
        <f>N39/N13</f>
        <v/>
      </c>
      <c r="O26" s="221">
        <f>O39/O13</f>
        <v/>
      </c>
      <c r="P26" s="221">
        <f>P39/P13</f>
        <v/>
      </c>
      <c r="Q26" s="221">
        <f>Q39/Q13</f>
        <v/>
      </c>
      <c r="R26" s="222">
        <f>$L60</f>
        <v/>
      </c>
      <c r="S26" s="222">
        <f>$L60</f>
        <v/>
      </c>
      <c r="T26" s="222">
        <f>$L60</f>
        <v/>
      </c>
      <c r="U26" s="222">
        <f>$L60</f>
        <v/>
      </c>
      <c r="V26" s="222">
        <f>$L60</f>
        <v/>
      </c>
    </row>
    <row r="27" ht="16.5" customHeight="1" s="217">
      <c r="A27" s="335" t="inlineStr">
        <is>
          <t xml:space="preserve">  70-79세</t>
        </is>
      </c>
      <c r="B27" s="221">
        <f>B40/B14</f>
        <v/>
      </c>
      <c r="C27" s="221">
        <f>C40/C14</f>
        <v/>
      </c>
      <c r="D27" s="221">
        <f>D40/D14</f>
        <v/>
      </c>
      <c r="E27" s="221">
        <f>E40/E14</f>
        <v/>
      </c>
      <c r="F27" s="221">
        <f>F40/F14</f>
        <v/>
      </c>
      <c r="G27" s="221">
        <f>G40/G14</f>
        <v/>
      </c>
      <c r="H27" s="221">
        <f>H40/H14</f>
        <v/>
      </c>
      <c r="I27" s="221">
        <f>I40/I14</f>
        <v/>
      </c>
      <c r="J27" s="221">
        <f>J40/J14</f>
        <v/>
      </c>
      <c r="K27" s="221">
        <f>K40/K14</f>
        <v/>
      </c>
      <c r="L27" s="221">
        <f>L40/L14</f>
        <v/>
      </c>
      <c r="M27" s="221">
        <f>M40/M14</f>
        <v/>
      </c>
      <c r="N27" s="221">
        <f>N40/N14</f>
        <v/>
      </c>
      <c r="O27" s="221">
        <f>O40/O14</f>
        <v/>
      </c>
      <c r="P27" s="221">
        <f>P40/P14</f>
        <v/>
      </c>
      <c r="Q27" s="221">
        <f>Q40/Q14</f>
        <v/>
      </c>
      <c r="R27" s="222">
        <f>$L61</f>
        <v/>
      </c>
      <c r="S27" s="222">
        <f>$L61</f>
        <v/>
      </c>
      <c r="T27" s="222">
        <f>$L61</f>
        <v/>
      </c>
      <c r="U27" s="222">
        <f>$L61</f>
        <v/>
      </c>
      <c r="V27" s="222">
        <f>$L61</f>
        <v/>
      </c>
    </row>
    <row r="28" ht="16.5" customHeight="1" s="217">
      <c r="A28" s="335" t="inlineStr">
        <is>
          <t xml:space="preserve">  80세 이상</t>
        </is>
      </c>
      <c r="B28" s="221">
        <f>B41/B15</f>
        <v/>
      </c>
      <c r="C28" s="221">
        <f>C41/C15</f>
        <v/>
      </c>
      <c r="D28" s="221">
        <f>D41/D15</f>
        <v/>
      </c>
      <c r="E28" s="221">
        <f>E41/E15</f>
        <v/>
      </c>
      <c r="F28" s="221">
        <f>F41/F15</f>
        <v/>
      </c>
      <c r="G28" s="221">
        <f>G41/G15</f>
        <v/>
      </c>
      <c r="H28" s="221">
        <f>H41/H15</f>
        <v/>
      </c>
      <c r="I28" s="221">
        <f>I41/I15</f>
        <v/>
      </c>
      <c r="J28" s="221">
        <f>J41/J15</f>
        <v/>
      </c>
      <c r="K28" s="221">
        <f>K41/K15</f>
        <v/>
      </c>
      <c r="L28" s="221">
        <f>L41/L15</f>
        <v/>
      </c>
      <c r="M28" s="221">
        <f>M41/M15</f>
        <v/>
      </c>
      <c r="N28" s="221">
        <f>N41/N15</f>
        <v/>
      </c>
      <c r="O28" s="221">
        <f>O41/O15</f>
        <v/>
      </c>
      <c r="P28" s="221">
        <f>P41/P15</f>
        <v/>
      </c>
      <c r="Q28" s="221">
        <f>Q41/Q15</f>
        <v/>
      </c>
      <c r="R28" s="222">
        <f>$L62</f>
        <v/>
      </c>
      <c r="S28" s="222">
        <f>$L62</f>
        <v/>
      </c>
      <c r="T28" s="222">
        <f>$L62</f>
        <v/>
      </c>
      <c r="U28" s="222">
        <f>$L62</f>
        <v/>
      </c>
      <c r="V28" s="222">
        <f>$L62</f>
        <v/>
      </c>
    </row>
    <row r="29" ht="16.5" customHeight="1" s="217">
      <c r="A29" s="335" t="n"/>
      <c r="B29" s="221" t="n"/>
      <c r="C29" s="221" t="n"/>
      <c r="D29" s="221" t="n"/>
      <c r="E29" s="221" t="n"/>
      <c r="F29" s="221" t="n"/>
      <c r="G29" s="221" t="n"/>
      <c r="H29" s="221" t="n"/>
      <c r="I29" s="221" t="n"/>
      <c r="J29" s="221" t="n"/>
      <c r="K29" s="221" t="n"/>
      <c r="L29" s="221" t="n"/>
      <c r="M29" s="221" t="n"/>
      <c r="N29" s="221" t="n"/>
      <c r="O29" s="221" t="n"/>
      <c r="P29" s="221" t="n"/>
      <c r="Q29" s="221" t="n"/>
      <c r="R29" s="222" t="n"/>
      <c r="S29" s="222" t="n"/>
      <c r="T29" s="222" t="n"/>
      <c r="U29" s="222" t="n"/>
      <c r="V29" s="222" t="n"/>
    </row>
    <row r="30" ht="16.5" customHeight="1" s="217">
      <c r="A30" s="338" t="inlineStr">
        <is>
          <t xml:space="preserve">  전체 비율</t>
        </is>
      </c>
      <c r="B30" s="339">
        <f>B42/B17</f>
        <v/>
      </c>
      <c r="C30" s="339">
        <f>C42/C17</f>
        <v/>
      </c>
      <c r="D30" s="339">
        <f>D42/D17</f>
        <v/>
      </c>
      <c r="E30" s="339">
        <f>E42/E17</f>
        <v/>
      </c>
      <c r="F30" s="339">
        <f>F42/F17</f>
        <v/>
      </c>
      <c r="G30" s="339">
        <f>G42/G17</f>
        <v/>
      </c>
      <c r="H30" s="339">
        <f>H42/H17</f>
        <v/>
      </c>
      <c r="I30" s="339">
        <f>I42/I17</f>
        <v/>
      </c>
      <c r="J30" s="339">
        <f>J42/J17</f>
        <v/>
      </c>
      <c r="K30" s="339">
        <f>K42/K17</f>
        <v/>
      </c>
      <c r="L30" s="339">
        <f>L42/L17</f>
        <v/>
      </c>
      <c r="M30" s="339">
        <f>M42/M17</f>
        <v/>
      </c>
      <c r="N30" s="339">
        <f>N42/N17</f>
        <v/>
      </c>
      <c r="O30" s="339">
        <f>O42/O17</f>
        <v/>
      </c>
      <c r="P30" s="339">
        <f>P42/P17</f>
        <v/>
      </c>
      <c r="Q30" s="339">
        <f>Q42/Q17</f>
        <v/>
      </c>
      <c r="R30" s="339">
        <f>R42/R17</f>
        <v/>
      </c>
      <c r="S30" s="339">
        <f>S42/S17</f>
        <v/>
      </c>
      <c r="T30" s="339">
        <f>T42/T17</f>
        <v/>
      </c>
      <c r="U30" s="339">
        <f>U42/U17</f>
        <v/>
      </c>
      <c r="V30" s="339">
        <f>V42/V17</f>
        <v/>
      </c>
    </row>
    <row r="31"/>
    <row r="32" ht="16.5" customHeight="1" s="217">
      <c r="A32" s="336" t="inlineStr">
        <is>
          <t>■ C. 전신마취 환자수 (명)                [2010~2025 : NHIS L1211+1212 실측 |  2026~2030 : 인구(A) ×유병률(B)]</t>
        </is>
      </c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</row>
    <row r="33" ht="16.5" customHeight="1" s="217">
      <c r="A33" s="335" t="inlineStr">
        <is>
          <t xml:space="preserve">  0-9세</t>
        </is>
      </c>
      <c r="B33" s="48" t="n">
        <v>91549</v>
      </c>
      <c r="C33" s="48" t="n">
        <v>94141</v>
      </c>
      <c r="D33" s="48" t="n">
        <v>91485</v>
      </c>
      <c r="E33" s="48" t="n">
        <v>81220</v>
      </c>
      <c r="F33" s="48" t="n">
        <v>69973</v>
      </c>
      <c r="G33" s="48" t="n">
        <v>68365</v>
      </c>
      <c r="H33" s="48" t="n">
        <v>69178</v>
      </c>
      <c r="I33" s="48" t="n">
        <v>66073</v>
      </c>
      <c r="J33" s="48" t="n">
        <v>63030</v>
      </c>
      <c r="K33" s="48" t="n">
        <v>65230</v>
      </c>
      <c r="L33" s="48" t="n">
        <v>60427</v>
      </c>
      <c r="M33" s="48" t="n">
        <v>60799</v>
      </c>
      <c r="N33" s="48" t="n">
        <v>52238</v>
      </c>
      <c r="O33" s="48" t="n">
        <v>56676</v>
      </c>
      <c r="P33" s="48" t="n">
        <v>51839</v>
      </c>
      <c r="Q33" s="48" t="n">
        <v>50130</v>
      </c>
      <c r="R33" s="49">
        <f>R7*R20</f>
        <v/>
      </c>
      <c r="S33" s="49">
        <f>S7*S20</f>
        <v/>
      </c>
      <c r="T33" s="49">
        <f>T7*T20</f>
        <v/>
      </c>
      <c r="U33" s="49">
        <f>U7*U20</f>
        <v/>
      </c>
      <c r="V33" s="49">
        <f>V7*V20</f>
        <v/>
      </c>
    </row>
    <row r="34" ht="16.5" customHeight="1" s="217">
      <c r="A34" s="335" t="inlineStr">
        <is>
          <t xml:space="preserve">  10-19세</t>
        </is>
      </c>
      <c r="B34" s="48" t="n">
        <v>85028</v>
      </c>
      <c r="C34" s="48" t="n">
        <v>85974</v>
      </c>
      <c r="D34" s="48" t="n">
        <v>83270</v>
      </c>
      <c r="E34" s="48" t="n">
        <v>68438</v>
      </c>
      <c r="F34" s="48" t="n">
        <v>59440</v>
      </c>
      <c r="G34" s="48" t="n">
        <v>57229</v>
      </c>
      <c r="H34" s="48" t="n">
        <v>54783</v>
      </c>
      <c r="I34" s="48" t="n">
        <v>52126</v>
      </c>
      <c r="J34" s="48" t="n">
        <v>50607</v>
      </c>
      <c r="K34" s="48" t="n">
        <v>52324</v>
      </c>
      <c r="L34" s="48" t="n">
        <v>46041</v>
      </c>
      <c r="M34" s="48" t="n">
        <v>48668</v>
      </c>
      <c r="N34" s="48" t="n">
        <v>47831</v>
      </c>
      <c r="O34" s="48" t="n">
        <v>54607</v>
      </c>
      <c r="P34" s="48" t="n">
        <v>50925</v>
      </c>
      <c r="Q34" s="48" t="n">
        <v>48269</v>
      </c>
      <c r="R34" s="49">
        <f>R8*R21</f>
        <v/>
      </c>
      <c r="S34" s="49">
        <f>S8*S21</f>
        <v/>
      </c>
      <c r="T34" s="49">
        <f>T8*T21</f>
        <v/>
      </c>
      <c r="U34" s="49">
        <f>U8*U21</f>
        <v/>
      </c>
      <c r="V34" s="49">
        <f>V8*V21</f>
        <v/>
      </c>
    </row>
    <row r="35" ht="16.5" customHeight="1" s="217">
      <c r="A35" s="335" t="inlineStr">
        <is>
          <t xml:space="preserve">  20-29세</t>
        </is>
      </c>
      <c r="B35" s="48" t="n">
        <v>106295</v>
      </c>
      <c r="C35" s="48" t="n">
        <v>104595</v>
      </c>
      <c r="D35" s="48" t="n">
        <v>96499</v>
      </c>
      <c r="E35" s="48" t="n">
        <v>79774</v>
      </c>
      <c r="F35" s="48" t="n">
        <v>71919</v>
      </c>
      <c r="G35" s="48" t="n">
        <v>70926</v>
      </c>
      <c r="H35" s="48" t="n">
        <v>72683</v>
      </c>
      <c r="I35" s="48" t="n">
        <v>72896</v>
      </c>
      <c r="J35" s="48" t="n">
        <v>73407</v>
      </c>
      <c r="K35" s="48" t="n">
        <v>76718</v>
      </c>
      <c r="L35" s="48" t="n">
        <v>80056</v>
      </c>
      <c r="M35" s="48" t="n">
        <v>83325</v>
      </c>
      <c r="N35" s="48" t="n">
        <v>73269</v>
      </c>
      <c r="O35" s="48" t="n">
        <v>79137</v>
      </c>
      <c r="P35" s="48" t="n">
        <v>68668</v>
      </c>
      <c r="Q35" s="48" t="n">
        <v>63263</v>
      </c>
      <c r="R35" s="49">
        <f>R9*R22</f>
        <v/>
      </c>
      <c r="S35" s="49">
        <f>S9*S22</f>
        <v/>
      </c>
      <c r="T35" s="49">
        <f>T9*T22</f>
        <v/>
      </c>
      <c r="U35" s="49">
        <f>U9*U22</f>
        <v/>
      </c>
      <c r="V35" s="49">
        <f>V9*V22</f>
        <v/>
      </c>
    </row>
    <row r="36" ht="16.5" customHeight="1" s="217">
      <c r="A36" s="335" t="inlineStr">
        <is>
          <t xml:space="preserve">  30-39세</t>
        </is>
      </c>
      <c r="B36" s="48" t="n">
        <v>160278</v>
      </c>
      <c r="C36" s="48" t="n">
        <v>164919</v>
      </c>
      <c r="D36" s="48" t="n">
        <v>155026</v>
      </c>
      <c r="E36" s="48" t="n">
        <v>128602</v>
      </c>
      <c r="F36" s="48" t="n">
        <v>111068</v>
      </c>
      <c r="G36" s="48" t="n">
        <v>105403</v>
      </c>
      <c r="H36" s="48" t="n">
        <v>108007</v>
      </c>
      <c r="I36" s="48" t="n">
        <v>109215</v>
      </c>
      <c r="J36" s="48" t="n">
        <v>115054</v>
      </c>
      <c r="K36" s="48" t="n">
        <v>121341</v>
      </c>
      <c r="L36" s="48" t="n">
        <v>128162</v>
      </c>
      <c r="M36" s="48" t="n">
        <v>136317</v>
      </c>
      <c r="N36" s="48" t="n">
        <v>124795</v>
      </c>
      <c r="O36" s="48" t="n">
        <v>141642</v>
      </c>
      <c r="P36" s="48" t="n">
        <v>143729</v>
      </c>
      <c r="Q36" s="48" t="n">
        <v>146765</v>
      </c>
      <c r="R36" s="49">
        <f>R10*R23</f>
        <v/>
      </c>
      <c r="S36" s="49">
        <f>S10*S23</f>
        <v/>
      </c>
      <c r="T36" s="49">
        <f>T10*T23</f>
        <v/>
      </c>
      <c r="U36" s="49">
        <f>U10*U23</f>
        <v/>
      </c>
      <c r="V36" s="49">
        <f>V10*V23</f>
        <v/>
      </c>
    </row>
    <row r="37" ht="16.5" customHeight="1" s="217">
      <c r="A37" s="335" t="inlineStr">
        <is>
          <t xml:space="preserve">  40-49세</t>
        </is>
      </c>
      <c r="B37" s="48" t="n">
        <v>186193</v>
      </c>
      <c r="C37" s="48" t="n">
        <v>194364</v>
      </c>
      <c r="D37" s="48" t="n">
        <v>197341</v>
      </c>
      <c r="E37" s="48" t="n">
        <v>179260</v>
      </c>
      <c r="F37" s="48" t="n">
        <v>160846</v>
      </c>
      <c r="G37" s="48" t="n">
        <v>155333</v>
      </c>
      <c r="H37" s="48" t="n">
        <v>159218</v>
      </c>
      <c r="I37" s="48" t="n">
        <v>163077</v>
      </c>
      <c r="J37" s="48" t="n">
        <v>164682</v>
      </c>
      <c r="K37" s="48" t="n">
        <v>172066</v>
      </c>
      <c r="L37" s="48" t="n">
        <v>177078</v>
      </c>
      <c r="M37" s="48" t="n">
        <v>188877</v>
      </c>
      <c r="N37" s="48" t="n">
        <v>176764</v>
      </c>
      <c r="O37" s="48" t="n">
        <v>200802</v>
      </c>
      <c r="P37" s="48" t="n">
        <v>193171</v>
      </c>
      <c r="Q37" s="48" t="n">
        <v>189380</v>
      </c>
      <c r="R37" s="49">
        <f>R11*R24</f>
        <v/>
      </c>
      <c r="S37" s="49">
        <f>S11*S24</f>
        <v/>
      </c>
      <c r="T37" s="49">
        <f>T11*T24</f>
        <v/>
      </c>
      <c r="U37" s="49">
        <f>U11*U24</f>
        <v/>
      </c>
      <c r="V37" s="49">
        <f>V11*V24</f>
        <v/>
      </c>
    </row>
    <row r="38" ht="16.5" customHeight="1" s="217">
      <c r="A38" s="335" t="inlineStr">
        <is>
          <t xml:space="preserve">  50-59세</t>
        </is>
      </c>
      <c r="B38" s="48" t="n">
        <v>183476</v>
      </c>
      <c r="C38" s="48" t="n">
        <v>210154</v>
      </c>
      <c r="D38" s="48" t="n">
        <v>228633</v>
      </c>
      <c r="E38" s="48" t="n">
        <v>226930</v>
      </c>
      <c r="F38" s="48" t="n">
        <v>216983</v>
      </c>
      <c r="G38" s="48" t="n">
        <v>212264</v>
      </c>
      <c r="H38" s="48" t="n">
        <v>220085</v>
      </c>
      <c r="I38" s="48" t="n">
        <v>224670</v>
      </c>
      <c r="J38" s="48" t="n">
        <v>226503</v>
      </c>
      <c r="K38" s="48" t="n">
        <v>235230</v>
      </c>
      <c r="L38" s="48" t="n">
        <v>229149</v>
      </c>
      <c r="M38" s="48" t="n">
        <v>233720</v>
      </c>
      <c r="N38" s="48" t="n">
        <v>209986</v>
      </c>
      <c r="O38" s="48" t="n">
        <v>233718</v>
      </c>
      <c r="P38" s="48" t="n">
        <v>216988</v>
      </c>
      <c r="Q38" s="48" t="n">
        <v>208245</v>
      </c>
      <c r="R38" s="49">
        <f>R12*R25</f>
        <v/>
      </c>
      <c r="S38" s="49">
        <f>S12*S25</f>
        <v/>
      </c>
      <c r="T38" s="49">
        <f>T12*T25</f>
        <v/>
      </c>
      <c r="U38" s="49">
        <f>U12*U25</f>
        <v/>
      </c>
      <c r="V38" s="49">
        <f>V12*V25</f>
        <v/>
      </c>
    </row>
    <row r="39" ht="16.5" customHeight="1" s="217">
      <c r="A39" s="335" t="inlineStr">
        <is>
          <t xml:space="preserve">  60-69세</t>
        </is>
      </c>
      <c r="B39" s="48" t="n">
        <v>142696</v>
      </c>
      <c r="C39" s="48" t="n">
        <v>151713</v>
      </c>
      <c r="D39" s="48" t="n">
        <v>162479</v>
      </c>
      <c r="E39" s="48" t="n">
        <v>161483</v>
      </c>
      <c r="F39" s="48" t="n">
        <v>160733</v>
      </c>
      <c r="G39" s="48" t="n">
        <v>166083</v>
      </c>
      <c r="H39" s="48" t="n">
        <v>184401</v>
      </c>
      <c r="I39" s="48" t="n">
        <v>195728</v>
      </c>
      <c r="J39" s="48" t="n">
        <v>208663</v>
      </c>
      <c r="K39" s="48" t="n">
        <v>227810</v>
      </c>
      <c r="L39" s="48" t="n">
        <v>235289</v>
      </c>
      <c r="M39" s="48" t="n">
        <v>264146</v>
      </c>
      <c r="N39" s="48" t="n">
        <v>245410</v>
      </c>
      <c r="O39" s="48" t="n">
        <v>285692</v>
      </c>
      <c r="P39" s="48" t="n">
        <v>263680</v>
      </c>
      <c r="Q39" s="48" t="n">
        <v>256213</v>
      </c>
      <c r="R39" s="49">
        <f>R13*R26</f>
        <v/>
      </c>
      <c r="S39" s="49">
        <f>S13*S26</f>
        <v/>
      </c>
      <c r="T39" s="49">
        <f>T13*T26</f>
        <v/>
      </c>
      <c r="U39" s="49">
        <f>U13*U26</f>
        <v/>
      </c>
      <c r="V39" s="49">
        <f>V13*V26</f>
        <v/>
      </c>
    </row>
    <row r="40" ht="16.5" customHeight="1" s="217">
      <c r="A40" s="335" t="inlineStr">
        <is>
          <t xml:space="preserve">  70-79세</t>
        </is>
      </c>
      <c r="B40" s="48" t="n">
        <v>85079</v>
      </c>
      <c r="C40" s="48" t="n">
        <v>94253</v>
      </c>
      <c r="D40" s="48" t="n">
        <v>107145</v>
      </c>
      <c r="E40" s="48" t="n">
        <v>112868</v>
      </c>
      <c r="F40" s="48" t="n">
        <v>112731</v>
      </c>
      <c r="G40" s="48" t="n">
        <v>115519</v>
      </c>
      <c r="H40" s="48" t="n">
        <v>124513</v>
      </c>
      <c r="I40" s="48" t="n">
        <v>131691</v>
      </c>
      <c r="J40" s="48" t="n">
        <v>141224</v>
      </c>
      <c r="K40" s="48" t="n">
        <v>154468</v>
      </c>
      <c r="L40" s="48" t="n">
        <v>154805</v>
      </c>
      <c r="M40" s="48" t="n">
        <v>168787</v>
      </c>
      <c r="N40" s="48" t="n">
        <v>157255</v>
      </c>
      <c r="O40" s="48" t="n">
        <v>182283</v>
      </c>
      <c r="P40" s="48" t="n">
        <v>171560</v>
      </c>
      <c r="Q40" s="48" t="n">
        <v>176851</v>
      </c>
      <c r="R40" s="49">
        <f>R14*R27</f>
        <v/>
      </c>
      <c r="S40" s="49">
        <f>S14*S27</f>
        <v/>
      </c>
      <c r="T40" s="49">
        <f>T14*T27</f>
        <v/>
      </c>
      <c r="U40" s="49">
        <f>U14*U27</f>
        <v/>
      </c>
      <c r="V40" s="49">
        <f>V14*V27</f>
        <v/>
      </c>
    </row>
    <row r="41" ht="16.5" customHeight="1" s="217">
      <c r="A41" s="335" t="inlineStr">
        <is>
          <t xml:space="preserve">  80세 이상</t>
        </is>
      </c>
      <c r="B41" s="48" t="n">
        <v>16600</v>
      </c>
      <c r="C41" s="48" t="n">
        <v>19224</v>
      </c>
      <c r="D41" s="48" t="n">
        <v>22599</v>
      </c>
      <c r="E41" s="48" t="n">
        <v>24942</v>
      </c>
      <c r="F41" s="48" t="n">
        <v>26737</v>
      </c>
      <c r="G41" s="48" t="n">
        <v>30632</v>
      </c>
      <c r="H41" s="48" t="n">
        <v>35933</v>
      </c>
      <c r="I41" s="48" t="n">
        <v>41037</v>
      </c>
      <c r="J41" s="48" t="n">
        <v>46209</v>
      </c>
      <c r="K41" s="48" t="n">
        <v>52818</v>
      </c>
      <c r="L41" s="48" t="n">
        <v>56532</v>
      </c>
      <c r="M41" s="48" t="n">
        <v>64359</v>
      </c>
      <c r="N41" s="48" t="n">
        <v>64234</v>
      </c>
      <c r="O41" s="48" t="n">
        <v>77794</v>
      </c>
      <c r="P41" s="48" t="n">
        <v>71940</v>
      </c>
      <c r="Q41" s="48" t="n">
        <v>72465</v>
      </c>
      <c r="R41" s="49">
        <f>R15*R28</f>
        <v/>
      </c>
      <c r="S41" s="49">
        <f>S15*S28</f>
        <v/>
      </c>
      <c r="T41" s="49">
        <f>T15*T28</f>
        <v/>
      </c>
      <c r="U41" s="49">
        <f>U15*U28</f>
        <v/>
      </c>
      <c r="V41" s="49">
        <f>V15*V28</f>
        <v/>
      </c>
    </row>
    <row r="42" ht="16.5" customHeight="1" s="217">
      <c r="A42" s="50" t="inlineStr">
        <is>
          <t xml:space="preserve">  ▶ 전체 전신마취 환자수</t>
        </is>
      </c>
      <c r="B42" s="51">
        <f>SUM(B33:B41)</f>
        <v/>
      </c>
      <c r="C42" s="51">
        <f>SUM(C33:C41)</f>
        <v/>
      </c>
      <c r="D42" s="51">
        <f>SUM(D33:D41)</f>
        <v/>
      </c>
      <c r="E42" s="51">
        <f>SUM(E33:E41)</f>
        <v/>
      </c>
      <c r="F42" s="51">
        <f>SUM(F33:F41)</f>
        <v/>
      </c>
      <c r="G42" s="51">
        <f>SUM(G33:G41)</f>
        <v/>
      </c>
      <c r="H42" s="51">
        <f>SUM(H33:H41)</f>
        <v/>
      </c>
      <c r="I42" s="51">
        <f>SUM(I33:I41)</f>
        <v/>
      </c>
      <c r="J42" s="51">
        <f>SUM(J33:J41)</f>
        <v/>
      </c>
      <c r="K42" s="51">
        <f>SUM(K33:K41)</f>
        <v/>
      </c>
      <c r="L42" s="51">
        <f>SUM(L33:L41)</f>
        <v/>
      </c>
      <c r="M42" s="51">
        <f>SUM(M33:M41)</f>
        <v/>
      </c>
      <c r="N42" s="51">
        <f>SUM(N33:N41)</f>
        <v/>
      </c>
      <c r="O42" s="51">
        <f>SUM(O33:O41)</f>
        <v/>
      </c>
      <c r="P42" s="51">
        <f>SUM(P33:P41)</f>
        <v/>
      </c>
      <c r="Q42" s="51">
        <f>SUM(Q33:Q41)</f>
        <v/>
      </c>
      <c r="R42" s="51">
        <f>SUM(R33:R41)</f>
        <v/>
      </c>
      <c r="S42" s="51">
        <f>SUM(S33:S41)</f>
        <v/>
      </c>
      <c r="T42" s="51">
        <f>SUM(T33:T41)</f>
        <v/>
      </c>
      <c r="U42" s="51">
        <f>SUM(U33:U41)</f>
        <v/>
      </c>
      <c r="V42" s="51">
        <f>SUM(V33:V41)</f>
        <v/>
      </c>
    </row>
    <row r="43">
      <c r="A43" s="338" t="inlineStr">
        <is>
          <t>성장률(YoY)</t>
        </is>
      </c>
      <c r="B43" s="340" t="inlineStr">
        <is>
          <t xml:space="preserve"> </t>
        </is>
      </c>
      <c r="C43" s="340">
        <f>C42/B42-1</f>
        <v/>
      </c>
      <c r="D43" s="340">
        <f>D42/C42-1</f>
        <v/>
      </c>
      <c r="E43" s="340">
        <f>E42/D42-1</f>
        <v/>
      </c>
      <c r="F43" s="340">
        <f>F42/E42-1</f>
        <v/>
      </c>
      <c r="G43" s="340">
        <f>G42/F42-1</f>
        <v/>
      </c>
      <c r="H43" s="340">
        <f>H42/G42-1</f>
        <v/>
      </c>
      <c r="I43" s="340">
        <f>I42/H42-1</f>
        <v/>
      </c>
      <c r="J43" s="340">
        <f>J42/I42-1</f>
        <v/>
      </c>
      <c r="K43" s="340">
        <f>K42/J42-1</f>
        <v/>
      </c>
      <c r="L43" s="340">
        <f>L42/K42-1</f>
        <v/>
      </c>
      <c r="M43" s="340">
        <f>M42/L42-1</f>
        <v/>
      </c>
      <c r="N43" s="340">
        <f>N42/M42-1</f>
        <v/>
      </c>
      <c r="O43" s="340">
        <f>O42/N42-1</f>
        <v/>
      </c>
      <c r="P43" s="340">
        <f>P42/O42-1</f>
        <v/>
      </c>
      <c r="Q43" s="340">
        <f>Q42/P42-1</f>
        <v/>
      </c>
      <c r="R43" s="340">
        <f>R42/Q42-1</f>
        <v/>
      </c>
      <c r="S43" s="340">
        <f>S42/R42-1</f>
        <v/>
      </c>
      <c r="T43" s="340">
        <f>T42/S42-1</f>
        <v/>
      </c>
      <c r="U43" s="340">
        <f>U42/T42-1</f>
        <v/>
      </c>
      <c r="V43" s="340">
        <f>V42/U42-1</f>
        <v/>
      </c>
    </row>
    <row r="44"/>
    <row r="45">
      <c r="B45" s="335" t="inlineStr">
        <is>
          <t xml:space="preserve">[참고] </t>
        </is>
      </c>
    </row>
    <row r="46">
      <c r="B46" s="341" t="inlineStr">
        <is>
          <t>1)연령대별 전신마취 환자 비율 추정 방법</t>
        </is>
      </c>
      <c r="C46" s="342" t="n"/>
    </row>
    <row r="47">
      <c r="B47" s="212" t="inlineStr">
        <is>
          <t xml:space="preserve">*분석 데이터: </t>
        </is>
      </c>
      <c r="C47" s="341" t="inlineStr">
        <is>
          <t>2010~2024년 실측 데이터 (50대 미만에서는 2013년 데이터 구조적 변화 확인으로 이후 구간 적용)</t>
        </is>
      </c>
      <c r="D47" s="343" t="n"/>
      <c r="E47" s="343" t="n"/>
      <c r="F47" s="343" t="n"/>
      <c r="G47" s="343" t="n"/>
      <c r="H47" s="343" t="n"/>
      <c r="I47" s="343" t="n"/>
      <c r="J47" s="343" t="n"/>
      <c r="K47" s="343" t="n"/>
    </row>
    <row r="48">
      <c r="B48" s="341" t="inlineStr">
        <is>
          <t>*추정 방식:</t>
        </is>
      </c>
      <c r="C48" s="344" t="inlineStr">
        <is>
          <t>• 추세 유 (30~50대): 선형회귀 연장 (비율 = 기울기 × 연도 + 절편)</t>
        </is>
      </c>
      <c r="D48" s="343" t="n"/>
      <c r="E48" s="343" t="n"/>
      <c r="F48" s="343" t="n"/>
      <c r="G48" s="343" t="n"/>
      <c r="H48" s="343" t="n"/>
      <c r="I48" s="343" t="n"/>
      <c r="J48" s="343" t="n"/>
      <c r="K48" s="343" t="n"/>
    </row>
    <row r="49">
      <c r="B49" s="341" t="n"/>
      <c r="C49" s="341" t="inlineStr">
        <is>
          <t>• 추세 무 (기타 연령대): 최근 5개년(21~25년) 평균값 적용</t>
        </is>
      </c>
      <c r="D49" s="343" t="n"/>
      <c r="E49" s="343" t="n"/>
      <c r="F49" s="343" t="n"/>
      <c r="G49" s="343" t="n"/>
      <c r="H49" s="343" t="n"/>
      <c r="I49" s="343" t="n"/>
      <c r="J49" s="343" t="n"/>
      <c r="K49" s="343" t="n"/>
    </row>
    <row r="50">
      <c r="B50" s="212" t="inlineStr">
        <is>
          <t xml:space="preserve">*주의사항: </t>
        </is>
      </c>
      <c r="C50" s="344" t="inlineStr">
        <is>
          <t>NHIS 진료행위 통계 집계 시, 포괄수가 청구건은 마취행위(L1211, L1212)에 별도 누적·집계되지 않음</t>
        </is>
      </c>
      <c r="D50" s="343" t="n"/>
      <c r="E50" s="343" t="n"/>
      <c r="F50" s="343" t="n"/>
      <c r="G50" s="343" t="n"/>
      <c r="H50" s="343" t="n"/>
      <c r="I50" s="343" t="n"/>
      <c r="J50" s="343" t="n"/>
      <c r="K50" s="343" t="n"/>
    </row>
    <row r="51" ht="16.5" customHeight="1" s="217">
      <c r="B51" s="212" t="inlineStr">
        <is>
          <t>*방법 적합성은 2021~2025년 실제 데이터(walk-forward 백테스트, MAPE 기준)로 사전 검증 후 채택</t>
        </is>
      </c>
      <c r="C51" s="342" t="n"/>
    </row>
    <row r="52" ht="4.75" customHeight="1" s="217">
      <c r="B52" s="341" t="n"/>
      <c r="C52" s="342" t="n"/>
    </row>
    <row r="53" ht="16.5" customHeight="1" s="217">
      <c r="B53" s="345" t="inlineStr">
        <is>
          <t>연령대</t>
        </is>
      </c>
      <c r="C53" s="345" t="inlineStr">
        <is>
          <t>기울기(slope)</t>
        </is>
      </c>
      <c r="D53" s="345" t="inlineStr">
        <is>
          <t>절편(intercept)</t>
        </is>
      </c>
      <c r="E53" s="345" t="inlineStr">
        <is>
          <t>R²</t>
        </is>
      </c>
      <c r="F53" s="345" t="inlineStr">
        <is>
          <t>적합구간</t>
        </is>
      </c>
      <c r="G53" s="346" t="n"/>
      <c r="H53" s="346" t="n"/>
      <c r="I53" s="345" t="inlineStr">
        <is>
          <t>적용방법</t>
        </is>
      </c>
      <c r="J53" s="346" t="n"/>
      <c r="K53" s="346" t="n"/>
      <c r="L53" s="347" t="inlineStr">
        <is>
          <t>적용값(%, 평균법만 해당)</t>
        </is>
      </c>
      <c r="M53" s="348" t="n"/>
    </row>
    <row r="54" ht="16.5" customHeight="1" s="217">
      <c r="B54" s="349" t="inlineStr">
        <is>
          <t xml:space="preserve">  0-9세</t>
        </is>
      </c>
      <c r="C54" s="350">
        <f>SLOPE(E20:Q20,$E$5:$Q$5)</f>
        <v/>
      </c>
      <c r="D54" s="350">
        <f>INTERCEPT(E20:Q20,$E$5:$Q$5)</f>
        <v/>
      </c>
      <c r="E54" s="350">
        <f>RSQ(E20:Q20,$E$5:$Q$5)</f>
        <v/>
      </c>
      <c r="F54" s="351" t="inlineStr">
        <is>
          <t xml:space="preserve">2013-2025 (12개년, 단절이후); 참고용 </t>
        </is>
      </c>
      <c r="G54" s="352" t="n"/>
      <c r="H54" s="352" t="n"/>
      <c r="I54" s="212" t="inlineStr">
        <is>
          <t>평균(최근5개년 2021-2025)</t>
        </is>
      </c>
      <c r="J54" s="352" t="n"/>
      <c r="K54" s="352" t="n"/>
      <c r="L54" s="353">
        <f>AVERAGE(M20:Q20)</f>
        <v/>
      </c>
      <c r="M54" s="352" t="n"/>
      <c r="N54" s="352" t="n"/>
    </row>
    <row r="55" ht="16.5" customHeight="1" s="217">
      <c r="B55" s="349" t="inlineStr">
        <is>
          <t xml:space="preserve">  10-19세</t>
        </is>
      </c>
      <c r="C55" s="350">
        <f>SLOPE(E21:Q21,$E$5:$Q$5)</f>
        <v/>
      </c>
      <c r="D55" s="350">
        <f>INTERCEPT(E21:Q21,$E$5:$Q$5)</f>
        <v/>
      </c>
      <c r="E55" s="350">
        <f>RSQ(E21:Q21,$E$5:$Q$5)</f>
        <v/>
      </c>
      <c r="F55" s="351" t="inlineStr">
        <is>
          <t xml:space="preserve">2013-2025 (12개년, 단절이후); 참고용 </t>
        </is>
      </c>
      <c r="G55" s="352" t="n"/>
      <c r="H55" s="352" t="n"/>
      <c r="I55" s="212" t="inlineStr">
        <is>
          <t>평균(최근5개년 2021-2025)</t>
        </is>
      </c>
      <c r="J55" s="352" t="n"/>
      <c r="K55" s="352" t="n"/>
      <c r="L55" s="353">
        <f>AVERAGE(M21:Q21)</f>
        <v/>
      </c>
      <c r="M55" s="352" t="n"/>
      <c r="N55" s="352" t="n"/>
    </row>
    <row r="56" ht="16.5" customHeight="1" s="217">
      <c r="B56" s="349" t="inlineStr">
        <is>
          <t xml:space="preserve">  20-29세</t>
        </is>
      </c>
      <c r="C56" s="350">
        <f>SLOPE(E22:Q22,$E$5:$Q$5)</f>
        <v/>
      </c>
      <c r="D56" s="350">
        <f>INTERCEPT(E22:Q22,$E$5:$Q$5)</f>
        <v/>
      </c>
      <c r="E56" s="350">
        <f>RSQ(E22:Q22,$E$5:$Q$5)</f>
        <v/>
      </c>
      <c r="F56" s="351" t="inlineStr">
        <is>
          <t xml:space="preserve">2013-2025 (12개년, 단절이후); 참고용 </t>
        </is>
      </c>
      <c r="G56" s="352" t="n"/>
      <c r="H56" s="352" t="n"/>
      <c r="I56" s="212" t="inlineStr">
        <is>
          <t>평균(최근5개년 2021-2025)</t>
        </is>
      </c>
      <c r="J56" s="352" t="n"/>
      <c r="K56" s="352" t="n"/>
      <c r="L56" s="353">
        <f>AVERAGE(M22:Q22)</f>
        <v/>
      </c>
      <c r="M56" s="352" t="n"/>
      <c r="N56" s="352" t="n"/>
    </row>
    <row r="57" ht="16.5" customHeight="1" s="217">
      <c r="B57" s="131" t="inlineStr">
        <is>
          <t xml:space="preserve">  30-39세</t>
        </is>
      </c>
      <c r="C57" s="354">
        <f>SLOPE(E23:Q23,$E$5:$Q$5)</f>
        <v/>
      </c>
      <c r="D57" s="354">
        <f>INTERCEPT(E23:Q23,$E$5:$Q$5)</f>
        <v/>
      </c>
      <c r="E57" s="354">
        <f>RSQ(E23:Q23,$E$5:$Q$5)</f>
        <v/>
      </c>
      <c r="F57" s="355" t="inlineStr">
        <is>
          <t xml:space="preserve">2013-2025 (12개년, 단절이후) </t>
        </is>
      </c>
      <c r="G57" s="139" t="n"/>
      <c r="H57" s="139" t="n"/>
      <c r="I57" s="356" t="inlineStr">
        <is>
          <t>선형회귀(추세 유의, p&lt;0.05)</t>
        </is>
      </c>
      <c r="J57" s="139" t="n"/>
      <c r="K57" s="139" t="n"/>
      <c r="L57" s="357" t="inlineStr">
        <is>
          <t>-</t>
        </is>
      </c>
      <c r="M57" s="139" t="n"/>
      <c r="N57" s="352" t="n"/>
    </row>
    <row r="58" ht="16.5" customHeight="1" s="217">
      <c r="B58" s="131" t="inlineStr">
        <is>
          <t xml:space="preserve">  40-49세</t>
        </is>
      </c>
      <c r="C58" s="354">
        <f>SLOPE(E24:Q24,$E$5:$Q$5)</f>
        <v/>
      </c>
      <c r="D58" s="354">
        <f>INTERCEPT(E24:Q24,$E$5:$Q$5)</f>
        <v/>
      </c>
      <c r="E58" s="354">
        <f>RSQ(E24:Q24,$E$5:$Q$5)</f>
        <v/>
      </c>
      <c r="F58" s="355" t="inlineStr">
        <is>
          <t xml:space="preserve">2013-2025 (12개년, 단절이후) </t>
        </is>
      </c>
      <c r="G58" s="139" t="n"/>
      <c r="H58" s="139" t="n"/>
      <c r="I58" s="356" t="inlineStr">
        <is>
          <t>선형회귀(추세 유의, p&lt;0.05)</t>
        </is>
      </c>
      <c r="J58" s="139" t="n"/>
      <c r="K58" s="139" t="n"/>
      <c r="L58" s="357" t="inlineStr">
        <is>
          <t>-</t>
        </is>
      </c>
      <c r="M58" s="139" t="n"/>
      <c r="N58" s="352" t="n"/>
    </row>
    <row r="59" ht="16.5" customHeight="1" s="217">
      <c r="B59" s="131" t="inlineStr">
        <is>
          <t xml:space="preserve">  50-59세</t>
        </is>
      </c>
      <c r="C59" s="354">
        <f>SLOPE(B25:Q25,$B$5:$Q$5)</f>
        <v/>
      </c>
      <c r="D59" s="354">
        <f>INTERCEPT(B25:Q25,$B$5:$Q$5)</f>
        <v/>
      </c>
      <c r="E59" s="354">
        <f>RSQ(B25:Q25,$B$5:$Q$5)</f>
        <v/>
      </c>
      <c r="F59" s="355" t="inlineStr">
        <is>
          <t>2010-2025 (15개년, 전체)</t>
        </is>
      </c>
      <c r="G59" s="139" t="n"/>
      <c r="H59" s="139" t="n"/>
      <c r="I59" s="356" t="inlineStr">
        <is>
          <t>선형회귀(추세 유의, p&lt;0.05)</t>
        </is>
      </c>
      <c r="J59" s="139" t="n"/>
      <c r="K59" s="139" t="n"/>
      <c r="L59" s="357" t="inlineStr">
        <is>
          <t>-</t>
        </is>
      </c>
      <c r="M59" s="139" t="n"/>
      <c r="N59" s="352" t="n"/>
    </row>
    <row r="60" ht="16.5" customHeight="1" s="217">
      <c r="B60" s="349" t="inlineStr">
        <is>
          <t xml:space="preserve">  60-69세</t>
        </is>
      </c>
      <c r="C60" s="350">
        <f>SLOPE(B26:Q26,$B$5:$Q$5)</f>
        <v/>
      </c>
      <c r="D60" s="350">
        <f>INTERCEPT(B26:Q26,$B$5:$Q$5)</f>
        <v/>
      </c>
      <c r="E60" s="350">
        <f>RSQ(B26:Q26,$B$5:$Q$5)</f>
        <v/>
      </c>
      <c r="F60" s="351" t="inlineStr">
        <is>
          <t>2010-2025 (15개년, 전체); 참고용</t>
        </is>
      </c>
      <c r="G60" s="352" t="n"/>
      <c r="H60" s="352" t="n"/>
      <c r="I60" s="212" t="inlineStr">
        <is>
          <t>평균(최근5개년 2021-2025)</t>
        </is>
      </c>
      <c r="J60" s="352" t="n"/>
      <c r="K60" s="352" t="n"/>
      <c r="L60" s="353">
        <f>AVERAGE(M26:Q26)</f>
        <v/>
      </c>
      <c r="M60" s="352" t="n"/>
      <c r="N60" s="352" t="n"/>
    </row>
    <row r="61" ht="16.5" customHeight="1" s="217">
      <c r="B61" s="349" t="inlineStr">
        <is>
          <t xml:space="preserve">  70-79세</t>
        </is>
      </c>
      <c r="C61" s="350">
        <f>SLOPE(B27:Q27,$B$5:$Q$5)</f>
        <v/>
      </c>
      <c r="D61" s="350">
        <f>INTERCEPT(B27:Q27,$B$5:$Q$5)</f>
        <v/>
      </c>
      <c r="E61" s="350">
        <f>RSQ(B27:Q27,$B$5:$Q$5)</f>
        <v/>
      </c>
      <c r="F61" s="351" t="inlineStr">
        <is>
          <t>2010-2025 (15개년, 전체); 참고용</t>
        </is>
      </c>
      <c r="G61" s="352" t="n"/>
      <c r="H61" s="352" t="n"/>
      <c r="I61" s="212" t="inlineStr">
        <is>
          <t>평균(최근5개년 2021-2025)</t>
        </is>
      </c>
      <c r="J61" s="352" t="n"/>
      <c r="K61" s="352" t="n"/>
      <c r="L61" s="353">
        <f>AVERAGE(M27:Q27)</f>
        <v/>
      </c>
      <c r="M61" s="352" t="n"/>
      <c r="N61" s="352" t="n"/>
    </row>
    <row r="62" ht="16.5" customHeight="1" s="217">
      <c r="B62" s="358" t="inlineStr">
        <is>
          <t xml:space="preserve">  80세 이상</t>
        </is>
      </c>
      <c r="C62" s="359">
        <f>SLOPE(B28:Q28,$B$5:$Q$5)</f>
        <v/>
      </c>
      <c r="D62" s="359">
        <f>INTERCEPT(B28:Q28,$B$5:$Q$5)</f>
        <v/>
      </c>
      <c r="E62" s="359">
        <f>RSQ(B28:Q28,$B$5:$Q$5)</f>
        <v/>
      </c>
      <c r="F62" s="360" t="inlineStr">
        <is>
          <t>2010-2025 (15개년, 전체); 참고용</t>
        </is>
      </c>
      <c r="G62" s="361" t="n"/>
      <c r="H62" s="361" t="n"/>
      <c r="I62" s="362" t="inlineStr">
        <is>
          <t>평균(최근5개년 2021-2025)</t>
        </is>
      </c>
      <c r="J62" s="361" t="n"/>
      <c r="K62" s="361" t="n"/>
      <c r="L62" s="363">
        <f>AVERAGE(M28:Q28)</f>
        <v/>
      </c>
      <c r="M62" s="361" t="n"/>
      <c r="N62" s="352" t="n"/>
    </row>
    <row r="63" ht="42.75" customHeight="1" s="217"/>
    <row r="64" ht="16.5" customHeight="1" s="217">
      <c r="B64" s="364" t="inlineStr">
        <is>
          <t>※ 출처 : 통계청, NHIS</t>
        </is>
      </c>
    </row>
    <row r="65" ht="16.5" customHeight="1" s="217">
      <c r="B65" s="365" t="inlineStr">
        <is>
          <t>※ 범례</t>
        </is>
      </c>
    </row>
    <row r="66" ht="16.5" customHeight="1" s="217">
      <c r="B66" s="366" t="inlineStr">
        <is>
          <t>· 외부 입력 데이터: 청색(Blue) 표기</t>
        </is>
      </c>
    </row>
    <row r="67" ht="16.5" customHeight="1" s="217">
      <c r="B67" s="366" t="inlineStr">
        <is>
          <t>· 예측 변수(또는 예측치): 녹색(Green) 표기</t>
        </is>
      </c>
    </row>
    <row r="68" ht="16.5" customHeight="1" s="217">
      <c r="B68" s="366" t="inlineStr">
        <is>
          <t>· 최종 산출 결과: 황색(Yellow) 음영 행</t>
        </is>
      </c>
    </row>
    <row r="69"/>
    <row r="70"/>
    <row r="71">
      <c r="B71" s="367" t="inlineStr">
        <is>
          <t>■ 데이터 유의사항 — 포괄수가(DRG) 청구분 제외</t>
        </is>
      </c>
    </row>
    <row r="72">
      <c r="B72" s="368" t="inlineStr">
        <is>
          <t xml:space="preserve">  ① 본 환자수는 행위별 청구분만 집계된 수치(7개 질병군 포괄수가(DRG) 청구건은 마취 행위코드(L1211·L1212)가 집계되지 않아 제외 (심평원 진료행위 통계 산출기준: "서면청구건과 DRG 청구건은 통계에서 제외"))</t>
        </is>
      </c>
    </row>
    <row r="73">
      <c r="B73" s="368" t="inlineStr">
        <is>
          <t xml:space="preserve">  ② 2013~2014년 꺾임은 실제 수술 감소가 아니라 청구 범위 변화. (2012.7 병·의원 의무화 → 2013.7 종합병원·상급종합 확대. 0~49세 -3%(2012) / -14%(2013) / -12%(2014), 50세 이상은 변동 없음(편도·충수·탈장·제왕절개·자궁부속기·항문 = 젊은 층 수술))</t>
        </is>
      </c>
    </row>
    <row r="74">
      <c r="B74" s="368" t="inlineStr">
        <is>
          <t xml:space="preserve">  ③ 시장 규모로 인용 금지: 실제 전신마취 환자는 본 수치보다 약 15% 이상 많음. 본 데이터는 "행위별 청구 기준(포괄수가 제외)"임</t>
        </is>
      </c>
    </row>
    <row r="75">
      <c r="B75" s="368" t="inlineStr">
        <is>
          <t xml:space="preserve">  ④ 모델 내 용도: 종별 배분 기준으로만 사용함 (근거_Ramosetron 시장 수량 D(환자당 사용량)에서 같은 분모로 나눈 뒤 다시 곱하므로, 포괄수가 몫이 빠져 있어도 라모세트론 수량·매출 예측치에는 영향이 없습니다(포괄수가 수량을 별도로 더하면 이중 계산이 되므로 주의))</t>
        </is>
      </c>
    </row>
    <row r="76">
      <c r="B76" s="368" t="inlineStr">
        <is>
          <t xml:space="preserve">  ⑤ 예측 회귀는 단절 이후(2013~2025) 구간을 사용했으며, 빠지는 비중이 다시 바뀌면(신포괄수가 확대·질병군 추가) 환자수가 아닌 종별 사용량을 재산정 필요→ 모니터링_분기별 하단 "청구 범위 변화 점검" 참조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AT65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42578125" customWidth="1" style="217" min="1" max="1"/>
    <col width="9.92578125" customWidth="1" style="217" min="2" max="2"/>
    <col width="12.0703125" customWidth="1" style="217" min="3" max="3"/>
    <col width="12.2109375" customWidth="1" style="217" min="4" max="4"/>
    <col width="13.5703125" customWidth="1" style="217" min="5" max="5"/>
    <col width="9.92578125" customWidth="1" style="217" min="6" max="6"/>
    <col width="11.92578125" customWidth="1" style="217" min="16" max="16"/>
    <col width="13.92578125" customWidth="1" style="217" min="18" max="18"/>
    <col width="11.92578125" customWidth="1" style="217" min="19" max="19"/>
    <col width="13" customWidth="1" style="217" min="23" max="23"/>
    <col width="11.7109375" customWidth="1" style="217" min="26" max="26"/>
    <col width="11.5703125" customWidth="1" style="217" min="32" max="32"/>
    <col width="10.5" customWidth="1" style="217" min="43" max="43"/>
  </cols>
  <sheetData>
    <row r="1"/>
    <row r="2" ht="20.25" customHeight="1" s="217">
      <c r="A2" s="191" t="inlineStr">
        <is>
          <t>종별 전신마취 환자수  :   HIRA 종별 분기 실측 기반 회복모형 (2026년 상한 도달 가정)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전신마취 환자수 (명)          [근거_전신마취환자수 참조]</t>
        </is>
      </c>
      <c r="B6" s="369" t="n"/>
      <c r="C6" s="369" t="n"/>
      <c r="D6" s="369" t="n"/>
      <c r="E6" s="369" t="n"/>
      <c r="F6" s="369" t="n"/>
      <c r="G6" s="369" t="n"/>
      <c r="H6" s="369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  <c r="S6" s="369" t="n"/>
      <c r="T6" s="369" t="n"/>
      <c r="U6" s="369" t="n"/>
      <c r="V6" s="369" t="n"/>
    </row>
    <row r="7" ht="16.5" customHeight="1" s="217">
      <c r="A7" s="58" t="inlineStr">
        <is>
          <t xml:space="preserve">  전신마취환자수 (전체)</t>
        </is>
      </c>
      <c r="B7" s="370">
        <f>'근거_전신마취환자수'!B42</f>
        <v/>
      </c>
      <c r="C7" s="370">
        <f>'근거_전신마취환자수'!C42</f>
        <v/>
      </c>
      <c r="D7" s="370">
        <f>'근거_전신마취환자수'!D42</f>
        <v/>
      </c>
      <c r="E7" s="370">
        <f>'근거_전신마취환자수'!E42</f>
        <v/>
      </c>
      <c r="F7" s="370">
        <f>'근거_전신마취환자수'!F42</f>
        <v/>
      </c>
      <c r="G7" s="370">
        <f>'근거_전신마취환자수'!G42</f>
        <v/>
      </c>
      <c r="H7" s="370">
        <f>'근거_전신마취환자수'!H42</f>
        <v/>
      </c>
      <c r="I7" s="370">
        <f>'근거_전신마취환자수'!I42</f>
        <v/>
      </c>
      <c r="J7" s="370">
        <f>'근거_전신마취환자수'!J42</f>
        <v/>
      </c>
      <c r="K7" s="370">
        <f>'근거_전신마취환자수'!K42</f>
        <v/>
      </c>
      <c r="L7" s="370">
        <f>'근거_전신마취환자수'!L42</f>
        <v/>
      </c>
      <c r="M7" s="370">
        <f>'근거_전신마취환자수'!M42</f>
        <v/>
      </c>
      <c r="N7" s="370">
        <f>'근거_전신마취환자수'!N42</f>
        <v/>
      </c>
      <c r="O7" s="370">
        <f>'근거_전신마취환자수'!O42</f>
        <v/>
      </c>
      <c r="P7" s="370">
        <f>'근거_전신마취환자수'!P42</f>
        <v/>
      </c>
      <c r="Q7" s="370">
        <f>'근거_전신마취환자수'!Q42</f>
        <v/>
      </c>
      <c r="R7" s="370">
        <f>'근거_전신마취환자수'!R42</f>
        <v/>
      </c>
      <c r="S7" s="370">
        <f>'근거_전신마취환자수'!S42</f>
        <v/>
      </c>
      <c r="T7" s="370">
        <f>'근거_전신마취환자수'!T42</f>
        <v/>
      </c>
      <c r="U7" s="370">
        <f>'근거_전신마취환자수'!U42</f>
        <v/>
      </c>
      <c r="V7" s="370">
        <f>'근거_전신마취환자수'!V42</f>
        <v/>
      </c>
    </row>
    <row r="8"/>
    <row r="9" ht="16.5" customHeight="1" s="217">
      <c r="A9" s="41" t="inlineStr">
        <is>
          <t>■ B. 종별 전신마취환자수 비율    [CY2014~24 : NHIS L1211+1212  | 2025 : 회복모형  |  2026~30 : 상한선(추세) 도달 가정]</t>
        </is>
      </c>
      <c r="B9" s="369" t="n"/>
      <c r="C9" s="369" t="n"/>
      <c r="D9" s="369" t="n"/>
      <c r="E9" s="369" t="n"/>
      <c r="F9" s="369" t="n"/>
      <c r="G9" s="369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S9" s="369" t="n"/>
      <c r="T9" s="369" t="n"/>
      <c r="U9" s="369" t="n"/>
      <c r="V9" s="369" t="n"/>
    </row>
    <row r="10" ht="16.5" customHeight="1" s="217">
      <c r="A10" s="58" t="inlineStr">
        <is>
          <t xml:space="preserve">  상급종합병원</t>
        </is>
      </c>
      <c r="B10" s="228" t="n">
        <v>0.4061157495058873</v>
      </c>
      <c r="C10" s="228" t="n">
        <v>0.3989258754044036</v>
      </c>
      <c r="D10" s="228" t="n">
        <v>0.4105926494459274</v>
      </c>
      <c r="E10" s="228" t="n">
        <v>0.4152384066632088</v>
      </c>
      <c r="F10" s="228" t="n">
        <v>0.4128545712855782</v>
      </c>
      <c r="G10" s="228" t="n">
        <v>0.4265829716547103</v>
      </c>
      <c r="H10" s="228" t="n">
        <v>0.4333521457303468</v>
      </c>
      <c r="I10" s="228" t="n">
        <v>0.4296714263417034</v>
      </c>
      <c r="J10" s="228" t="n">
        <v>0.4172382948858502</v>
      </c>
      <c r="K10" s="228" t="n">
        <v>0.4107516153143713</v>
      </c>
      <c r="L10" s="228" t="n">
        <v>0.3936914447731755</v>
      </c>
      <c r="M10" s="228" t="n">
        <v>0.413854859115538</v>
      </c>
      <c r="N10" s="228" t="n">
        <v>0.4092366250524574</v>
      </c>
      <c r="O10" s="228" t="n">
        <v>0.4035291877689349</v>
      </c>
      <c r="P10" s="228" t="n">
        <v>0.3234947072376184</v>
      </c>
      <c r="Q10" s="228" t="n">
        <v>0.334768808248165</v>
      </c>
      <c r="R10" s="222">
        <f>(Z56+AA56+AB56+AC56)/R7</f>
        <v/>
      </c>
      <c r="S10" s="222">
        <f>(AD56+AE56+AF56+AG56)/S7</f>
        <v/>
      </c>
      <c r="T10" s="222">
        <f>(AH56+AI56+AJ56+AK56)/T7</f>
        <v/>
      </c>
      <c r="U10" s="222">
        <f>(AL56+AM56+AN56+AO56)/U7</f>
        <v/>
      </c>
      <c r="V10" s="222">
        <f>(AP56+AQ56+AR56+AS56)/V7</f>
        <v/>
      </c>
    </row>
    <row r="11" ht="16.5" customHeight="1" s="217">
      <c r="A11" s="58" t="inlineStr">
        <is>
          <t xml:space="preserve">  종합병원</t>
        </is>
      </c>
      <c r="B11" s="228" t="n">
        <v>0.3419477351158884</v>
      </c>
      <c r="C11" s="228" t="n">
        <v>0.3478942444347634</v>
      </c>
      <c r="D11" s="228" t="n">
        <v>0.3502563202523124</v>
      </c>
      <c r="E11" s="228" t="n">
        <v>0.3476478812890422</v>
      </c>
      <c r="F11" s="228" t="n">
        <v>0.3337228168741221</v>
      </c>
      <c r="G11" s="228" t="n">
        <v>0.3240480998640143</v>
      </c>
      <c r="H11" s="228" t="n">
        <v>0.3237513150059789</v>
      </c>
      <c r="I11" s="228" t="n">
        <v>0.3257660964200748</v>
      </c>
      <c r="J11" s="228" t="n">
        <v>0.3327633105966432</v>
      </c>
      <c r="K11" s="228" t="n">
        <v>0.3443774285817859</v>
      </c>
      <c r="L11" s="228" t="n">
        <v>0.3549867822704361</v>
      </c>
      <c r="M11" s="228" t="n">
        <v>0.3392454312878659</v>
      </c>
      <c r="N11" s="228" t="n">
        <v>0.3496712141633751</v>
      </c>
      <c r="O11" s="228" t="n">
        <v>0.3583519287155859</v>
      </c>
      <c r="P11" s="228" t="n">
        <v>0.3954118850149096</v>
      </c>
      <c r="Q11" s="228" t="n">
        <v>0.3869974337040205</v>
      </c>
      <c r="R11" s="222">
        <f>(Z57+AA57+AB57+AC57)/R7</f>
        <v/>
      </c>
      <c r="S11" s="222">
        <f>(AD57+AE57+AF57+AG57)/S7</f>
        <v/>
      </c>
      <c r="T11" s="222">
        <f>(AH57+AI57+AJ57+AK57)/T7</f>
        <v/>
      </c>
      <c r="U11" s="222">
        <f>(AL57+AM57+AN57+AO57)/U7</f>
        <v/>
      </c>
      <c r="V11" s="222">
        <f>(AP57+AQ57+AR57+AS57)/V7</f>
        <v/>
      </c>
    </row>
    <row r="12" ht="16.5" customHeight="1" s="217">
      <c r="A12" s="58" t="inlineStr">
        <is>
          <t xml:space="preserve">  병원급</t>
        </is>
      </c>
      <c r="B12" s="228" t="n">
        <v>0.1937214839544518</v>
      </c>
      <c r="C12" s="228" t="n">
        <v>0.199628984223795</v>
      </c>
      <c r="D12" s="228" t="n">
        <v>0.2001480903246199</v>
      </c>
      <c r="E12" s="228" t="n">
        <v>0.2071785099489585</v>
      </c>
      <c r="F12" s="228" t="n">
        <v>0.2217049288839379</v>
      </c>
      <c r="G12" s="228" t="n">
        <v>0.220345745763678</v>
      </c>
      <c r="H12" s="228" t="n">
        <v>0.2165575644777908</v>
      </c>
      <c r="I12" s="228" t="n">
        <v>0.2169844250315709</v>
      </c>
      <c r="J12" s="228" t="n">
        <v>0.2175548042916841</v>
      </c>
      <c r="K12" s="228" t="n">
        <v>0.2100573279083858</v>
      </c>
      <c r="L12" s="228" t="n">
        <v>0.210808233344291</v>
      </c>
      <c r="M12" s="228" t="n">
        <v>0.2025205639059538</v>
      </c>
      <c r="N12" s="228" t="n">
        <v>0.1925981339846908</v>
      </c>
      <c r="O12" s="228" t="n">
        <v>0.1861787441453105</v>
      </c>
      <c r="P12" s="228" t="n">
        <v>0.2141563653850989</v>
      </c>
      <c r="Q12" s="228" t="n">
        <v>0.2041090750829169</v>
      </c>
      <c r="R12" s="222">
        <f>(Z58+AA58+AB58+AC58)/R7</f>
        <v/>
      </c>
      <c r="S12" s="222">
        <f>(AD58+AE58+AF58+AG58)/S7</f>
        <v/>
      </c>
      <c r="T12" s="222">
        <f>(AH58+AI58+AJ58+AK58)/T7</f>
        <v/>
      </c>
      <c r="U12" s="222">
        <f>(AL58+AM58+AN58+AO58)/U7</f>
        <v/>
      </c>
      <c r="V12" s="222">
        <f>(AP58+AQ58+AR58+AS58)/V7</f>
        <v/>
      </c>
    </row>
    <row r="13" ht="16.5" customHeight="1" s="217">
      <c r="A13" s="58" t="inlineStr">
        <is>
          <t xml:space="preserve">  의원급</t>
        </is>
      </c>
      <c r="B13" s="228" t="n">
        <v>0.05819990793576676</v>
      </c>
      <c r="C13" s="228" t="n">
        <v>0.05353393419558495</v>
      </c>
      <c r="D13" s="228" t="n">
        <v>0.03898984236588264</v>
      </c>
      <c r="E13" s="228" t="n">
        <v>0.02992674529613843</v>
      </c>
      <c r="F13" s="228" t="n">
        <v>0.03171263783277635</v>
      </c>
      <c r="G13" s="228" t="n">
        <v>0.02901911128844447</v>
      </c>
      <c r="H13" s="228" t="n">
        <v>0.02633606064521017</v>
      </c>
      <c r="I13" s="228" t="n">
        <v>0.02757616031859395</v>
      </c>
      <c r="J13" s="228" t="n">
        <v>0.03244267280725495</v>
      </c>
      <c r="K13" s="228" t="n">
        <v>0.03481362819545692</v>
      </c>
      <c r="L13" s="228" t="n">
        <v>0.0405126835415297</v>
      </c>
      <c r="M13" s="228" t="n">
        <v>0.04437834546081634</v>
      </c>
      <c r="N13" s="228" t="n">
        <v>0.04849402679947674</v>
      </c>
      <c r="O13" s="228" t="n">
        <v>0.05194013937016869</v>
      </c>
      <c r="P13" s="228" t="n">
        <v>0.06693704236237318</v>
      </c>
      <c r="Q13" s="228" t="n">
        <v>0.07412468296489727</v>
      </c>
      <c r="R13" s="222">
        <f>(Z59+AA59+AB59+AC59)/R7</f>
        <v/>
      </c>
      <c r="S13" s="222">
        <f>(AD59+AE59+AF59+AG59)/S7</f>
        <v/>
      </c>
      <c r="T13" s="222">
        <f>(AH59+AI59+AJ59+AK59)/T7</f>
        <v/>
      </c>
      <c r="U13" s="222">
        <f>(AL59+AM59+AN59+AO59)/U7</f>
        <v/>
      </c>
      <c r="V13" s="222">
        <f>(AP59+AQ59+AR59+AS59)/V7</f>
        <v/>
      </c>
    </row>
    <row r="14" ht="16.5" customHeight="1" s="217">
      <c r="A14" s="58" t="inlineStr">
        <is>
          <t xml:space="preserve">  보건기관등</t>
        </is>
      </c>
      <c r="B14" s="228" t="n">
        <v>1.512348800565619e-05</v>
      </c>
      <c r="C14" s="228" t="n">
        <v>1.696174145306776e-05</v>
      </c>
      <c r="D14" s="228" t="n">
        <v>1.309761125765883e-05</v>
      </c>
      <c r="E14" s="228" t="n">
        <v>8.456802652053312e-06</v>
      </c>
      <c r="F14" s="228" t="n">
        <v>5.045123585347347e-06</v>
      </c>
      <c r="G14" s="228" t="n">
        <v>4.071429153061307e-06</v>
      </c>
      <c r="H14" s="228" t="n">
        <v>2.914140673341344e-06</v>
      </c>
      <c r="I14" s="228" t="n">
        <v>1.891888056983668e-06</v>
      </c>
      <c r="J14" s="228" t="n">
        <v>9.174185676343903e-07</v>
      </c>
      <c r="K14" s="228" t="n">
        <v>0</v>
      </c>
      <c r="L14" s="228" t="n">
        <v>8.560705676090292e-07</v>
      </c>
      <c r="M14" s="228" t="n">
        <v>8.002298260060289e-07</v>
      </c>
      <c r="N14" s="228" t="n">
        <v>0</v>
      </c>
      <c r="O14" s="228" t="n">
        <v>0</v>
      </c>
      <c r="P14" s="228" t="n">
        <v>0</v>
      </c>
      <c r="Q14" s="228" t="n">
        <v>0</v>
      </c>
      <c r="R14" s="222" t="n">
        <v>0</v>
      </c>
      <c r="S14" s="222" t="n">
        <v>0</v>
      </c>
      <c r="T14" s="222" t="n">
        <v>0</v>
      </c>
      <c r="U14" s="222" t="n">
        <v>0</v>
      </c>
      <c r="V14" s="222" t="n">
        <v>0</v>
      </c>
    </row>
    <row r="15"/>
    <row r="16" ht="16.5" customHeight="1" s="217">
      <c r="A16" s="41" t="inlineStr">
        <is>
          <t xml:space="preserve">■ C. 종별 전신마취환자수            [전신마취환자수(A) x 종별 비율(B)] </t>
        </is>
      </c>
      <c r="B16" s="369" t="n"/>
      <c r="C16" s="369" t="n"/>
      <c r="D16" s="369" t="n"/>
      <c r="E16" s="369" t="n"/>
      <c r="F16" s="369" t="n"/>
      <c r="G16" s="369" t="n"/>
      <c r="H16" s="369" t="n"/>
      <c r="I16" s="369" t="n"/>
      <c r="J16" s="369" t="n"/>
      <c r="K16" s="369" t="n"/>
      <c r="L16" s="369" t="n"/>
      <c r="M16" s="369" t="n"/>
      <c r="N16" s="369" t="n"/>
      <c r="O16" s="369" t="n"/>
      <c r="P16" s="369" t="n"/>
      <c r="Q16" s="369" t="n"/>
      <c r="R16" s="369" t="n"/>
      <c r="S16" s="369" t="n"/>
      <c r="T16" s="369" t="n"/>
      <c r="U16" s="369" t="n"/>
      <c r="V16" s="369" t="n"/>
    </row>
    <row r="17" ht="16.5" customHeight="1" s="217">
      <c r="A17" s="58" t="inlineStr">
        <is>
          <t xml:space="preserve">  상급종합병원</t>
        </is>
      </c>
      <c r="B17" s="371">
        <f>B$7*B10</f>
        <v/>
      </c>
      <c r="C17" s="371">
        <f>C$7*C10</f>
        <v/>
      </c>
      <c r="D17" s="371">
        <f>D$7*D10</f>
        <v/>
      </c>
      <c r="E17" s="371">
        <f>E$7*E10</f>
        <v/>
      </c>
      <c r="F17" s="371">
        <f>F$7*F10</f>
        <v/>
      </c>
      <c r="G17" s="371">
        <f>G$7*G10</f>
        <v/>
      </c>
      <c r="H17" s="371">
        <f>H$7*H10</f>
        <v/>
      </c>
      <c r="I17" s="371">
        <f>I$7*I10</f>
        <v/>
      </c>
      <c r="J17" s="371">
        <f>J$7*J10</f>
        <v/>
      </c>
      <c r="K17" s="371">
        <f>K$7*K10</f>
        <v/>
      </c>
      <c r="L17" s="371">
        <f>L$7*L10</f>
        <v/>
      </c>
      <c r="M17" s="371">
        <f>M$7*M10</f>
        <v/>
      </c>
      <c r="N17" s="371">
        <f>N$7*N10</f>
        <v/>
      </c>
      <c r="O17" s="371">
        <f>O$7*O10</f>
        <v/>
      </c>
      <c r="P17" s="371">
        <f>P$7*P10</f>
        <v/>
      </c>
      <c r="Q17" s="371">
        <f>Q$7*Q10</f>
        <v/>
      </c>
      <c r="R17" s="230">
        <f>R$7*R10</f>
        <v/>
      </c>
      <c r="S17" s="230">
        <f>S$7*S10</f>
        <v/>
      </c>
      <c r="T17" s="230">
        <f>T$7*T10</f>
        <v/>
      </c>
      <c r="U17" s="230">
        <f>U$7*U10</f>
        <v/>
      </c>
      <c r="V17" s="230">
        <f>V$7*V10</f>
        <v/>
      </c>
    </row>
    <row r="18" ht="16.5" customHeight="1" s="217">
      <c r="A18" s="58" t="inlineStr">
        <is>
          <t xml:space="preserve">  종합병원</t>
        </is>
      </c>
      <c r="B18" s="371">
        <f>B$7*B11</f>
        <v/>
      </c>
      <c r="C18" s="371">
        <f>C$7*C11</f>
        <v/>
      </c>
      <c r="D18" s="371">
        <f>D$7*D11</f>
        <v/>
      </c>
      <c r="E18" s="371">
        <f>E$7*E11</f>
        <v/>
      </c>
      <c r="F18" s="371">
        <f>F$7*F11</f>
        <v/>
      </c>
      <c r="G18" s="371">
        <f>G$7*G11</f>
        <v/>
      </c>
      <c r="H18" s="371">
        <f>H$7*H11</f>
        <v/>
      </c>
      <c r="I18" s="371">
        <f>I$7*I11</f>
        <v/>
      </c>
      <c r="J18" s="371">
        <f>J$7*J11</f>
        <v/>
      </c>
      <c r="K18" s="371">
        <f>K$7*K11</f>
        <v/>
      </c>
      <c r="L18" s="371">
        <f>L$7*L11</f>
        <v/>
      </c>
      <c r="M18" s="371">
        <f>M$7*M11</f>
        <v/>
      </c>
      <c r="N18" s="371">
        <f>N$7*N11</f>
        <v/>
      </c>
      <c r="O18" s="371">
        <f>O$7*O11</f>
        <v/>
      </c>
      <c r="P18" s="371">
        <f>P$7*P11</f>
        <v/>
      </c>
      <c r="Q18" s="371">
        <f>Q$7*Q11</f>
        <v/>
      </c>
      <c r="R18" s="230">
        <f>R$7*R11</f>
        <v/>
      </c>
      <c r="S18" s="230">
        <f>S$7*S11</f>
        <v/>
      </c>
      <c r="T18" s="230">
        <f>T$7*T11</f>
        <v/>
      </c>
      <c r="U18" s="230">
        <f>U$7*U11</f>
        <v/>
      </c>
      <c r="V18" s="230">
        <f>V$7*V11</f>
        <v/>
      </c>
    </row>
    <row r="19" ht="16.5" customHeight="1" s="217">
      <c r="A19" s="58" t="inlineStr">
        <is>
          <t xml:space="preserve">  병원급</t>
        </is>
      </c>
      <c r="B19" s="371">
        <f>B$7*B12</f>
        <v/>
      </c>
      <c r="C19" s="371">
        <f>C$7*C12</f>
        <v/>
      </c>
      <c r="D19" s="371">
        <f>D$7*D12</f>
        <v/>
      </c>
      <c r="E19" s="371">
        <f>E$7*E12</f>
        <v/>
      </c>
      <c r="F19" s="371">
        <f>F$7*F12</f>
        <v/>
      </c>
      <c r="G19" s="371">
        <f>G$7*G12</f>
        <v/>
      </c>
      <c r="H19" s="371">
        <f>H$7*H12</f>
        <v/>
      </c>
      <c r="I19" s="371">
        <f>I$7*I12</f>
        <v/>
      </c>
      <c r="J19" s="371">
        <f>J$7*J12</f>
        <v/>
      </c>
      <c r="K19" s="371">
        <f>K$7*K12</f>
        <v/>
      </c>
      <c r="L19" s="371">
        <f>L$7*L12</f>
        <v/>
      </c>
      <c r="M19" s="371">
        <f>M$7*M12</f>
        <v/>
      </c>
      <c r="N19" s="371">
        <f>N$7*N12</f>
        <v/>
      </c>
      <c r="O19" s="371">
        <f>O$7*O12</f>
        <v/>
      </c>
      <c r="P19" s="371">
        <f>P$7*P12</f>
        <v/>
      </c>
      <c r="Q19" s="371">
        <f>Q$7*Q12</f>
        <v/>
      </c>
      <c r="R19" s="230">
        <f>R$7*R12</f>
        <v/>
      </c>
      <c r="S19" s="230">
        <f>S$7*S12</f>
        <v/>
      </c>
      <c r="T19" s="230">
        <f>T$7*T12</f>
        <v/>
      </c>
      <c r="U19" s="230">
        <f>U$7*U12</f>
        <v/>
      </c>
      <c r="V19" s="230">
        <f>V$7*V12</f>
        <v/>
      </c>
    </row>
    <row r="20" ht="16.5" customHeight="1" s="217">
      <c r="A20" s="58" t="inlineStr">
        <is>
          <t xml:space="preserve">  의원급</t>
        </is>
      </c>
      <c r="B20" s="371">
        <f>B$7*B13</f>
        <v/>
      </c>
      <c r="C20" s="371">
        <f>C$7*C13</f>
        <v/>
      </c>
      <c r="D20" s="371">
        <f>D$7*D13</f>
        <v/>
      </c>
      <c r="E20" s="371">
        <f>E$7*E13</f>
        <v/>
      </c>
      <c r="F20" s="371">
        <f>F$7*F13</f>
        <v/>
      </c>
      <c r="G20" s="371">
        <f>G$7*G13</f>
        <v/>
      </c>
      <c r="H20" s="371">
        <f>H$7*H13</f>
        <v/>
      </c>
      <c r="I20" s="371">
        <f>I$7*I13</f>
        <v/>
      </c>
      <c r="J20" s="371">
        <f>J$7*J13</f>
        <v/>
      </c>
      <c r="K20" s="371">
        <f>K$7*K13</f>
        <v/>
      </c>
      <c r="L20" s="371">
        <f>L$7*L13</f>
        <v/>
      </c>
      <c r="M20" s="371">
        <f>M$7*M13</f>
        <v/>
      </c>
      <c r="N20" s="371">
        <f>N$7*N13</f>
        <v/>
      </c>
      <c r="O20" s="371">
        <f>O$7*O13</f>
        <v/>
      </c>
      <c r="P20" s="371">
        <f>P$7*P13</f>
        <v/>
      </c>
      <c r="Q20" s="371">
        <f>Q$7*Q13</f>
        <v/>
      </c>
      <c r="R20" s="230">
        <f>R$7*R13</f>
        <v/>
      </c>
      <c r="S20" s="230">
        <f>S$7*S13</f>
        <v/>
      </c>
      <c r="T20" s="230">
        <f>T$7*T13</f>
        <v/>
      </c>
      <c r="U20" s="230">
        <f>U$7*U13</f>
        <v/>
      </c>
      <c r="V20" s="230">
        <f>V$7*V13</f>
        <v/>
      </c>
    </row>
    <row r="21" ht="16.5" customHeight="1" s="217">
      <c r="A21" s="58" t="inlineStr">
        <is>
          <t xml:space="preserve">  보건기관등</t>
        </is>
      </c>
      <c r="B21" s="371">
        <f>B$7*B14</f>
        <v/>
      </c>
      <c r="C21" s="371">
        <f>C$7*C14</f>
        <v/>
      </c>
      <c r="D21" s="371">
        <f>D$7*D14</f>
        <v/>
      </c>
      <c r="E21" s="371">
        <f>E$7*E14</f>
        <v/>
      </c>
      <c r="F21" s="371">
        <f>F$7*F14</f>
        <v/>
      </c>
      <c r="G21" s="371">
        <f>G$7*G14</f>
        <v/>
      </c>
      <c r="H21" s="371">
        <f>H$7*H14</f>
        <v/>
      </c>
      <c r="I21" s="371">
        <f>I$7*I14</f>
        <v/>
      </c>
      <c r="J21" s="371">
        <f>J$7*J14</f>
        <v/>
      </c>
      <c r="K21" s="371">
        <f>K$7*K14</f>
        <v/>
      </c>
      <c r="L21" s="371">
        <f>L$7*L14</f>
        <v/>
      </c>
      <c r="M21" s="371">
        <f>M$7*M14</f>
        <v/>
      </c>
      <c r="N21" s="371">
        <f>N$7*N14</f>
        <v/>
      </c>
      <c r="O21" s="371">
        <f>O$7*O14</f>
        <v/>
      </c>
      <c r="P21" s="371">
        <f>P$7*P14</f>
        <v/>
      </c>
      <c r="Q21" s="371">
        <f>Q$7*Q14</f>
        <v/>
      </c>
      <c r="R21" s="230">
        <f>R$7*R14</f>
        <v/>
      </c>
      <c r="S21" s="230">
        <f>S$7*S14</f>
        <v/>
      </c>
      <c r="T21" s="230">
        <f>T$7*T14</f>
        <v/>
      </c>
      <c r="U21" s="230">
        <f>U$7*U14</f>
        <v/>
      </c>
      <c r="V21" s="230">
        <f>V$7*V14</f>
        <v/>
      </c>
    </row>
    <row r="22"/>
    <row r="23">
      <c r="A23" s="372" t="inlineStr">
        <is>
          <t>■ D. 종별 비율 회복모형 파라미터            [분기 실측(2025Q1~2025Q4) 선형추세 · 상한/하한 · 의원 S-curve]</t>
        </is>
      </c>
    </row>
    <row r="24">
      <c r="A24" s="131" t="n"/>
      <c r="B24" s="123" t="inlineStr">
        <is>
          <t>연령대</t>
        </is>
      </c>
      <c r="C24" s="123" t="inlineStr">
        <is>
          <t>상한/하한</t>
        </is>
      </c>
      <c r="D24" s="123" t="inlineStr">
        <is>
          <t>기울기(slope)</t>
        </is>
      </c>
      <c r="E24" s="123" t="inlineStr">
        <is>
          <t>절편(intercept)</t>
        </is>
      </c>
      <c r="F24" s="123" t="inlineStr">
        <is>
          <t>기울기(logit,S-curve)</t>
        </is>
      </c>
      <c r="G24" s="238" t="n"/>
    </row>
    <row r="25">
      <c r="A25" s="131" t="n"/>
      <c r="B25" s="225" t="inlineStr">
        <is>
          <t xml:space="preserve">  상급종합병원 환자비율</t>
        </is>
      </c>
      <c r="C25" s="186" t="n">
        <v>0.41</v>
      </c>
      <c r="D25" s="239">
        <f>SLOPE(S44:Y44,$S$40:$Y$40)</f>
        <v/>
      </c>
      <c r="E25" s="240">
        <f>INTERCEPT(S44:Y44,$S$40:$Y$40)</f>
        <v/>
      </c>
      <c r="F25" s="240" t="n"/>
      <c r="G25" s="238" t="n"/>
    </row>
    <row r="26">
      <c r="A26" s="131" t="n"/>
      <c r="B26" s="225" t="inlineStr">
        <is>
          <t xml:space="preserve">  종합병원 환자비율 (분기)</t>
        </is>
      </c>
      <c r="C26" s="186" t="n">
        <v>0.4</v>
      </c>
      <c r="D26" s="239">
        <f>SLOPE(S45:Y45,$S$40:$Y$40)</f>
        <v/>
      </c>
      <c r="E26" s="240">
        <f>INTERCEPT(S45:Y45,$S$40:$Y$40)</f>
        <v/>
      </c>
      <c r="F26" s="240" t="n"/>
      <c r="G26" s="238" t="n"/>
    </row>
    <row r="27">
      <c r="A27" s="238" t="n"/>
      <c r="B27" s="225" t="inlineStr">
        <is>
          <t xml:space="preserve">  병원급 환자비율 (분기)</t>
        </is>
      </c>
      <c r="C27" s="189" t="n">
        <v>0.1</v>
      </c>
      <c r="D27" s="239">
        <f>SLOPE(S46:Y46,$S$40:$Y$40)</f>
        <v/>
      </c>
      <c r="E27" s="240">
        <f>INTERCEPT(S46:Y46,$S$40:$Y$40)</f>
        <v/>
      </c>
      <c r="F27" s="240" t="n"/>
      <c r="G27" s="238" t="n"/>
    </row>
    <row r="28">
      <c r="A28" s="238" t="n"/>
      <c r="B28" s="225" t="inlineStr">
        <is>
          <t xml:space="preserve">  의원급 환자비율 (분기)</t>
        </is>
      </c>
      <c r="C28" s="189" t="n">
        <v>0.1</v>
      </c>
      <c r="D28" s="239">
        <f>SLOPE(S47:Y47,$S$40:$Y$40)</f>
        <v/>
      </c>
      <c r="E28" s="240">
        <f>INTERCEPT(S47:Y47,$S$40:$Y$40)</f>
        <v/>
      </c>
      <c r="F28" s="240">
        <f>SLOPE(S48:Z48,$S$40:$Z$40)</f>
        <v/>
      </c>
      <c r="G28" s="238" t="n"/>
    </row>
    <row r="29"/>
    <row r="30" ht="16.5" customHeight="1" s="217">
      <c r="A30" s="55" t="inlineStr">
        <is>
          <t>※ 출처 :  NHIS 전신마취환자수 (2010~2025),  HIRA 종별 분기 실측 (2020Q1~2026Q1)</t>
        </is>
      </c>
    </row>
    <row r="31" ht="16.5" customHeight="1" s="217">
      <c r="A31" s="55" t="inlineStr">
        <is>
          <t>※ 범례</t>
        </is>
      </c>
    </row>
    <row r="32" ht="16.5" customHeight="1" s="217">
      <c r="A32" s="56" t="inlineStr">
        <is>
          <t>· 외부 입력 데이터: 청색(Blue) 표기</t>
        </is>
      </c>
    </row>
    <row r="33" ht="16.5" customHeight="1" s="217">
      <c r="A33" s="56" t="inlineStr">
        <is>
          <t>· 예측 변수(또는 예측치): 녹색(Green) 표기</t>
        </is>
      </c>
    </row>
    <row r="34" ht="16.5" customHeight="1" s="217">
      <c r="A34" s="56" t="inlineStr">
        <is>
          <t>· 최종 산출 결과: 황색(Yellow) 음영 행</t>
        </is>
      </c>
    </row>
    <row r="35"/>
    <row r="36">
      <c r="A36" s="335" t="inlineStr">
        <is>
          <t>■ B-1. 종별 비율 분기 모델 (B의 산출 근거)   [CY 분기 실측 + 롤링 예측 → 4분기 합산으로 B·C의 2025~2030 값 생성]</t>
        </is>
      </c>
    </row>
    <row r="37">
      <c r="A37" s="335" t="inlineStr">
        <is>
          <t>※ B(종별환자비율)는 HIRA 분기실측 기반 분기 직접모델링 (백테스트로 연간모델 대비 정확도 확인). 종별 분기 환자수(56~59행)는 근거_Ramosetron 시장 수량의 종별 수량 산출에 사용</t>
        </is>
      </c>
    </row>
    <row r="38"/>
    <row r="39">
      <c r="A39" s="335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335" t="inlineStr">
        <is>
          <t>분기 순번(추세계산용)</t>
        </is>
      </c>
      <c r="B40" s="335" t="n">
        <v>1</v>
      </c>
      <c r="C40" s="335" t="n">
        <v>2</v>
      </c>
      <c r="D40" s="335" t="n">
        <v>3</v>
      </c>
      <c r="E40" s="335" t="n">
        <v>4</v>
      </c>
      <c r="F40" s="335" t="n">
        <v>5</v>
      </c>
      <c r="G40" s="335" t="n">
        <v>6</v>
      </c>
      <c r="H40" s="335" t="n">
        <v>7</v>
      </c>
      <c r="I40" s="335" t="n">
        <v>8</v>
      </c>
      <c r="J40" s="335" t="n">
        <v>9</v>
      </c>
      <c r="K40" s="335" t="n">
        <v>10</v>
      </c>
      <c r="L40" s="335" t="n">
        <v>11</v>
      </c>
      <c r="M40" s="335" t="n">
        <v>12</v>
      </c>
      <c r="N40" s="335" t="n">
        <v>13</v>
      </c>
      <c r="O40" s="335" t="n">
        <v>14</v>
      </c>
      <c r="P40" s="335" t="n">
        <v>15</v>
      </c>
      <c r="Q40" s="335" t="n">
        <v>16</v>
      </c>
      <c r="R40" s="335" t="n">
        <v>17</v>
      </c>
      <c r="S40" s="335" t="n">
        <v>18</v>
      </c>
      <c r="T40" s="335" t="n">
        <v>19</v>
      </c>
      <c r="U40" s="335" t="n">
        <v>20</v>
      </c>
      <c r="V40" s="335" t="n">
        <v>21</v>
      </c>
      <c r="W40" s="335" t="n">
        <v>22</v>
      </c>
      <c r="X40" s="335" t="n">
        <v>23</v>
      </c>
      <c r="Y40" s="335" t="n">
        <v>24</v>
      </c>
      <c r="Z40" s="335" t="n">
        <v>25</v>
      </c>
      <c r="AA40" s="335" t="n">
        <v>26</v>
      </c>
      <c r="AB40" s="335" t="n">
        <v>27</v>
      </c>
      <c r="AC40" s="335" t="n">
        <v>28</v>
      </c>
      <c r="AD40" s="335" t="n">
        <v>29</v>
      </c>
      <c r="AE40" s="335" t="n">
        <v>30</v>
      </c>
      <c r="AF40" s="335" t="n">
        <v>31</v>
      </c>
      <c r="AG40" s="335" t="n">
        <v>32</v>
      </c>
      <c r="AH40" s="335" t="n">
        <v>33</v>
      </c>
      <c r="AI40" s="335" t="n">
        <v>34</v>
      </c>
      <c r="AJ40" s="335" t="n">
        <v>35</v>
      </c>
      <c r="AK40" s="335" t="n">
        <v>36</v>
      </c>
      <c r="AL40" s="335" t="n">
        <v>37</v>
      </c>
      <c r="AM40" s="335" t="n">
        <v>38</v>
      </c>
      <c r="AN40" s="335" t="n">
        <v>39</v>
      </c>
      <c r="AO40" s="335" t="n">
        <v>40</v>
      </c>
      <c r="AP40" s="335" t="n">
        <v>41</v>
      </c>
      <c r="AQ40" s="335" t="n">
        <v>42</v>
      </c>
      <c r="AR40" s="335" t="n">
        <v>43</v>
      </c>
      <c r="AS40" s="335" t="n">
        <v>44</v>
      </c>
      <c r="AT40" s="335" t="n">
        <v>45</v>
      </c>
    </row>
    <row r="41">
      <c r="A41" s="335" t="inlineStr">
        <is>
          <t>▶ 전체 전신마취환자수 (분기)  [실측HIRA합계~2025Q4 / 미래는 연령모델 연간환자수×분기비중]</t>
        </is>
      </c>
      <c r="B41" s="241" t="n">
        <v>298057</v>
      </c>
      <c r="C41" s="241" t="n">
        <v>284248</v>
      </c>
      <c r="D41" s="241" t="n">
        <v>287449</v>
      </c>
      <c r="E41" s="241" t="n">
        <v>298374</v>
      </c>
      <c r="F41" s="241" t="n">
        <v>314963</v>
      </c>
      <c r="G41" s="241" t="n">
        <v>308831</v>
      </c>
      <c r="H41" s="241" t="n">
        <v>311462</v>
      </c>
      <c r="I41" s="241" t="n">
        <v>314385</v>
      </c>
      <c r="J41" s="241" t="n">
        <v>304354</v>
      </c>
      <c r="K41" s="241" t="n">
        <v>314775</v>
      </c>
      <c r="L41" s="241" t="n">
        <v>320993</v>
      </c>
      <c r="M41" s="241" t="n">
        <v>320425</v>
      </c>
      <c r="N41" s="241" t="n">
        <v>342701</v>
      </c>
      <c r="O41" s="241" t="n">
        <v>321578</v>
      </c>
      <c r="P41" s="241" t="n">
        <v>325581</v>
      </c>
      <c r="Q41" s="241" t="n">
        <v>323190</v>
      </c>
      <c r="R41" s="241" t="n">
        <v>320414</v>
      </c>
      <c r="S41" s="241" t="n">
        <v>291697</v>
      </c>
      <c r="T41" s="241" t="n">
        <v>308119</v>
      </c>
      <c r="U41" s="241" t="n">
        <v>312869</v>
      </c>
      <c r="V41" s="241" t="n">
        <v>329008</v>
      </c>
      <c r="W41" s="241" t="n">
        <v>322560</v>
      </c>
      <c r="X41" s="241" t="n">
        <v>350758</v>
      </c>
      <c r="Y41" s="241" t="n">
        <v>330334</v>
      </c>
      <c r="Z41" s="242">
        <f>R7*$B$62/($B$62+$B$63+$B$64+$B$65)</f>
        <v/>
      </c>
      <c r="AA41" s="242">
        <f>R7*$B$63/($B$62+$B$63+$B$64+$B$65)</f>
        <v/>
      </c>
      <c r="AB41" s="242">
        <f>R7*$B$64/($B$62+$B$63+$B$64+$B$65)</f>
        <v/>
      </c>
      <c r="AC41" s="242">
        <f>R7*$B$65/($B$62+$B$63+$B$64+$B$65)</f>
        <v/>
      </c>
      <c r="AD41" s="242">
        <f>S7*$B$62/($B$62+$B$63+$B$64+$B$65)</f>
        <v/>
      </c>
      <c r="AE41" s="242">
        <f>S7*$B$63/($B$62+$B$63+$B$64+$B$65)</f>
        <v/>
      </c>
      <c r="AF41" s="242">
        <f>S7*$B$64/($B$62+$B$63+$B$64+$B$65)</f>
        <v/>
      </c>
      <c r="AG41" s="242">
        <f>S7*$B$65/($B$62+$B$63+$B$64+$B$65)</f>
        <v/>
      </c>
      <c r="AH41" s="242">
        <f>T7*$B$62/($B$62+$B$63+$B$64+$B$65)</f>
        <v/>
      </c>
      <c r="AI41" s="242">
        <f>T7*$B$63/($B$62+$B$63+$B$64+$B$65)</f>
        <v/>
      </c>
      <c r="AJ41" s="242">
        <f>T7*$B$64/($B$62+$B$63+$B$64+$B$65)</f>
        <v/>
      </c>
      <c r="AK41" s="242">
        <f>T7*$B$65/($B$62+$B$63+$B$64+$B$65)</f>
        <v/>
      </c>
      <c r="AL41" s="242">
        <f>U7*$B$62/($B$62+$B$63+$B$64+$B$65)</f>
        <v/>
      </c>
      <c r="AM41" s="242">
        <f>U7*$B$63/($B$62+$B$63+$B$64+$B$65)</f>
        <v/>
      </c>
      <c r="AN41" s="242">
        <f>U7*$B$64/($B$62+$B$63+$B$64+$B$65)</f>
        <v/>
      </c>
      <c r="AO41" s="242">
        <f>U7*$B$65/($B$62+$B$63+$B$64+$B$65)</f>
        <v/>
      </c>
      <c r="AP41" s="242">
        <f>V7*$B$62/($B$62+$B$63+$B$64+$B$65)</f>
        <v/>
      </c>
      <c r="AQ41" s="242">
        <f>V7*$B$63/($B$62+$B$63+$B$64+$B$65)</f>
        <v/>
      </c>
      <c r="AR41" s="242">
        <f>V7*$B$64/($B$62+$B$63+$B$64+$B$65)</f>
        <v/>
      </c>
      <c r="AS41" s="242">
        <f>V7*$B$65/($B$62+$B$63+$B$64+$B$65)</f>
        <v/>
      </c>
      <c r="AT41" s="242">
        <f>(V7*V7/U7)*$B$62/($B$62+$B$63+$B$64+$B$65)</f>
        <v/>
      </c>
    </row>
    <row r="42"/>
    <row r="43">
      <c r="A43" s="335" t="inlineStr">
        <is>
          <t>[정규화 전 — 종별 독립 예측치 (상한·하한·S-curve 적용, 합이 100%가 아님 · 중간 계산)]</t>
        </is>
      </c>
    </row>
    <row r="44">
      <c r="A44" s="335" t="inlineStr">
        <is>
          <t xml:space="preserve">  상급종합병원 환자비율 (분기) [실측HIRA / 미래는 최근4개분기평균]</t>
        </is>
      </c>
      <c r="B44" s="243">
        <f>원자료_분기실측!B5/B41</f>
        <v/>
      </c>
      <c r="C44" s="243">
        <f>원자료_분기실측!C5/C41</f>
        <v/>
      </c>
      <c r="D44" s="243">
        <f>원자료_분기실측!D5/D41</f>
        <v/>
      </c>
      <c r="E44" s="243">
        <f>원자료_분기실측!E5/E41</f>
        <v/>
      </c>
      <c r="F44" s="243">
        <f>원자료_분기실측!F5/F41</f>
        <v/>
      </c>
      <c r="G44" s="243">
        <f>원자료_분기실측!G5/G41</f>
        <v/>
      </c>
      <c r="H44" s="243">
        <f>원자료_분기실측!H5/H41</f>
        <v/>
      </c>
      <c r="I44" s="243">
        <f>원자료_분기실측!I5/I41</f>
        <v/>
      </c>
      <c r="J44" s="243">
        <f>원자료_분기실측!J5/J41</f>
        <v/>
      </c>
      <c r="K44" s="244">
        <f>원자료_분기실측!K5/K41</f>
        <v/>
      </c>
      <c r="L44" s="243">
        <f>원자료_분기실측!L5/L41</f>
        <v/>
      </c>
      <c r="M44" s="243">
        <f>원자료_분기실측!M5/M41</f>
        <v/>
      </c>
      <c r="N44" s="243">
        <f>원자료_분기실측!N5/N41</f>
        <v/>
      </c>
      <c r="O44" s="243">
        <f>원자료_분기실측!O5/O41</f>
        <v/>
      </c>
      <c r="P44" s="243">
        <f>원자료_분기실측!P5/P41</f>
        <v/>
      </c>
      <c r="Q44" s="243">
        <f>원자료_분기실측!Q5/Q41</f>
        <v/>
      </c>
      <c r="R44" s="243">
        <f>원자료_분기실측!R5/R41</f>
        <v/>
      </c>
      <c r="S44" s="245">
        <f>원자료_분기실측!S5/S41</f>
        <v/>
      </c>
      <c r="T44" s="243">
        <f>원자료_분기실측!T5/T41</f>
        <v/>
      </c>
      <c r="U44" s="243">
        <f>원자료_분기실측!U5/U41</f>
        <v/>
      </c>
      <c r="V44" s="243">
        <f>원자료_분기실측!V5/V41</f>
        <v/>
      </c>
      <c r="W44" s="243">
        <f>원자료_분기실측!W5/W41</f>
        <v/>
      </c>
      <c r="X44" s="243">
        <f>원자료_분기실측!X5/X41</f>
        <v/>
      </c>
      <c r="Y44" s="243">
        <f>원자료_분기실측!Y5/Y41</f>
        <v/>
      </c>
      <c r="Z44" s="222">
        <f>MIN($C$25,$D25*Z$40+$E25)</f>
        <v/>
      </c>
      <c r="AA44" s="222">
        <f>MIN($C$25,$D25*AA$40+$E25)</f>
        <v/>
      </c>
      <c r="AB44" s="222">
        <f>MIN($C$25,$D25*AB$40+$E25)</f>
        <v/>
      </c>
      <c r="AC44" s="222">
        <f>MIN($C$25,$D25*AC$40+$E25)</f>
        <v/>
      </c>
      <c r="AD44" s="222">
        <f>MIN($C$25,$D25*AD$40+$E25)</f>
        <v/>
      </c>
      <c r="AE44" s="222">
        <f>MIN($C$25,$D25*AE$40+$E25)</f>
        <v/>
      </c>
      <c r="AF44" s="222">
        <f>MIN($C$25,$D25*AF$40+$E25)</f>
        <v/>
      </c>
      <c r="AG44" s="222">
        <f>MIN($C$25,$D25*AG$40+$E25)</f>
        <v/>
      </c>
      <c r="AH44" s="222">
        <f>MIN($C$25,$D25*AH$40+$E25)</f>
        <v/>
      </c>
      <c r="AI44" s="222">
        <f>MIN($C$25,$D25*AI$40+$E25)</f>
        <v/>
      </c>
      <c r="AJ44" s="222">
        <f>MIN($C$25,$D25*AJ$40+$E25)</f>
        <v/>
      </c>
      <c r="AK44" s="222">
        <f>MIN($C$25,$D25*AK$40+$E25)</f>
        <v/>
      </c>
      <c r="AL44" s="222">
        <f>MIN($C$25,$D25*AL$40+$E25)</f>
        <v/>
      </c>
      <c r="AM44" s="222">
        <f>MIN($C$25,$D25*AM$40+$E25)</f>
        <v/>
      </c>
      <c r="AN44" s="222">
        <f>MIN($C$25,$D25*AN$40+$E25)</f>
        <v/>
      </c>
      <c r="AO44" s="222">
        <f>MIN($C$25,$D25*AO$40+$E25)</f>
        <v/>
      </c>
      <c r="AP44" s="222">
        <f>MIN($C$25,$D25*AP$40+$E25)</f>
        <v/>
      </c>
      <c r="AQ44" s="222">
        <f>MIN($C$25,$D25*AQ$40+$E25)</f>
        <v/>
      </c>
      <c r="AR44" s="222">
        <f>MIN($C$25,$D25*AR$40+$E25)</f>
        <v/>
      </c>
      <c r="AS44" s="222">
        <f>MIN($C$25,$D25*AS$40+$E25)</f>
        <v/>
      </c>
      <c r="AT44" s="222">
        <f>MIN($C$25,$D25*AT$40+$E25)</f>
        <v/>
      </c>
    </row>
    <row r="45">
      <c r="A45" s="335" t="inlineStr">
        <is>
          <t xml:space="preserve">  종합병원 환자비율 (분기) [실측HIRA / 미래는 최근4개분기평균]</t>
        </is>
      </c>
      <c r="B45" s="243">
        <f>원자료_분기실측!B6/B41</f>
        <v/>
      </c>
      <c r="C45" s="243">
        <f>원자료_분기실측!C6/C41</f>
        <v/>
      </c>
      <c r="D45" s="243">
        <f>원자료_분기실측!D6/D41</f>
        <v/>
      </c>
      <c r="E45" s="243">
        <f>원자료_분기실측!E6/E41</f>
        <v/>
      </c>
      <c r="F45" s="243">
        <f>원자료_분기실측!F6/F41</f>
        <v/>
      </c>
      <c r="G45" s="243">
        <f>원자료_분기실측!G6/G41</f>
        <v/>
      </c>
      <c r="H45" s="243">
        <f>원자료_분기실측!H6/H41</f>
        <v/>
      </c>
      <c r="I45" s="243">
        <f>원자료_분기실측!I6/I41</f>
        <v/>
      </c>
      <c r="J45" s="243">
        <f>원자료_분기실측!J6/J41</f>
        <v/>
      </c>
      <c r="K45" s="244">
        <f>원자료_분기실측!K6/K41</f>
        <v/>
      </c>
      <c r="L45" s="243">
        <f>원자료_분기실측!L6/L41</f>
        <v/>
      </c>
      <c r="M45" s="243">
        <f>원자료_분기실측!M6/M41</f>
        <v/>
      </c>
      <c r="N45" s="243">
        <f>원자료_분기실측!N6/N41</f>
        <v/>
      </c>
      <c r="O45" s="243">
        <f>원자료_분기실측!O6/O41</f>
        <v/>
      </c>
      <c r="P45" s="243">
        <f>원자료_분기실측!P6/P41</f>
        <v/>
      </c>
      <c r="Q45" s="243">
        <f>원자료_분기실측!Q6/Q41</f>
        <v/>
      </c>
      <c r="R45" s="243">
        <f>원자료_분기실측!R6/R41</f>
        <v/>
      </c>
      <c r="S45" s="243">
        <f>원자료_분기실측!S6/S41</f>
        <v/>
      </c>
      <c r="T45" s="243">
        <f>원자료_분기실측!T6/T41</f>
        <v/>
      </c>
      <c r="U45" s="243">
        <f>원자료_분기실측!U6/U41</f>
        <v/>
      </c>
      <c r="V45" s="243">
        <f>원자료_분기실측!V6/V41</f>
        <v/>
      </c>
      <c r="W45" s="243">
        <f>원자료_분기실측!W6/W41</f>
        <v/>
      </c>
      <c r="X45" s="243">
        <f>원자료_분기실측!X6/X41</f>
        <v/>
      </c>
      <c r="Y45" s="243">
        <f>원자료_분기실측!Y6/Y41</f>
        <v/>
      </c>
      <c r="Z45" s="222">
        <f>MAX($C$26,$D26*Z$40+$E26)</f>
        <v/>
      </c>
      <c r="AA45" s="222">
        <f>MAX($C$26,$D26*AA$40+$E26)</f>
        <v/>
      </c>
      <c r="AB45" s="222">
        <f>MAX($C$26,$D26*AB$40+$E26)</f>
        <v/>
      </c>
      <c r="AC45" s="222">
        <f>MAX($C$26,$D26*AC$40+$E26)</f>
        <v/>
      </c>
      <c r="AD45" s="222">
        <f>MAX($C$26,$D26*AD$40+$E26)</f>
        <v/>
      </c>
      <c r="AE45" s="222">
        <f>MAX($C$26,$D26*AE$40+$E26)</f>
        <v/>
      </c>
      <c r="AF45" s="222">
        <f>MAX($C$26,$D26*AF$40+$E26)</f>
        <v/>
      </c>
      <c r="AG45" s="222">
        <f>MAX($C$26,$D26*AG$40+$E26)</f>
        <v/>
      </c>
      <c r="AH45" s="222">
        <f>MAX($C$26,$D26*AH$40+$E26)</f>
        <v/>
      </c>
      <c r="AI45" s="222">
        <f>MAX($C$26,$D26*AI$40+$E26)</f>
        <v/>
      </c>
      <c r="AJ45" s="222">
        <f>MAX($C$26,$D26*AJ$40+$E26)</f>
        <v/>
      </c>
      <c r="AK45" s="222">
        <f>MAX($C$26,$D26*AK$40+$E26)</f>
        <v/>
      </c>
      <c r="AL45" s="222">
        <f>MAX($C$26,$D26*AL$40+$E26)</f>
        <v/>
      </c>
      <c r="AM45" s="222">
        <f>MAX($C$26,$D26*AM$40+$E26)</f>
        <v/>
      </c>
      <c r="AN45" s="222">
        <f>MAX($C$26,$D26*AN$40+$E26)</f>
        <v/>
      </c>
      <c r="AO45" s="222">
        <f>MAX($C$26,$D26*AO$40+$E26)</f>
        <v/>
      </c>
      <c r="AP45" s="222">
        <f>MAX($C$26,$D26*AP$40+$E26)</f>
        <v/>
      </c>
      <c r="AQ45" s="222">
        <f>MAX($C$26,$D26*AQ$40+$E26)</f>
        <v/>
      </c>
      <c r="AR45" s="222">
        <f>MAX($C$26,$D26*AR$40+$E26)</f>
        <v/>
      </c>
      <c r="AS45" s="222">
        <f>MAX($C$26,$D26*AS$40+$E26)</f>
        <v/>
      </c>
      <c r="AT45" s="222">
        <f>MAX($C$26,$D26*AT$40+$E26)</f>
        <v/>
      </c>
    </row>
    <row r="46">
      <c r="A46" s="335" t="inlineStr">
        <is>
          <t xml:space="preserve">  병원급 환자비율 (분기) [실측HIRA / 미래는 최근4개분기평균]</t>
        </is>
      </c>
      <c r="B46" s="243">
        <f>원자료_분기실측!B7/B41</f>
        <v/>
      </c>
      <c r="C46" s="243">
        <f>원자료_분기실측!C7/C41</f>
        <v/>
      </c>
      <c r="D46" s="243">
        <f>원자료_분기실측!D7/D41</f>
        <v/>
      </c>
      <c r="E46" s="243">
        <f>원자료_분기실측!E7/E41</f>
        <v/>
      </c>
      <c r="F46" s="243">
        <f>원자료_분기실측!F7/F41</f>
        <v/>
      </c>
      <c r="G46" s="243">
        <f>원자료_분기실측!G7/G41</f>
        <v/>
      </c>
      <c r="H46" s="243">
        <f>원자료_분기실측!H7/H41</f>
        <v/>
      </c>
      <c r="I46" s="243">
        <f>원자료_분기실측!I7/I41</f>
        <v/>
      </c>
      <c r="J46" s="243">
        <f>원자료_분기실측!J7/J41</f>
        <v/>
      </c>
      <c r="K46" s="244">
        <f>원자료_분기실측!K7/K41</f>
        <v/>
      </c>
      <c r="L46" s="243">
        <f>원자료_분기실측!L7/L41</f>
        <v/>
      </c>
      <c r="M46" s="243">
        <f>원자료_분기실측!M7/M41</f>
        <v/>
      </c>
      <c r="N46" s="243">
        <f>원자료_분기실측!N7/N41</f>
        <v/>
      </c>
      <c r="O46" s="243">
        <f>원자료_분기실측!O7/O41</f>
        <v/>
      </c>
      <c r="P46" s="243">
        <f>원자료_분기실측!P7/P41</f>
        <v/>
      </c>
      <c r="Q46" s="243">
        <f>원자료_분기실측!Q7/Q41</f>
        <v/>
      </c>
      <c r="R46" s="243">
        <f>원자료_분기실측!R7/R41</f>
        <v/>
      </c>
      <c r="S46" s="243">
        <f>원자료_분기실측!S7/S41</f>
        <v/>
      </c>
      <c r="T46" s="243">
        <f>원자료_분기실측!T7/T41</f>
        <v/>
      </c>
      <c r="U46" s="243">
        <f>원자료_분기실측!U7/U41</f>
        <v/>
      </c>
      <c r="V46" s="243">
        <f>원자료_분기실측!V7/V41</f>
        <v/>
      </c>
      <c r="W46" s="243">
        <f>원자료_분기실측!W7/W41</f>
        <v/>
      </c>
      <c r="X46" s="243">
        <f>원자료_분기실측!X7/X41</f>
        <v/>
      </c>
      <c r="Y46" s="243">
        <f>원자료_분기실측!Y7/Y41</f>
        <v/>
      </c>
      <c r="Z46" s="222">
        <f>MAX($C$27,$D27*Z$40+$E27)</f>
        <v/>
      </c>
      <c r="AA46" s="222">
        <f>MAX($C$27,$D27*AA$40+$E27)</f>
        <v/>
      </c>
      <c r="AB46" s="222">
        <f>MAX($C$27,$D27*AB$40+$E27)</f>
        <v/>
      </c>
      <c r="AC46" s="222">
        <f>MAX($C$27,$D27*AC$40+$E27)</f>
        <v/>
      </c>
      <c r="AD46" s="222">
        <f>MAX($C$27,$D27*AD$40+$E27)</f>
        <v/>
      </c>
      <c r="AE46" s="222">
        <f>MAX($C$27,$D27*AE$40+$E27)</f>
        <v/>
      </c>
      <c r="AF46" s="222">
        <f>MAX($C$27,$D27*AF$40+$E27)</f>
        <v/>
      </c>
      <c r="AG46" s="222">
        <f>MAX($C$27,$D27*AG$40+$E27)</f>
        <v/>
      </c>
      <c r="AH46" s="222">
        <f>MAX($C$27,$D27*AH$40+$E27)</f>
        <v/>
      </c>
      <c r="AI46" s="222">
        <f>MAX($C$27,$D27*AI$40+$E27)</f>
        <v/>
      </c>
      <c r="AJ46" s="222">
        <f>MAX($C$27,$D27*AJ$40+$E27)</f>
        <v/>
      </c>
      <c r="AK46" s="222">
        <f>MAX($C$27,$D27*AK$40+$E27)</f>
        <v/>
      </c>
      <c r="AL46" s="222">
        <f>MAX($C$27,$D27*AL$40+$E27)</f>
        <v/>
      </c>
      <c r="AM46" s="222">
        <f>MAX($C$27,$D27*AM$40+$E27)</f>
        <v/>
      </c>
      <c r="AN46" s="222">
        <f>MAX($C$27,$D27*AN$40+$E27)</f>
        <v/>
      </c>
      <c r="AO46" s="222">
        <f>MAX($C$27,$D27*AO$40+$E27)</f>
        <v/>
      </c>
      <c r="AP46" s="222">
        <f>MAX($C$27,$D27*AP$40+$E27)</f>
        <v/>
      </c>
      <c r="AQ46" s="222">
        <f>MAX($C$27,$D27*AQ$40+$E27)</f>
        <v/>
      </c>
      <c r="AR46" s="222">
        <f>MAX($C$27,$D27*AR$40+$E27)</f>
        <v/>
      </c>
      <c r="AS46" s="222">
        <f>MAX($C$27,$D27*AS$40+$E27)</f>
        <v/>
      </c>
      <c r="AT46" s="222">
        <f>MAX($C$27,$D27*AT$40+$E27)</f>
        <v/>
      </c>
    </row>
    <row r="47">
      <c r="A47" s="335" t="inlineStr">
        <is>
          <t xml:space="preserve">  의원급 환자비율 (분기) [실측HIRA / 미래는 최근8개분기선형추세]</t>
        </is>
      </c>
      <c r="B47" s="243">
        <f>원자료_분기실측!B8/B41</f>
        <v/>
      </c>
      <c r="C47" s="243">
        <f>원자료_분기실측!C8/C41</f>
        <v/>
      </c>
      <c r="D47" s="243">
        <f>원자료_분기실측!D8/D41</f>
        <v/>
      </c>
      <c r="E47" s="243">
        <f>원자료_분기실측!E8/E41</f>
        <v/>
      </c>
      <c r="F47" s="243">
        <f>원자료_분기실측!F8/F41</f>
        <v/>
      </c>
      <c r="G47" s="243">
        <f>원자료_분기실측!G8/G41</f>
        <v/>
      </c>
      <c r="H47" s="243">
        <f>원자료_분기실측!H8/H41</f>
        <v/>
      </c>
      <c r="I47" s="243">
        <f>원자료_분기실측!I8/I41</f>
        <v/>
      </c>
      <c r="J47" s="243">
        <f>원자료_분기실측!J8/J41</f>
        <v/>
      </c>
      <c r="K47" s="244">
        <f>원자료_분기실측!K8/K41</f>
        <v/>
      </c>
      <c r="L47" s="243">
        <f>원자료_분기실측!L8/L41</f>
        <v/>
      </c>
      <c r="M47" s="243">
        <f>원자료_분기실측!M8/M41</f>
        <v/>
      </c>
      <c r="N47" s="243">
        <f>원자료_분기실측!N8/N41</f>
        <v/>
      </c>
      <c r="O47" s="243">
        <f>원자료_분기실측!O8/O41</f>
        <v/>
      </c>
      <c r="P47" s="243">
        <f>원자료_분기실측!P8/P41</f>
        <v/>
      </c>
      <c r="Q47" s="243">
        <f>원자료_분기실측!Q8/Q41</f>
        <v/>
      </c>
      <c r="R47" s="243">
        <f>원자료_분기실측!R8/R41</f>
        <v/>
      </c>
      <c r="S47" s="243">
        <f>원자료_분기실측!S8/S41</f>
        <v/>
      </c>
      <c r="T47" s="243">
        <f>원자료_분기실측!T8/T41</f>
        <v/>
      </c>
      <c r="U47" s="243">
        <f>원자료_분기실측!U8/U41</f>
        <v/>
      </c>
      <c r="V47" s="243">
        <f>원자료_분기실측!V8/V41</f>
        <v/>
      </c>
      <c r="W47" s="243">
        <f>원자료_분기실측!W8/W41</f>
        <v/>
      </c>
      <c r="X47" s="243">
        <f>원자료_분기실측!X8/X41</f>
        <v/>
      </c>
      <c r="Y47" s="243">
        <f>원자료_분기실측!Y8/Y41</f>
        <v/>
      </c>
      <c r="Z47" s="222">
        <f>$C$28/(1+EXP(-(LN($Y$47/($C$28-$Y$47))+$F$28*(Z40-$Y$40))))</f>
        <v/>
      </c>
      <c r="AA47" s="222">
        <f>$C$28/(1+EXP(-(LN($Y$47/($C$28-$Y$47))+$F$28*(AA40-$Y$40))))</f>
        <v/>
      </c>
      <c r="AB47" s="222">
        <f>$C$28/(1+EXP(-(LN($Y$47/($C$28-$Y$47))+$F$28*(AB40-$Y$40))))</f>
        <v/>
      </c>
      <c r="AC47" s="222">
        <f>$C$28/(1+EXP(-(LN($Y$47/($C$28-$Y$47))+$F$28*(AC40-$Y$40))))</f>
        <v/>
      </c>
      <c r="AD47" s="222">
        <f>$C$28/(1+EXP(-(LN($Y$47/($C$28-$Y$47))+$F$28*(AD40-$Y$40))))</f>
        <v/>
      </c>
      <c r="AE47" s="222">
        <f>$C$28/(1+EXP(-(LN($Y$47/($C$28-$Y$47))+$F$28*(AE40-$Y$40))))</f>
        <v/>
      </c>
      <c r="AF47" s="222">
        <f>$C$28/(1+EXP(-(LN($Y$47/($C$28-$Y$47))+$F$28*(AF40-$Y$40))))</f>
        <v/>
      </c>
      <c r="AG47" s="222">
        <f>$C$28/(1+EXP(-(LN($Y$47/($C$28-$Y$47))+$F$28*(AG40-$Y$40))))</f>
        <v/>
      </c>
      <c r="AH47" s="222">
        <f>$C$28/(1+EXP(-(LN($Y$47/($C$28-$Y$47))+$F$28*(AH40-$Y$40))))</f>
        <v/>
      </c>
      <c r="AI47" s="222">
        <f>$C$28/(1+EXP(-(LN($Y$47/($C$28-$Y$47))+$F$28*(AI40-$Y$40))))</f>
        <v/>
      </c>
      <c r="AJ47" s="222">
        <f>$C$28/(1+EXP(-(LN($Y$47/($C$28-$Y$47))+$F$28*(AJ40-$Y$40))))</f>
        <v/>
      </c>
      <c r="AK47" s="222">
        <f>$C$28/(1+EXP(-(LN($Y$47/($C$28-$Y$47))+$F$28*(AK40-$Y$40))))</f>
        <v/>
      </c>
      <c r="AL47" s="222">
        <f>$C$28/(1+EXP(-(LN($Y$47/($C$28-$Y$47))+$F$28*(AL40-$Y$40))))</f>
        <v/>
      </c>
      <c r="AM47" s="222">
        <f>$C$28/(1+EXP(-(LN($Y$47/($C$28-$Y$47))+$F$28*(AM40-$Y$40))))</f>
        <v/>
      </c>
      <c r="AN47" s="222">
        <f>$C$28/(1+EXP(-(LN($Y$47/($C$28-$Y$47))+$F$28*(AN40-$Y$40))))</f>
        <v/>
      </c>
      <c r="AO47" s="222">
        <f>$C$28/(1+EXP(-(LN($Y$47/($C$28-$Y$47))+$F$28*(AO40-$Y$40))))</f>
        <v/>
      </c>
      <c r="AP47" s="222">
        <f>$C$28/(1+EXP(-(LN($Y$47/($C$28-$Y$47))+$F$28*(AP40-$Y$40))))</f>
        <v/>
      </c>
      <c r="AQ47" s="222">
        <f>$C$28/(1+EXP(-(LN($Y$47/($C$28-$Y$47))+$F$28*(AQ40-$Y$40))))</f>
        <v/>
      </c>
      <c r="AR47" s="222">
        <f>$C$28/(1+EXP(-(LN($Y$47/($C$28-$Y$47))+$F$28*(AR40-$Y$40))))</f>
        <v/>
      </c>
      <c r="AS47" s="222">
        <f>$C$28/(1+EXP(-(LN($Y$47/($C$28-$Y$47))+$F$28*(AS40-$Y$40))))</f>
        <v/>
      </c>
      <c r="AT47" s="222">
        <f>$C$28/(1+EXP(-(LN($Y$47/($C$28-$Y$47))+$F$28*(AT40-$Y$40))))</f>
        <v/>
      </c>
    </row>
    <row r="48">
      <c r="A48" s="185" t="inlineStr">
        <is>
          <t>[의원급 S-curve 로짓변환]</t>
        </is>
      </c>
      <c r="B48" s="335" t="n"/>
      <c r="S48" s="335">
        <f>LN(S47/($C$28-S47))</f>
        <v/>
      </c>
      <c r="T48" s="335">
        <f>LN(T47/($C$28-T47))</f>
        <v/>
      </c>
      <c r="U48" s="335">
        <f>LN(U47/($C$28-U47))</f>
        <v/>
      </c>
      <c r="V48" s="335">
        <f>LN(V47/($C$28-V47))</f>
        <v/>
      </c>
      <c r="W48" s="335">
        <f>LN(W47/($C$28-W47))</f>
        <v/>
      </c>
      <c r="X48" s="335">
        <f>LN(X47/($C$28-X47))</f>
        <v/>
      </c>
      <c r="Y48" s="335">
        <f>LN(Y47/($C$28-Y47))</f>
        <v/>
      </c>
    </row>
    <row r="49"/>
    <row r="50">
      <c r="A50" s="335" t="inlineStr">
        <is>
          <t>[정규화 후 — 4종별 합 = 100%로 조정 (모델 사용값)]</t>
        </is>
      </c>
      <c r="Z50" s="373" t="n"/>
      <c r="AA50" s="373" t="n"/>
      <c r="AB50" s="373" t="n"/>
      <c r="AC50" s="373" t="n"/>
      <c r="AD50" s="373" t="n"/>
      <c r="AE50" s="373" t="n"/>
      <c r="AF50" s="373" t="n"/>
      <c r="AG50" s="373" t="n"/>
      <c r="AH50" s="373" t="n"/>
      <c r="AI50" s="373" t="n"/>
      <c r="AJ50" s="373" t="n"/>
      <c r="AK50" s="373" t="n"/>
      <c r="AL50" s="373" t="n"/>
      <c r="AM50" s="373" t="n"/>
      <c r="AN50" s="373" t="n"/>
      <c r="AO50" s="373" t="n"/>
      <c r="AP50" s="373" t="n"/>
      <c r="AQ50" s="373" t="n"/>
      <c r="AR50" s="373" t="n"/>
      <c r="AS50" s="373" t="n"/>
      <c r="AT50" s="373" t="n"/>
    </row>
    <row r="51">
      <c r="A51" s="335" t="inlineStr">
        <is>
          <t xml:space="preserve">  상급종합병원 환자비율 (분기) [실측HIRA / 미래는 최근4개분기평균]</t>
        </is>
      </c>
      <c r="B51" s="243" t="n"/>
      <c r="C51" s="243" t="n"/>
      <c r="D51" s="243" t="n"/>
      <c r="E51" s="243" t="n"/>
      <c r="F51" s="243" t="n"/>
      <c r="G51" s="243" t="n"/>
      <c r="H51" s="243" t="n"/>
      <c r="I51" s="243" t="n"/>
      <c r="J51" s="243" t="n"/>
      <c r="K51" s="244" t="n"/>
      <c r="L51" s="243" t="n"/>
      <c r="M51" s="243" t="n"/>
      <c r="N51" s="243" t="n"/>
      <c r="O51" s="243" t="n"/>
      <c r="P51" s="243" t="n"/>
      <c r="Q51" s="243" t="n"/>
      <c r="R51" s="243" t="n"/>
      <c r="S51" s="245" t="n"/>
      <c r="T51" s="243" t="n"/>
      <c r="U51" s="243" t="n"/>
      <c r="V51" s="243" t="n"/>
      <c r="W51" s="243" t="n"/>
      <c r="X51" s="243" t="n"/>
      <c r="Y51" s="243" t="n"/>
      <c r="Z51" s="222">
        <f>Z44/SUM(Z$44:Z$47)</f>
        <v/>
      </c>
      <c r="AA51" s="222">
        <f>AA44/SUM(AA$44:AA$47)</f>
        <v/>
      </c>
      <c r="AB51" s="222">
        <f>AB44/SUM(AB$44:AB$47)</f>
        <v/>
      </c>
      <c r="AC51" s="222">
        <f>AC44/SUM(AC$44:AC$47)</f>
        <v/>
      </c>
      <c r="AD51" s="222">
        <f>AD44/SUM(AD$44:AD$47)</f>
        <v/>
      </c>
      <c r="AE51" s="222">
        <f>AE44/SUM(AE$44:AE$47)</f>
        <v/>
      </c>
      <c r="AF51" s="222">
        <f>AF44/SUM(AF$44:AF$47)</f>
        <v/>
      </c>
      <c r="AG51" s="222">
        <f>AG44/SUM(AG$44:AG$47)</f>
        <v/>
      </c>
      <c r="AH51" s="222">
        <f>AH44/SUM(AH$44:AH$47)</f>
        <v/>
      </c>
      <c r="AI51" s="222">
        <f>AI44/SUM(AI$44:AI$47)</f>
        <v/>
      </c>
      <c r="AJ51" s="222">
        <f>AJ44/SUM(AJ$44:AJ$47)</f>
        <v/>
      </c>
      <c r="AK51" s="222">
        <f>AK44/SUM(AK$44:AK$47)</f>
        <v/>
      </c>
      <c r="AL51" s="222">
        <f>AL44/SUM(AL$44:AL$47)</f>
        <v/>
      </c>
      <c r="AM51" s="222">
        <f>AM44/SUM(AM$44:AM$47)</f>
        <v/>
      </c>
      <c r="AN51" s="222">
        <f>AN44/SUM(AN$44:AN$47)</f>
        <v/>
      </c>
      <c r="AO51" s="222">
        <f>AO44/SUM(AO$44:AO$47)</f>
        <v/>
      </c>
      <c r="AP51" s="222">
        <f>AP44/SUM(AP$44:AP$47)</f>
        <v/>
      </c>
      <c r="AQ51" s="222">
        <f>AQ44/SUM(AQ$44:AQ$47)</f>
        <v/>
      </c>
      <c r="AR51" s="222">
        <f>AR44/SUM(AR$44:AR$47)</f>
        <v/>
      </c>
      <c r="AS51" s="222">
        <f>AS44/SUM(AS$44:AS$47)</f>
        <v/>
      </c>
      <c r="AT51" s="222">
        <f>AT44/SUM(AT$44:AT$47)</f>
        <v/>
      </c>
    </row>
    <row r="52">
      <c r="A52" s="335" t="inlineStr">
        <is>
          <t xml:space="preserve">  종합병원 환자비율 (분기) [실측HIRA / 미래는 최근4개분기평균]</t>
        </is>
      </c>
      <c r="B52" s="243" t="n"/>
      <c r="C52" s="243" t="n"/>
      <c r="D52" s="243" t="n"/>
      <c r="E52" s="243" t="n"/>
      <c r="F52" s="243" t="n"/>
      <c r="G52" s="243" t="n"/>
      <c r="H52" s="243" t="n"/>
      <c r="I52" s="243" t="n"/>
      <c r="J52" s="243" t="n"/>
      <c r="K52" s="244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22">
        <f>Z45/SUM(Z$44:Z$47)</f>
        <v/>
      </c>
      <c r="AA52" s="222">
        <f>AA45/SUM(AA$44:AA$47)</f>
        <v/>
      </c>
      <c r="AB52" s="222">
        <f>AB45/SUM(AB$44:AB$47)</f>
        <v/>
      </c>
      <c r="AC52" s="222">
        <f>AC45/SUM(AC$44:AC$47)</f>
        <v/>
      </c>
      <c r="AD52" s="222">
        <f>AD45/SUM(AD$44:AD$47)</f>
        <v/>
      </c>
      <c r="AE52" s="222">
        <f>AE45/SUM(AE$44:AE$47)</f>
        <v/>
      </c>
      <c r="AF52" s="222">
        <f>AF45/SUM(AF$44:AF$47)</f>
        <v/>
      </c>
      <c r="AG52" s="222">
        <f>AG45/SUM(AG$44:AG$47)</f>
        <v/>
      </c>
      <c r="AH52" s="222">
        <f>AH45/SUM(AH$44:AH$47)</f>
        <v/>
      </c>
      <c r="AI52" s="222">
        <f>AI45/SUM(AI$44:AI$47)</f>
        <v/>
      </c>
      <c r="AJ52" s="222">
        <f>AJ45/SUM(AJ$44:AJ$47)</f>
        <v/>
      </c>
      <c r="AK52" s="222">
        <f>AK45/SUM(AK$44:AK$47)</f>
        <v/>
      </c>
      <c r="AL52" s="222">
        <f>AL45/SUM(AL$44:AL$47)</f>
        <v/>
      </c>
      <c r="AM52" s="222">
        <f>AM45/SUM(AM$44:AM$47)</f>
        <v/>
      </c>
      <c r="AN52" s="222">
        <f>AN45/SUM(AN$44:AN$47)</f>
        <v/>
      </c>
      <c r="AO52" s="222">
        <f>AO45/SUM(AO$44:AO$47)</f>
        <v/>
      </c>
      <c r="AP52" s="222">
        <f>AP45/SUM(AP$44:AP$47)</f>
        <v/>
      </c>
      <c r="AQ52" s="222">
        <f>AQ45/SUM(AQ$44:AQ$47)</f>
        <v/>
      </c>
      <c r="AR52" s="222">
        <f>AR45/SUM(AR$44:AR$47)</f>
        <v/>
      </c>
      <c r="AS52" s="222">
        <f>AS45/SUM(AS$44:AS$47)</f>
        <v/>
      </c>
      <c r="AT52" s="222">
        <f>AT45/SUM(AT$44:AT$47)</f>
        <v/>
      </c>
    </row>
    <row r="53">
      <c r="A53" s="335" t="inlineStr">
        <is>
          <t xml:space="preserve">  병원급 환자비율 (분기) [실측HIRA / 미래는 최근4개분기평균]</t>
        </is>
      </c>
      <c r="B53" s="243" t="n"/>
      <c r="C53" s="243" t="n"/>
      <c r="D53" s="243" t="n"/>
      <c r="E53" s="243" t="n"/>
      <c r="F53" s="243" t="n"/>
      <c r="G53" s="243" t="n"/>
      <c r="H53" s="243" t="n"/>
      <c r="I53" s="243" t="n"/>
      <c r="J53" s="243" t="n"/>
      <c r="K53" s="244" t="n"/>
      <c r="L53" s="243" t="n"/>
      <c r="M53" s="243" t="n"/>
      <c r="N53" s="243" t="n"/>
      <c r="O53" s="243" t="n"/>
      <c r="P53" s="243" t="n"/>
      <c r="Q53" s="243" t="n"/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22">
        <f>Z46/SUM(Z$44:Z$47)</f>
        <v/>
      </c>
      <c r="AA53" s="222">
        <f>AA46/SUM(AA$44:AA$47)</f>
        <v/>
      </c>
      <c r="AB53" s="222">
        <f>AB46/SUM(AB$44:AB$47)</f>
        <v/>
      </c>
      <c r="AC53" s="222">
        <f>AC46/SUM(AC$44:AC$47)</f>
        <v/>
      </c>
      <c r="AD53" s="222">
        <f>AD46/SUM(AD$44:AD$47)</f>
        <v/>
      </c>
      <c r="AE53" s="222">
        <f>AE46/SUM(AE$44:AE$47)</f>
        <v/>
      </c>
      <c r="AF53" s="222">
        <f>AF46/SUM(AF$44:AF$47)</f>
        <v/>
      </c>
      <c r="AG53" s="222">
        <f>AG46/SUM(AG$44:AG$47)</f>
        <v/>
      </c>
      <c r="AH53" s="222">
        <f>AH46/SUM(AH$44:AH$47)</f>
        <v/>
      </c>
      <c r="AI53" s="222">
        <f>AI46/SUM(AI$44:AI$47)</f>
        <v/>
      </c>
      <c r="AJ53" s="222">
        <f>AJ46/SUM(AJ$44:AJ$47)</f>
        <v/>
      </c>
      <c r="AK53" s="222">
        <f>AK46/SUM(AK$44:AK$47)</f>
        <v/>
      </c>
      <c r="AL53" s="222">
        <f>AL46/SUM(AL$44:AL$47)</f>
        <v/>
      </c>
      <c r="AM53" s="222">
        <f>AM46/SUM(AM$44:AM$47)</f>
        <v/>
      </c>
      <c r="AN53" s="222">
        <f>AN46/SUM(AN$44:AN$47)</f>
        <v/>
      </c>
      <c r="AO53" s="222">
        <f>AO46/SUM(AO$44:AO$47)</f>
        <v/>
      </c>
      <c r="AP53" s="222">
        <f>AP46/SUM(AP$44:AP$47)</f>
        <v/>
      </c>
      <c r="AQ53" s="222">
        <f>AQ46/SUM(AQ$44:AQ$47)</f>
        <v/>
      </c>
      <c r="AR53" s="222">
        <f>AR46/SUM(AR$44:AR$47)</f>
        <v/>
      </c>
      <c r="AS53" s="222">
        <f>AS46/SUM(AS$44:AS$47)</f>
        <v/>
      </c>
      <c r="AT53" s="222">
        <f>AT46/SUM(AT$44:AT$47)</f>
        <v/>
      </c>
    </row>
    <row r="54">
      <c r="A54" s="335" t="inlineStr">
        <is>
          <t xml:space="preserve">  의원급 환자비율 (분기) [실측HIRA / 미래는 최근8개분기선형추세]</t>
        </is>
      </c>
      <c r="B54" s="243" t="n"/>
      <c r="C54" s="243" t="n"/>
      <c r="D54" s="243" t="n"/>
      <c r="E54" s="243" t="n"/>
      <c r="F54" s="243" t="n"/>
      <c r="G54" s="243" t="n"/>
      <c r="H54" s="243" t="n"/>
      <c r="I54" s="243" t="n"/>
      <c r="J54" s="243" t="n"/>
      <c r="K54" s="244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22">
        <f>Z47/SUM(Z$44:Z$47)</f>
        <v/>
      </c>
      <c r="AA54" s="222">
        <f>AA47/SUM(AA$44:AA$47)</f>
        <v/>
      </c>
      <c r="AB54" s="222">
        <f>AB47/SUM(AB$44:AB$47)</f>
        <v/>
      </c>
      <c r="AC54" s="222">
        <f>AC47/SUM(AC$44:AC$47)</f>
        <v/>
      </c>
      <c r="AD54" s="222">
        <f>AD47/SUM(AD$44:AD$47)</f>
        <v/>
      </c>
      <c r="AE54" s="222">
        <f>AE47/SUM(AE$44:AE$47)</f>
        <v/>
      </c>
      <c r="AF54" s="222">
        <f>AF47/SUM(AF$44:AF$47)</f>
        <v/>
      </c>
      <c r="AG54" s="222">
        <f>AG47/SUM(AG$44:AG$47)</f>
        <v/>
      </c>
      <c r="AH54" s="222">
        <f>AH47/SUM(AH$44:AH$47)</f>
        <v/>
      </c>
      <c r="AI54" s="222">
        <f>AI47/SUM(AI$44:AI$47)</f>
        <v/>
      </c>
      <c r="AJ54" s="222">
        <f>AJ47/SUM(AJ$44:AJ$47)</f>
        <v/>
      </c>
      <c r="AK54" s="222">
        <f>AK47/SUM(AK$44:AK$47)</f>
        <v/>
      </c>
      <c r="AL54" s="222">
        <f>AL47/SUM(AL$44:AL$47)</f>
        <v/>
      </c>
      <c r="AM54" s="222">
        <f>AM47/SUM(AM$44:AM$47)</f>
        <v/>
      </c>
      <c r="AN54" s="222">
        <f>AN47/SUM(AN$44:AN$47)</f>
        <v/>
      </c>
      <c r="AO54" s="222">
        <f>AO47/SUM(AO$44:AO$47)</f>
        <v/>
      </c>
      <c r="AP54" s="222">
        <f>AP47/SUM(AP$44:AP$47)</f>
        <v/>
      </c>
      <c r="AQ54" s="222">
        <f>AQ47/SUM(AQ$44:AQ$47)</f>
        <v/>
      </c>
      <c r="AR54" s="222">
        <f>AR47/SUM(AR$44:AR$47)</f>
        <v/>
      </c>
      <c r="AS54" s="222">
        <f>AS47/SUM(AS$44:AS$47)</f>
        <v/>
      </c>
      <c r="AT54" s="222">
        <f>AT47/SUM(AT$44:AT$47)</f>
        <v/>
      </c>
    </row>
    <row r="55">
      <c r="A55" s="374" t="inlineStr">
        <is>
          <t xml:space="preserve">  합계 검증 (정규화 후 4종별 합 = 100%)</t>
        </is>
      </c>
      <c r="Z55" s="373">
        <f>SUM(Z51:Z54)</f>
        <v/>
      </c>
      <c r="AA55" s="373">
        <f>SUM(AA51:AA54)</f>
        <v/>
      </c>
      <c r="AB55" s="373">
        <f>SUM(AB51:AB54)</f>
        <v/>
      </c>
      <c r="AC55" s="373">
        <f>SUM(AC51:AC54)</f>
        <v/>
      </c>
      <c r="AD55" s="373">
        <f>SUM(AD51:AD54)</f>
        <v/>
      </c>
      <c r="AE55" s="373">
        <f>SUM(AE51:AE54)</f>
        <v/>
      </c>
      <c r="AF55" s="373">
        <f>SUM(AF51:AF54)</f>
        <v/>
      </c>
      <c r="AG55" s="373">
        <f>SUM(AG51:AG54)</f>
        <v/>
      </c>
      <c r="AH55" s="373">
        <f>SUM(AH51:AH54)</f>
        <v/>
      </c>
      <c r="AI55" s="373">
        <f>SUM(AI51:AI54)</f>
        <v/>
      </c>
      <c r="AJ55" s="373">
        <f>SUM(AJ51:AJ54)</f>
        <v/>
      </c>
      <c r="AK55" s="373">
        <f>SUM(AK51:AK54)</f>
        <v/>
      </c>
      <c r="AL55" s="373">
        <f>SUM(AL51:AL54)</f>
        <v/>
      </c>
      <c r="AM55" s="373">
        <f>SUM(AM51:AM54)</f>
        <v/>
      </c>
      <c r="AN55" s="373">
        <f>SUM(AN51:AN54)</f>
        <v/>
      </c>
      <c r="AO55" s="373">
        <f>SUM(AO51:AO54)</f>
        <v/>
      </c>
      <c r="AP55" s="373">
        <f>SUM(AP51:AP54)</f>
        <v/>
      </c>
      <c r="AQ55" s="373">
        <f>SUM(AQ51:AQ54)</f>
        <v/>
      </c>
      <c r="AR55" s="373">
        <f>SUM(AR51:AR54)</f>
        <v/>
      </c>
      <c r="AS55" s="373">
        <f>SUM(AS51:AS54)</f>
        <v/>
      </c>
      <c r="AT55" s="373">
        <f>SUM(AT51:AT54)</f>
        <v/>
      </c>
    </row>
    <row r="56">
      <c r="A56" s="335" t="inlineStr">
        <is>
          <t xml:space="preserve">  상급종합병원 전신마취환자수 (분기) = 실측 OR (전체환자수×B)</t>
        </is>
      </c>
      <c r="B56" s="208">
        <f>원자료_분기실측!B5</f>
        <v/>
      </c>
      <c r="C56" s="208">
        <f>원자료_분기실측!C5</f>
        <v/>
      </c>
      <c r="D56" s="208">
        <f>원자료_분기실측!D5</f>
        <v/>
      </c>
      <c r="E56" s="208">
        <f>원자료_분기실측!E5</f>
        <v/>
      </c>
      <c r="F56" s="208">
        <f>원자료_분기실측!F5</f>
        <v/>
      </c>
      <c r="G56" s="208">
        <f>원자료_분기실측!G5</f>
        <v/>
      </c>
      <c r="H56" s="208">
        <f>원자료_분기실측!H5</f>
        <v/>
      </c>
      <c r="I56" s="208">
        <f>원자료_분기실측!I5</f>
        <v/>
      </c>
      <c r="J56" s="208">
        <f>원자료_분기실측!J5</f>
        <v/>
      </c>
      <c r="K56" s="208">
        <f>원자료_분기실측!K5</f>
        <v/>
      </c>
      <c r="L56" s="208">
        <f>원자료_분기실측!L5</f>
        <v/>
      </c>
      <c r="M56" s="208">
        <f>원자료_분기실측!M5</f>
        <v/>
      </c>
      <c r="N56" s="208">
        <f>원자료_분기실측!N5</f>
        <v/>
      </c>
      <c r="O56" s="208">
        <f>원자료_분기실측!O5</f>
        <v/>
      </c>
      <c r="P56" s="208">
        <f>원자료_분기실측!P5</f>
        <v/>
      </c>
      <c r="Q56" s="208">
        <f>원자료_분기실측!Q5</f>
        <v/>
      </c>
      <c r="R56" s="208">
        <f>원자료_분기실측!R5</f>
        <v/>
      </c>
      <c r="S56" s="208">
        <f>원자료_분기실측!S5</f>
        <v/>
      </c>
      <c r="T56" s="208">
        <f>원자료_분기실측!T5</f>
        <v/>
      </c>
      <c r="U56" s="208">
        <f>원자료_분기실측!U5</f>
        <v/>
      </c>
      <c r="V56" s="208">
        <f>원자료_분기실측!V5</f>
        <v/>
      </c>
      <c r="W56" s="208">
        <f>원자료_분기실측!W5</f>
        <v/>
      </c>
      <c r="X56" s="208">
        <f>원자료_분기실측!X5</f>
        <v/>
      </c>
      <c r="Y56" s="208">
        <f>원자료_분기실측!Y5</f>
        <v/>
      </c>
      <c r="Z56" s="247">
        <f>Z$41*Z51</f>
        <v/>
      </c>
      <c r="AA56" s="247">
        <f>AA$41*AA51</f>
        <v/>
      </c>
      <c r="AB56" s="247">
        <f>AB$41*AB51</f>
        <v/>
      </c>
      <c r="AC56" s="247">
        <f>AC$41*AC51</f>
        <v/>
      </c>
      <c r="AD56" s="247">
        <f>AD$41*AD51</f>
        <v/>
      </c>
      <c r="AE56" s="247">
        <f>AE$41*AE51</f>
        <v/>
      </c>
      <c r="AF56" s="247">
        <f>AF$41*AF51</f>
        <v/>
      </c>
      <c r="AG56" s="247">
        <f>AG$41*AG51</f>
        <v/>
      </c>
      <c r="AH56" s="247">
        <f>AH$41*AH51</f>
        <v/>
      </c>
      <c r="AI56" s="247">
        <f>AI$41*AI51</f>
        <v/>
      </c>
      <c r="AJ56" s="247">
        <f>AJ$41*AJ51</f>
        <v/>
      </c>
      <c r="AK56" s="247">
        <f>AK$41*AK51</f>
        <v/>
      </c>
      <c r="AL56" s="247">
        <f>AL$41*AL51</f>
        <v/>
      </c>
      <c r="AM56" s="247">
        <f>AM$41*AM51</f>
        <v/>
      </c>
      <c r="AN56" s="247">
        <f>AN$41*AN51</f>
        <v/>
      </c>
      <c r="AO56" s="247">
        <f>AO$41*AO51</f>
        <v/>
      </c>
      <c r="AP56" s="247">
        <f>AP$41*AP51</f>
        <v/>
      </c>
      <c r="AQ56" s="247">
        <f>AQ$41*AQ51</f>
        <v/>
      </c>
      <c r="AR56" s="247">
        <f>AR$41*AR51</f>
        <v/>
      </c>
      <c r="AS56" s="247">
        <f>AS$41*AS51</f>
        <v/>
      </c>
      <c r="AT56" s="247">
        <f>AT$41*AT51</f>
        <v/>
      </c>
    </row>
    <row r="57">
      <c r="A57" s="335" t="inlineStr">
        <is>
          <t xml:space="preserve">  종합병원 전신마취환자수 (분기) = 실측 OR 전체환자수×B</t>
        </is>
      </c>
      <c r="B57" s="208">
        <f>원자료_분기실측!B6</f>
        <v/>
      </c>
      <c r="C57" s="208">
        <f>원자료_분기실측!C6</f>
        <v/>
      </c>
      <c r="D57" s="208">
        <f>원자료_분기실측!D6</f>
        <v/>
      </c>
      <c r="E57" s="208">
        <f>원자료_분기실측!E6</f>
        <v/>
      </c>
      <c r="F57" s="208">
        <f>원자료_분기실측!F6</f>
        <v/>
      </c>
      <c r="G57" s="208">
        <f>원자료_분기실측!G6</f>
        <v/>
      </c>
      <c r="H57" s="208">
        <f>원자료_분기실측!H6</f>
        <v/>
      </c>
      <c r="I57" s="208">
        <f>원자료_분기실측!I6</f>
        <v/>
      </c>
      <c r="J57" s="208">
        <f>원자료_분기실측!J6</f>
        <v/>
      </c>
      <c r="K57" s="208">
        <f>원자료_분기실측!K6</f>
        <v/>
      </c>
      <c r="L57" s="208">
        <f>원자료_분기실측!L6</f>
        <v/>
      </c>
      <c r="M57" s="208">
        <f>원자료_분기실측!M6</f>
        <v/>
      </c>
      <c r="N57" s="208">
        <f>원자료_분기실측!N6</f>
        <v/>
      </c>
      <c r="O57" s="208">
        <f>원자료_분기실측!O6</f>
        <v/>
      </c>
      <c r="P57" s="208">
        <f>원자료_분기실측!P6</f>
        <v/>
      </c>
      <c r="Q57" s="208">
        <f>원자료_분기실측!Q6</f>
        <v/>
      </c>
      <c r="R57" s="208">
        <f>원자료_분기실측!R6</f>
        <v/>
      </c>
      <c r="S57" s="208">
        <f>원자료_분기실측!S6</f>
        <v/>
      </c>
      <c r="T57" s="208">
        <f>원자료_분기실측!T6</f>
        <v/>
      </c>
      <c r="U57" s="208">
        <f>원자료_분기실측!U6</f>
        <v/>
      </c>
      <c r="V57" s="208">
        <f>원자료_분기실측!V6</f>
        <v/>
      </c>
      <c r="W57" s="208">
        <f>원자료_분기실측!W6</f>
        <v/>
      </c>
      <c r="X57" s="208">
        <f>원자료_분기실측!X6</f>
        <v/>
      </c>
      <c r="Y57" s="208">
        <f>원자료_분기실측!Y6</f>
        <v/>
      </c>
      <c r="Z57" s="247">
        <f>Z$41*Z52</f>
        <v/>
      </c>
      <c r="AA57" s="247">
        <f>AA$41*AA52</f>
        <v/>
      </c>
      <c r="AB57" s="247">
        <f>AB$41*AB52</f>
        <v/>
      </c>
      <c r="AC57" s="247">
        <f>AC$41*AC52</f>
        <v/>
      </c>
      <c r="AD57" s="247">
        <f>AD$41*AD52</f>
        <v/>
      </c>
      <c r="AE57" s="247">
        <f>AE$41*AE52</f>
        <v/>
      </c>
      <c r="AF57" s="247">
        <f>AF$41*AF52</f>
        <v/>
      </c>
      <c r="AG57" s="247">
        <f>AG$41*AG52</f>
        <v/>
      </c>
      <c r="AH57" s="247">
        <f>AH$41*AH52</f>
        <v/>
      </c>
      <c r="AI57" s="247">
        <f>AI$41*AI52</f>
        <v/>
      </c>
      <c r="AJ57" s="247">
        <f>AJ$41*AJ52</f>
        <v/>
      </c>
      <c r="AK57" s="247">
        <f>AK$41*AK52</f>
        <v/>
      </c>
      <c r="AL57" s="247">
        <f>AL$41*AL52</f>
        <v/>
      </c>
      <c r="AM57" s="247">
        <f>AM$41*AM52</f>
        <v/>
      </c>
      <c r="AN57" s="247">
        <f>AN$41*AN52</f>
        <v/>
      </c>
      <c r="AO57" s="247">
        <f>AO$41*AO52</f>
        <v/>
      </c>
      <c r="AP57" s="247">
        <f>AP$41*AP52</f>
        <v/>
      </c>
      <c r="AQ57" s="247">
        <f>AQ$41*AQ52</f>
        <v/>
      </c>
      <c r="AR57" s="247">
        <f>AR$41*AR52</f>
        <v/>
      </c>
      <c r="AS57" s="247">
        <f>AS$41*AS52</f>
        <v/>
      </c>
      <c r="AT57" s="247">
        <f>AT$41*AT52</f>
        <v/>
      </c>
    </row>
    <row r="58">
      <c r="A58" s="335" t="inlineStr">
        <is>
          <t xml:space="preserve">  병원급 전신마취환자수 (분기) = 실측 OR 전체환자수×B</t>
        </is>
      </c>
      <c r="B58" s="208">
        <f>원자료_분기실측!B7</f>
        <v/>
      </c>
      <c r="C58" s="208">
        <f>원자료_분기실측!C7</f>
        <v/>
      </c>
      <c r="D58" s="208">
        <f>원자료_분기실측!D7</f>
        <v/>
      </c>
      <c r="E58" s="208">
        <f>원자료_분기실측!E7</f>
        <v/>
      </c>
      <c r="F58" s="208">
        <f>원자료_분기실측!F7</f>
        <v/>
      </c>
      <c r="G58" s="208">
        <f>원자료_분기실측!G7</f>
        <v/>
      </c>
      <c r="H58" s="208">
        <f>원자료_분기실측!H7</f>
        <v/>
      </c>
      <c r="I58" s="208">
        <f>원자료_분기실측!I7</f>
        <v/>
      </c>
      <c r="J58" s="208">
        <f>원자료_분기실측!J7</f>
        <v/>
      </c>
      <c r="K58" s="208">
        <f>원자료_분기실측!K7</f>
        <v/>
      </c>
      <c r="L58" s="208">
        <f>원자료_분기실측!L7</f>
        <v/>
      </c>
      <c r="M58" s="208">
        <f>원자료_분기실측!M7</f>
        <v/>
      </c>
      <c r="N58" s="208">
        <f>원자료_분기실측!N7</f>
        <v/>
      </c>
      <c r="O58" s="208">
        <f>원자료_분기실측!O7</f>
        <v/>
      </c>
      <c r="P58" s="208">
        <f>원자료_분기실측!P7</f>
        <v/>
      </c>
      <c r="Q58" s="208">
        <f>원자료_분기실측!Q7</f>
        <v/>
      </c>
      <c r="R58" s="208">
        <f>원자료_분기실측!R7</f>
        <v/>
      </c>
      <c r="S58" s="208">
        <f>원자료_분기실측!S7</f>
        <v/>
      </c>
      <c r="T58" s="208">
        <f>원자료_분기실측!T7</f>
        <v/>
      </c>
      <c r="U58" s="208">
        <f>원자료_분기실측!U7</f>
        <v/>
      </c>
      <c r="V58" s="208">
        <f>원자료_분기실측!V7</f>
        <v/>
      </c>
      <c r="W58" s="208">
        <f>원자료_분기실측!W7</f>
        <v/>
      </c>
      <c r="X58" s="208">
        <f>원자료_분기실측!X7</f>
        <v/>
      </c>
      <c r="Y58" s="208">
        <f>원자료_분기실측!Y7</f>
        <v/>
      </c>
      <c r="Z58" s="247">
        <f>Z$41*Z53</f>
        <v/>
      </c>
      <c r="AA58" s="247">
        <f>AA$41*AA53</f>
        <v/>
      </c>
      <c r="AB58" s="247">
        <f>AB$41*AB53</f>
        <v/>
      </c>
      <c r="AC58" s="247">
        <f>AC$41*AC53</f>
        <v/>
      </c>
      <c r="AD58" s="247">
        <f>AD$41*AD53</f>
        <v/>
      </c>
      <c r="AE58" s="247">
        <f>AE$41*AE53</f>
        <v/>
      </c>
      <c r="AF58" s="247">
        <f>AF$41*AF53</f>
        <v/>
      </c>
      <c r="AG58" s="247">
        <f>AG$41*AG53</f>
        <v/>
      </c>
      <c r="AH58" s="247">
        <f>AH$41*AH53</f>
        <v/>
      </c>
      <c r="AI58" s="247">
        <f>AI$41*AI53</f>
        <v/>
      </c>
      <c r="AJ58" s="247">
        <f>AJ$41*AJ53</f>
        <v/>
      </c>
      <c r="AK58" s="247">
        <f>AK$41*AK53</f>
        <v/>
      </c>
      <c r="AL58" s="247">
        <f>AL$41*AL53</f>
        <v/>
      </c>
      <c r="AM58" s="247">
        <f>AM$41*AM53</f>
        <v/>
      </c>
      <c r="AN58" s="247">
        <f>AN$41*AN53</f>
        <v/>
      </c>
      <c r="AO58" s="247">
        <f>AO$41*AO53</f>
        <v/>
      </c>
      <c r="AP58" s="247">
        <f>AP$41*AP53</f>
        <v/>
      </c>
      <c r="AQ58" s="247">
        <f>AQ$41*AQ53</f>
        <v/>
      </c>
      <c r="AR58" s="247">
        <f>AR$41*AR53</f>
        <v/>
      </c>
      <c r="AS58" s="247">
        <f>AS$41*AS53</f>
        <v/>
      </c>
      <c r="AT58" s="247">
        <f>AT$41*AT53</f>
        <v/>
      </c>
    </row>
    <row r="59">
      <c r="A59" s="335" t="inlineStr">
        <is>
          <t xml:space="preserve">  의원급 전신마취환자수 (분기) = 실측 OR 전체환자수×B</t>
        </is>
      </c>
      <c r="B59" s="208">
        <f>원자료_분기실측!B8</f>
        <v/>
      </c>
      <c r="C59" s="208">
        <f>원자료_분기실측!C8</f>
        <v/>
      </c>
      <c r="D59" s="208">
        <f>원자료_분기실측!D8</f>
        <v/>
      </c>
      <c r="E59" s="208">
        <f>원자료_분기실측!E8</f>
        <v/>
      </c>
      <c r="F59" s="208">
        <f>원자료_분기실측!F8</f>
        <v/>
      </c>
      <c r="G59" s="208">
        <f>원자료_분기실측!G8</f>
        <v/>
      </c>
      <c r="H59" s="208">
        <f>원자료_분기실측!H8</f>
        <v/>
      </c>
      <c r="I59" s="208">
        <f>원자료_분기실측!I8</f>
        <v/>
      </c>
      <c r="J59" s="208">
        <f>원자료_분기실측!J8</f>
        <v/>
      </c>
      <c r="K59" s="208">
        <f>원자료_분기실측!K8</f>
        <v/>
      </c>
      <c r="L59" s="208">
        <f>원자료_분기실측!L8</f>
        <v/>
      </c>
      <c r="M59" s="208">
        <f>원자료_분기실측!M8</f>
        <v/>
      </c>
      <c r="N59" s="208">
        <f>원자료_분기실측!N8</f>
        <v/>
      </c>
      <c r="O59" s="208">
        <f>원자료_분기실측!O8</f>
        <v/>
      </c>
      <c r="P59" s="208">
        <f>원자료_분기실측!P8</f>
        <v/>
      </c>
      <c r="Q59" s="208">
        <f>원자료_분기실측!Q8</f>
        <v/>
      </c>
      <c r="R59" s="208">
        <f>원자료_분기실측!R8</f>
        <v/>
      </c>
      <c r="S59" s="208">
        <f>원자료_분기실측!S8</f>
        <v/>
      </c>
      <c r="T59" s="208">
        <f>원자료_분기실측!T8</f>
        <v/>
      </c>
      <c r="U59" s="208">
        <f>원자료_분기실측!U8</f>
        <v/>
      </c>
      <c r="V59" s="208">
        <f>원자료_분기실측!V8</f>
        <v/>
      </c>
      <c r="W59" s="208">
        <f>원자료_분기실측!W8</f>
        <v/>
      </c>
      <c r="X59" s="208">
        <f>원자료_분기실측!X8</f>
        <v/>
      </c>
      <c r="Y59" s="208">
        <f>원자료_분기실측!Y8</f>
        <v/>
      </c>
      <c r="Z59" s="247">
        <f>Z$41*Z54</f>
        <v/>
      </c>
      <c r="AA59" s="247">
        <f>AA$41*AA54</f>
        <v/>
      </c>
      <c r="AB59" s="247">
        <f>AB$41*AB54</f>
        <v/>
      </c>
      <c r="AC59" s="247">
        <f>AC$41*AC54</f>
        <v/>
      </c>
      <c r="AD59" s="247">
        <f>AD$41*AD54</f>
        <v/>
      </c>
      <c r="AE59" s="247">
        <f>AE$41*AE54</f>
        <v/>
      </c>
      <c r="AF59" s="247">
        <f>AF$41*AF54</f>
        <v/>
      </c>
      <c r="AG59" s="247">
        <f>AG$41*AG54</f>
        <v/>
      </c>
      <c r="AH59" s="247">
        <f>AH$41*AH54</f>
        <v/>
      </c>
      <c r="AI59" s="247">
        <f>AI$41*AI54</f>
        <v/>
      </c>
      <c r="AJ59" s="247">
        <f>AJ$41*AJ54</f>
        <v/>
      </c>
      <c r="AK59" s="247">
        <f>AK$41*AK54</f>
        <v/>
      </c>
      <c r="AL59" s="247">
        <f>AL$41*AL54</f>
        <v/>
      </c>
      <c r="AM59" s="247">
        <f>AM$41*AM54</f>
        <v/>
      </c>
      <c r="AN59" s="247">
        <f>AN$41*AN54</f>
        <v/>
      </c>
      <c r="AO59" s="247">
        <f>AO$41*AO54</f>
        <v/>
      </c>
      <c r="AP59" s="247">
        <f>AP$41*AP54</f>
        <v/>
      </c>
      <c r="AQ59" s="247">
        <f>AQ$41*AQ54</f>
        <v/>
      </c>
      <c r="AR59" s="247">
        <f>AR$41*AR54</f>
        <v/>
      </c>
      <c r="AS59" s="247">
        <f>AS$41*AS54</f>
        <v/>
      </c>
      <c r="AT59" s="247">
        <f>AT$41*AT54</f>
        <v/>
      </c>
    </row>
    <row r="60"/>
    <row r="61">
      <c r="A61" s="335" t="inlineStr">
        <is>
          <t>[참고] 전체환자수 분기계절성비중 (2023~2025 평균)</t>
        </is>
      </c>
    </row>
    <row r="62">
      <c r="A62" s="335" t="inlineStr">
        <is>
          <t xml:space="preserve">  Q1 비중</t>
        </is>
      </c>
      <c r="B62" s="335">
        <f>AVERAGE(N41/(N41+O41+P41+Q41),R41/(R41+S41+T41+U41),V41/(V41+W41+X41+Y41))</f>
        <v/>
      </c>
    </row>
    <row r="63">
      <c r="A63" s="335" t="inlineStr">
        <is>
          <t xml:space="preserve">  Q2 비중</t>
        </is>
      </c>
      <c r="B63" s="335">
        <f>AVERAGE(O41/(N41+O41+P41+Q41),S41/(R41+S41+T41+U41),W41/(V41+W41+X41+Y41))</f>
        <v/>
      </c>
    </row>
    <row r="64">
      <c r="A64" s="335" t="inlineStr">
        <is>
          <t xml:space="preserve">  Q3 비중</t>
        </is>
      </c>
      <c r="B64" s="335">
        <f>AVERAGE(P41/(N41+O41+P41+Q41),T41/(R41+S41+T41+U41),X41/(V41+W41+X41+Y41))</f>
        <v/>
      </c>
    </row>
    <row r="65">
      <c r="A65" s="335" t="inlineStr">
        <is>
          <t xml:space="preserve">  Q4 비중</t>
        </is>
      </c>
      <c r="B65" s="335">
        <f>AVERAGE(Q41/(N41+O41+P41+Q41),U41/(R41+S41+T41+U41),Y41/(V41+W41+X41+Y41))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BF61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42578125" customWidth="1" style="217" min="1" max="1"/>
    <col width="9.92578125" customWidth="1" style="217" min="2" max="2"/>
    <col width="12.0703125" customWidth="1" style="217" min="3" max="3"/>
    <col width="12.2109375" customWidth="1" style="217" min="4" max="4"/>
    <col width="13.5703125" customWidth="1" style="217" min="5" max="5"/>
    <col width="9.92578125" customWidth="1" style="217" min="6" max="6"/>
    <col width="11.92578125" customWidth="1" style="217" min="16" max="16"/>
    <col width="13.92578125" customWidth="1" style="217" min="18" max="18"/>
    <col width="11.92578125" customWidth="1" style="217" min="19" max="19"/>
    <col width="13" customWidth="1" style="217" min="23" max="23"/>
    <col width="11.7109375" customWidth="1" style="217" min="26" max="26"/>
    <col width="11.5703125" customWidth="1" style="217" min="32" max="32"/>
    <col width="10.5" customWidth="1" style="217" min="43" max="43"/>
  </cols>
  <sheetData>
    <row r="1"/>
    <row r="2" ht="20.25" customHeight="1" s="217">
      <c r="A2" s="191" t="inlineStr">
        <is>
          <t>Ramosetron 시장 수량  :   종별 전신마취 환자수 × 종별 환자당 사용량 (IQVIA·NHIS 기반)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>
      <c r="A6" s="41" t="inlineStr">
        <is>
          <t>■ A. 종별 전신마취 환자수 (명)          [근거_종별전신마취환자수 C 참조]</t>
        </is>
      </c>
    </row>
    <row r="7" ht="16.5" customHeight="1" s="217">
      <c r="A7" s="58" t="inlineStr">
        <is>
          <t xml:space="preserve">  상급종합병원</t>
        </is>
      </c>
      <c r="B7" s="371">
        <f>'근거_종별전신마취환자수'!B17</f>
        <v/>
      </c>
      <c r="C7" s="371">
        <f>'근거_종별전신마취환자수'!C17</f>
        <v/>
      </c>
      <c r="D7" s="371">
        <f>'근거_종별전신마취환자수'!D17</f>
        <v/>
      </c>
      <c r="E7" s="371">
        <f>'근거_종별전신마취환자수'!E17</f>
        <v/>
      </c>
      <c r="F7" s="371">
        <f>'근거_종별전신마취환자수'!F17</f>
        <v/>
      </c>
      <c r="G7" s="371">
        <f>'근거_종별전신마취환자수'!G17</f>
        <v/>
      </c>
      <c r="H7" s="371">
        <f>'근거_종별전신마취환자수'!H17</f>
        <v/>
      </c>
      <c r="I7" s="371">
        <f>'근거_종별전신마취환자수'!I17</f>
        <v/>
      </c>
      <c r="J7" s="371">
        <f>'근거_종별전신마취환자수'!J17</f>
        <v/>
      </c>
      <c r="K7" s="371">
        <f>'근거_종별전신마취환자수'!K17</f>
        <v/>
      </c>
      <c r="L7" s="371">
        <f>'근거_종별전신마취환자수'!L17</f>
        <v/>
      </c>
      <c r="M7" s="371">
        <f>'근거_종별전신마취환자수'!M17</f>
        <v/>
      </c>
      <c r="N7" s="371">
        <f>'근거_종별전신마취환자수'!N17</f>
        <v/>
      </c>
      <c r="O7" s="371">
        <f>'근거_종별전신마취환자수'!O17</f>
        <v/>
      </c>
      <c r="P7" s="371">
        <f>'근거_종별전신마취환자수'!P17</f>
        <v/>
      </c>
      <c r="Q7" s="371">
        <f>'근거_종별전신마취환자수'!Q17</f>
        <v/>
      </c>
      <c r="R7" s="371">
        <f>'근거_종별전신마취환자수'!R17</f>
        <v/>
      </c>
      <c r="S7" s="371">
        <f>'근거_종별전신마취환자수'!S17</f>
        <v/>
      </c>
      <c r="T7" s="371">
        <f>'근거_종별전신마취환자수'!T17</f>
        <v/>
      </c>
      <c r="U7" s="371">
        <f>'근거_종별전신마취환자수'!U17</f>
        <v/>
      </c>
      <c r="V7" s="371">
        <f>'근거_종별전신마취환자수'!V17</f>
        <v/>
      </c>
    </row>
    <row r="8" ht="16.5" customHeight="1" s="217">
      <c r="A8" s="58" t="inlineStr">
        <is>
          <t xml:space="preserve">  종합병원</t>
        </is>
      </c>
      <c r="B8" s="371">
        <f>'근거_종별전신마취환자수'!B18</f>
        <v/>
      </c>
      <c r="C8" s="371">
        <f>'근거_종별전신마취환자수'!C18</f>
        <v/>
      </c>
      <c r="D8" s="371">
        <f>'근거_종별전신마취환자수'!D18</f>
        <v/>
      </c>
      <c r="E8" s="371">
        <f>'근거_종별전신마취환자수'!E18</f>
        <v/>
      </c>
      <c r="F8" s="371">
        <f>'근거_종별전신마취환자수'!F18</f>
        <v/>
      </c>
      <c r="G8" s="371">
        <f>'근거_종별전신마취환자수'!G18</f>
        <v/>
      </c>
      <c r="H8" s="371">
        <f>'근거_종별전신마취환자수'!H18</f>
        <v/>
      </c>
      <c r="I8" s="371">
        <f>'근거_종별전신마취환자수'!I18</f>
        <v/>
      </c>
      <c r="J8" s="371">
        <f>'근거_종별전신마취환자수'!J18</f>
        <v/>
      </c>
      <c r="K8" s="371">
        <f>'근거_종별전신마취환자수'!K18</f>
        <v/>
      </c>
      <c r="L8" s="371">
        <f>'근거_종별전신마취환자수'!L18</f>
        <v/>
      </c>
      <c r="M8" s="371">
        <f>'근거_종별전신마취환자수'!M18</f>
        <v/>
      </c>
      <c r="N8" s="371">
        <f>'근거_종별전신마취환자수'!N18</f>
        <v/>
      </c>
      <c r="O8" s="371">
        <f>'근거_종별전신마취환자수'!O18</f>
        <v/>
      </c>
      <c r="P8" s="371">
        <f>'근거_종별전신마취환자수'!P18</f>
        <v/>
      </c>
      <c r="Q8" s="371">
        <f>'근거_종별전신마취환자수'!Q18</f>
        <v/>
      </c>
      <c r="R8" s="371">
        <f>'근거_종별전신마취환자수'!R18</f>
        <v/>
      </c>
      <c r="S8" s="371">
        <f>'근거_종별전신마취환자수'!S18</f>
        <v/>
      </c>
      <c r="T8" s="371">
        <f>'근거_종별전신마취환자수'!T18</f>
        <v/>
      </c>
      <c r="U8" s="371">
        <f>'근거_종별전신마취환자수'!U18</f>
        <v/>
      </c>
      <c r="V8" s="371">
        <f>'근거_종별전신마취환자수'!V18</f>
        <v/>
      </c>
    </row>
    <row r="9" ht="16.5" customHeight="1" s="217">
      <c r="A9" s="58" t="inlineStr">
        <is>
          <t xml:space="preserve">  병원급</t>
        </is>
      </c>
      <c r="B9" s="371">
        <f>'근거_종별전신마취환자수'!B19</f>
        <v/>
      </c>
      <c r="C9" s="371">
        <f>'근거_종별전신마취환자수'!C19</f>
        <v/>
      </c>
      <c r="D9" s="371">
        <f>'근거_종별전신마취환자수'!D19</f>
        <v/>
      </c>
      <c r="E9" s="371">
        <f>'근거_종별전신마취환자수'!E19</f>
        <v/>
      </c>
      <c r="F9" s="371">
        <f>'근거_종별전신마취환자수'!F19</f>
        <v/>
      </c>
      <c r="G9" s="371">
        <f>'근거_종별전신마취환자수'!G19</f>
        <v/>
      </c>
      <c r="H9" s="371">
        <f>'근거_종별전신마취환자수'!H19</f>
        <v/>
      </c>
      <c r="I9" s="371">
        <f>'근거_종별전신마취환자수'!I19</f>
        <v/>
      </c>
      <c r="J9" s="371">
        <f>'근거_종별전신마취환자수'!J19</f>
        <v/>
      </c>
      <c r="K9" s="371">
        <f>'근거_종별전신마취환자수'!K19</f>
        <v/>
      </c>
      <c r="L9" s="371">
        <f>'근거_종별전신마취환자수'!L19</f>
        <v/>
      </c>
      <c r="M9" s="371">
        <f>'근거_종별전신마취환자수'!M19</f>
        <v/>
      </c>
      <c r="N9" s="371">
        <f>'근거_종별전신마취환자수'!N19</f>
        <v/>
      </c>
      <c r="O9" s="371">
        <f>'근거_종별전신마취환자수'!O19</f>
        <v/>
      </c>
      <c r="P9" s="371">
        <f>'근거_종별전신마취환자수'!P19</f>
        <v/>
      </c>
      <c r="Q9" s="371">
        <f>'근거_종별전신마취환자수'!Q19</f>
        <v/>
      </c>
      <c r="R9" s="371">
        <f>'근거_종별전신마취환자수'!R19</f>
        <v/>
      </c>
      <c r="S9" s="371">
        <f>'근거_종별전신마취환자수'!S19</f>
        <v/>
      </c>
      <c r="T9" s="371">
        <f>'근거_종별전신마취환자수'!T19</f>
        <v/>
      </c>
      <c r="U9" s="371">
        <f>'근거_종별전신마취환자수'!U19</f>
        <v/>
      </c>
      <c r="V9" s="371">
        <f>'근거_종별전신마취환자수'!V19</f>
        <v/>
      </c>
    </row>
    <row r="10" ht="16.5" customHeight="1" s="217">
      <c r="A10" s="58" t="inlineStr">
        <is>
          <t xml:space="preserve">  의원급</t>
        </is>
      </c>
      <c r="B10" s="371">
        <f>'근거_종별전신마취환자수'!B20</f>
        <v/>
      </c>
      <c r="C10" s="371">
        <f>'근거_종별전신마취환자수'!C20</f>
        <v/>
      </c>
      <c r="D10" s="371">
        <f>'근거_종별전신마취환자수'!D20</f>
        <v/>
      </c>
      <c r="E10" s="371">
        <f>'근거_종별전신마취환자수'!E20</f>
        <v/>
      </c>
      <c r="F10" s="371">
        <f>'근거_종별전신마취환자수'!F20</f>
        <v/>
      </c>
      <c r="G10" s="371">
        <f>'근거_종별전신마취환자수'!G20</f>
        <v/>
      </c>
      <c r="H10" s="371">
        <f>'근거_종별전신마취환자수'!H20</f>
        <v/>
      </c>
      <c r="I10" s="371">
        <f>'근거_종별전신마취환자수'!I20</f>
        <v/>
      </c>
      <c r="J10" s="371">
        <f>'근거_종별전신마취환자수'!J20</f>
        <v/>
      </c>
      <c r="K10" s="371">
        <f>'근거_종별전신마취환자수'!K20</f>
        <v/>
      </c>
      <c r="L10" s="371">
        <f>'근거_종별전신마취환자수'!L20</f>
        <v/>
      </c>
      <c r="M10" s="371">
        <f>'근거_종별전신마취환자수'!M20</f>
        <v/>
      </c>
      <c r="N10" s="371">
        <f>'근거_종별전신마취환자수'!N20</f>
        <v/>
      </c>
      <c r="O10" s="371">
        <f>'근거_종별전신마취환자수'!O20</f>
        <v/>
      </c>
      <c r="P10" s="371">
        <f>'근거_종별전신마취환자수'!P20</f>
        <v/>
      </c>
      <c r="Q10" s="371">
        <f>'근거_종별전신마취환자수'!Q20</f>
        <v/>
      </c>
      <c r="R10" s="371">
        <f>'근거_종별전신마취환자수'!R20</f>
        <v/>
      </c>
      <c r="S10" s="371">
        <f>'근거_종별전신마취환자수'!S20</f>
        <v/>
      </c>
      <c r="T10" s="371">
        <f>'근거_종별전신마취환자수'!T20</f>
        <v/>
      </c>
      <c r="U10" s="371">
        <f>'근거_종별전신마취환자수'!U20</f>
        <v/>
      </c>
      <c r="V10" s="371">
        <f>'근거_종별전신마취환자수'!V20</f>
        <v/>
      </c>
    </row>
    <row r="11"/>
    <row r="12" ht="16.5" customHeight="1" s="217">
      <c r="A12" s="41" t="inlineStr">
        <is>
          <t>■ B. Ramosetron 전체 수량 [2020~25 : IQVIA 기준, CY기준 ]</t>
        </is>
      </c>
      <c r="B12" s="369" t="n"/>
      <c r="C12" s="369" t="n"/>
      <c r="D12" s="369" t="n"/>
      <c r="E12" s="369" t="n"/>
      <c r="F12" s="369" t="n"/>
      <c r="G12" s="369" t="n"/>
      <c r="H12" s="369" t="n"/>
      <c r="I12" s="369" t="n"/>
      <c r="J12" s="369" t="n"/>
      <c r="K12" s="369" t="n"/>
      <c r="L12" s="369" t="n"/>
      <c r="M12" s="369" t="n"/>
      <c r="N12" s="369" t="n"/>
      <c r="O12" s="369" t="n"/>
      <c r="P12" s="369" t="n"/>
      <c r="Q12" s="369" t="n"/>
      <c r="R12" s="369" t="n"/>
      <c r="S12" s="369" t="n"/>
      <c r="T12" s="369" t="n"/>
      <c r="U12" s="369" t="n"/>
      <c r="V12" s="369" t="n"/>
    </row>
    <row r="13" ht="16.5" customHeight="1" s="217">
      <c r="A13" s="335" t="inlineStr">
        <is>
          <t>Ramosetron (Vial or Ampoule)</t>
        </is>
      </c>
      <c r="B13" s="228" t="n"/>
      <c r="C13" s="228" t="n"/>
      <c r="D13" s="228" t="n"/>
      <c r="E13" s="228" t="n"/>
      <c r="F13" s="228" t="n"/>
      <c r="G13" s="228" t="n"/>
      <c r="L13" s="231" t="n">
        <v>3086324</v>
      </c>
      <c r="M13" s="231" t="n">
        <v>3529267</v>
      </c>
      <c r="N13" s="231" t="n">
        <v>3623943</v>
      </c>
      <c r="O13" s="231" t="n">
        <v>4166540</v>
      </c>
      <c r="P13" s="231" t="n">
        <v>3554307</v>
      </c>
      <c r="Q13" s="231" t="n">
        <v>3874647</v>
      </c>
      <c r="R13" s="232" t="n"/>
      <c r="S13" s="232" t="n"/>
      <c r="T13" s="232" t="n"/>
      <c r="U13" s="232" t="n"/>
      <c r="V13" s="232" t="n"/>
    </row>
    <row r="14"/>
    <row r="15" ht="16.5" customHeight="1" s="217">
      <c r="A15" s="41" t="inlineStr">
        <is>
          <t>■ C. 흡입마취제 사용량의 종별 비율 (%)          [2020~25 : NHIS N01AB Halogenated hydrocarbons, CY기준]</t>
        </is>
      </c>
      <c r="B15" s="369" t="n"/>
      <c r="C15" s="369" t="n"/>
      <c r="D15" s="369" t="n"/>
      <c r="E15" s="369" t="n"/>
      <c r="F15" s="369" t="n"/>
      <c r="G15" s="369" t="n"/>
      <c r="H15" s="369" t="n"/>
      <c r="I15" s="369" t="n"/>
      <c r="J15" s="369" t="n"/>
      <c r="K15" s="369" t="n"/>
      <c r="L15" s="369" t="n"/>
      <c r="M15" s="369" t="n"/>
      <c r="N15" s="369" t="n"/>
      <c r="O15" s="369" t="n"/>
      <c r="P15" s="369" t="n"/>
      <c r="Q15" s="369" t="n"/>
      <c r="R15" s="369" t="n"/>
      <c r="S15" s="369" t="n"/>
      <c r="T15" s="369" t="n"/>
      <c r="U15" s="369" t="n"/>
      <c r="V15" s="369" t="n"/>
    </row>
    <row r="16" ht="16.5" customHeight="1" s="217">
      <c r="A16" s="64" t="inlineStr">
        <is>
          <t>상급종합병원</t>
        </is>
      </c>
      <c r="B16" s="228" t="n"/>
      <c r="C16" s="228" t="n"/>
      <c r="D16" s="228" t="n"/>
      <c r="E16" s="228" t="n"/>
      <c r="F16" s="228" t="n"/>
      <c r="G16" s="228" t="n"/>
      <c r="H16" s="228" t="n"/>
      <c r="I16" s="228" t="n"/>
      <c r="J16" s="228" t="n"/>
      <c r="K16" s="228" t="n"/>
      <c r="L16" s="228" t="n">
        <v>0.3728353383781309</v>
      </c>
      <c r="M16" s="228" t="n">
        <v>0.4820873352851555</v>
      </c>
      <c r="N16" s="228" t="n">
        <v>0.5275686226041678</v>
      </c>
      <c r="O16" s="228" t="n">
        <v>0.5446965632690832</v>
      </c>
      <c r="P16" s="228" t="n">
        <v>0.4179468998660679</v>
      </c>
      <c r="Q16" s="228" t="n">
        <v>0.431783141644179</v>
      </c>
      <c r="R16" s="233" t="n"/>
      <c r="S16" s="233" t="n"/>
      <c r="T16" s="233" t="n"/>
      <c r="U16" s="233" t="n"/>
      <c r="V16" s="233" t="n"/>
    </row>
    <row r="17" ht="16.5" customHeight="1" s="217">
      <c r="A17" s="64" t="inlineStr">
        <is>
          <t>종합병원</t>
        </is>
      </c>
      <c r="B17" s="228" t="n"/>
      <c r="C17" s="228" t="n"/>
      <c r="D17" s="228" t="n"/>
      <c r="E17" s="228" t="n"/>
      <c r="F17" s="228" t="n"/>
      <c r="G17" s="228" t="n"/>
      <c r="H17" s="228" t="n"/>
      <c r="I17" s="228" t="n"/>
      <c r="J17" s="228" t="n"/>
      <c r="K17" s="228" t="n"/>
      <c r="L17" s="228" t="n">
        <v>0.3223024875906562</v>
      </c>
      <c r="M17" s="228" t="n">
        <v>0.3169283159086241</v>
      </c>
      <c r="N17" s="228" t="n">
        <v>0.3217979194522069</v>
      </c>
      <c r="O17" s="228" t="n">
        <v>0.327746102799098</v>
      </c>
      <c r="P17" s="228" t="n">
        <v>0.4286376486582057</v>
      </c>
      <c r="Q17" s="228" t="n">
        <v>0.4289048361299427</v>
      </c>
      <c r="R17" s="233" t="n"/>
      <c r="S17" s="233" t="n"/>
      <c r="T17" s="233" t="n"/>
      <c r="U17" s="233" t="n"/>
      <c r="V17" s="233" t="n"/>
    </row>
    <row r="18" ht="16.5" customHeight="1" s="217">
      <c r="A18" s="64" t="inlineStr">
        <is>
          <t>병원</t>
        </is>
      </c>
      <c r="B18" s="228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8" t="n">
        <v>0.2783183372194487</v>
      </c>
      <c r="M18" s="228" t="n">
        <v>0.1781356118389317</v>
      </c>
      <c r="N18" s="228" t="n">
        <v>0.1331922973825418</v>
      </c>
      <c r="O18" s="228" t="n">
        <v>0.1104666802965577</v>
      </c>
      <c r="P18" s="228" t="n">
        <v>0.1323912282726791</v>
      </c>
      <c r="Q18" s="228" t="n">
        <v>0.1184379468200406</v>
      </c>
      <c r="R18" s="233" t="n"/>
      <c r="S18" s="233" t="n"/>
      <c r="T18" s="233" t="n"/>
      <c r="U18" s="233" t="n"/>
      <c r="V18" s="233" t="n"/>
    </row>
    <row r="19" ht="16.5" customHeight="1" s="217">
      <c r="A19" s="64" t="inlineStr">
        <is>
          <t>의원</t>
        </is>
      </c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8" t="n">
        <v>0.0265438368117642</v>
      </c>
      <c r="M19" s="228" t="n">
        <v>0.02284873696728867</v>
      </c>
      <c r="N19" s="228" t="n">
        <v>0.01744116056108339</v>
      </c>
      <c r="O19" s="228" t="n">
        <v>0.01709065363526104</v>
      </c>
      <c r="P19" s="228" t="n">
        <v>0.02102422320304728</v>
      </c>
      <c r="Q19" s="228" t="n">
        <v>0.02087407540583769</v>
      </c>
      <c r="R19" s="233" t="n"/>
      <c r="S19" s="233" t="n"/>
      <c r="T19" s="233" t="n"/>
      <c r="U19" s="233" t="n"/>
      <c r="V19" s="233" t="n"/>
    </row>
    <row r="20"/>
    <row r="21" ht="16.5" customHeight="1" s="217">
      <c r="A21" s="41" t="inlineStr">
        <is>
          <t>■ D. 종별 환자당 Ramosetron 사용수량 (추정)            [ Ramosetron 수량(B) x 흡입마취제 종별비율(C) ÷ 종별 전신마취 환자수(A) ]</t>
        </is>
      </c>
      <c r="B21" s="369" t="n"/>
      <c r="C21" s="369" t="n"/>
      <c r="D21" s="369" t="n"/>
      <c r="E21" s="369" t="n"/>
      <c r="F21" s="369" t="n"/>
      <c r="G21" s="369" t="n"/>
      <c r="H21" s="369" t="n"/>
      <c r="I21" s="369" t="n"/>
      <c r="J21" s="369" t="n"/>
      <c r="K21" s="369" t="n"/>
      <c r="L21" s="369" t="n"/>
      <c r="M21" s="369" t="n"/>
      <c r="N21" s="369" t="n"/>
      <c r="O21" s="369" t="n"/>
      <c r="P21" s="369" t="n"/>
      <c r="Q21" s="369" t="n"/>
      <c r="R21" s="369" t="n"/>
      <c r="S21" s="369" t="n"/>
      <c r="T21" s="369" t="n"/>
      <c r="U21" s="369" t="n"/>
      <c r="V21" s="369" t="n"/>
    </row>
    <row r="22" ht="16.5" customHeight="1" s="217">
      <c r="A22" s="64" t="inlineStr">
        <is>
          <t>상급종합병원</t>
        </is>
      </c>
      <c r="B22" s="371" t="n"/>
      <c r="C22" s="371" t="n"/>
      <c r="D22" s="371" t="n"/>
      <c r="E22" s="371" t="n"/>
      <c r="F22" s="371" t="n"/>
      <c r="G22" s="371" t="n"/>
      <c r="H22" s="371" t="n"/>
      <c r="I22" s="371" t="n"/>
      <c r="J22" s="371" t="n"/>
      <c r="K22" s="371" t="n"/>
      <c r="L22" s="375">
        <f>L16*L$13/L7</f>
        <v/>
      </c>
      <c r="M22" s="375">
        <f>M16*M$13/M7</f>
        <v/>
      </c>
      <c r="N22" s="375">
        <f>N16*N$13/N7</f>
        <v/>
      </c>
      <c r="O22" s="375">
        <f>O16*O$13/O7</f>
        <v/>
      </c>
      <c r="P22" s="375">
        <f>P16*P$13/P7</f>
        <v/>
      </c>
      <c r="Q22" s="375">
        <f>Q16*Q$13/Q7</f>
        <v/>
      </c>
      <c r="R22" s="235">
        <f>MIN(5,SLOPE($L$22:$Q$22,$L$5:$Q$5)*R$5+INTERCEPT($L$22:$Q$22,$L$5:$Q$5))</f>
        <v/>
      </c>
      <c r="S22" s="235">
        <f>MIN(5,SLOPE($L$22:$Q$22,$L$5:$Q$5)*S$5+INTERCEPT($L$22:$Q$22,$L$5:$Q$5))</f>
        <v/>
      </c>
      <c r="T22" s="235">
        <f>MIN(5,SLOPE($L$22:$Q$22,$L$5:$Q$5)*T$5+INTERCEPT($L$22:$Q$22,$L$5:$Q$5))</f>
        <v/>
      </c>
      <c r="U22" s="235">
        <f>MIN(5,SLOPE($L$22:$Q$22,$L$5:$Q$5)*U$5+INTERCEPT($L$22:$Q$22,$L$5:$Q$5))</f>
        <v/>
      </c>
      <c r="V22" s="235">
        <f>MIN(5,SLOPE($L$22:$Q$22,$L$5:$Q$5)*V$5+INTERCEPT($L$22:$Q$22,$L$5:$Q$5))</f>
        <v/>
      </c>
    </row>
    <row r="23" ht="16.5" customHeight="1" s="217">
      <c r="A23" s="64" t="inlineStr">
        <is>
          <t>종합병원</t>
        </is>
      </c>
      <c r="B23" s="371" t="n"/>
      <c r="C23" s="371" t="n"/>
      <c r="D23" s="371" t="n"/>
      <c r="E23" s="371" t="n"/>
      <c r="F23" s="371" t="n"/>
      <c r="G23" s="371" t="n"/>
      <c r="H23" s="371" t="n"/>
      <c r="I23" s="371" t="n"/>
      <c r="J23" s="371" t="n"/>
      <c r="K23" s="371" t="n"/>
      <c r="L23" s="375">
        <f>L17*L$13/L8</f>
        <v/>
      </c>
      <c r="M23" s="375">
        <f>M17*M$13/M8</f>
        <v/>
      </c>
      <c r="N23" s="375">
        <f>N17*N$13/N8</f>
        <v/>
      </c>
      <c r="O23" s="375">
        <f>O17*O$13/O8</f>
        <v/>
      </c>
      <c r="P23" s="375">
        <f>P17*P$13/P8</f>
        <v/>
      </c>
      <c r="Q23" s="375">
        <f>Q17*Q$13/Q8</f>
        <v/>
      </c>
      <c r="R23" s="235">
        <f>MIN(4,SLOPE($L$23:$Q$23,$L$5:$Q$5)*R$5+INTERCEPT($L$23:$Q$23,$L$5:$Q$5))</f>
        <v/>
      </c>
      <c r="S23" s="235">
        <f>MIN(4,SLOPE($L$23:$Q$23,$L$5:$Q$5)*S$5+INTERCEPT($L$23:$Q$23,$L$5:$Q$5))</f>
        <v/>
      </c>
      <c r="T23" s="235">
        <f>MIN(4,SLOPE($L$23:$Q$23,$L$5:$Q$5)*T$5+INTERCEPT($L$23:$Q$23,$L$5:$Q$5))</f>
        <v/>
      </c>
      <c r="U23" s="235">
        <f>MIN(4,SLOPE($L$23:$Q$23,$L$5:$Q$5)*U$5+INTERCEPT($L$23:$Q$23,$L$5:$Q$5))</f>
        <v/>
      </c>
      <c r="V23" s="235">
        <f>MIN(4,SLOPE($L$23:$Q$23,$L$5:$Q$5)*V$5+INTERCEPT($L$23:$Q$23,$L$5:$Q$5))</f>
        <v/>
      </c>
    </row>
    <row r="24" ht="16.5" customHeight="1" s="217">
      <c r="A24" s="64" t="inlineStr">
        <is>
          <t>병원</t>
        </is>
      </c>
      <c r="B24" s="371" t="n"/>
      <c r="C24" s="371" t="n"/>
      <c r="D24" s="371" t="n"/>
      <c r="E24" s="371" t="n"/>
      <c r="F24" s="371" t="n"/>
      <c r="G24" s="371" t="n"/>
      <c r="H24" s="371" t="n"/>
      <c r="I24" s="371" t="n"/>
      <c r="J24" s="371" t="n"/>
      <c r="K24" s="371" t="n"/>
      <c r="L24" s="375">
        <f>L18*L$13/L9</f>
        <v/>
      </c>
      <c r="M24" s="375">
        <f>M18*M$13/M9</f>
        <v/>
      </c>
      <c r="N24" s="375">
        <f>N18*N$13/N9</f>
        <v/>
      </c>
      <c r="O24" s="375">
        <f>O18*O$13/O9</f>
        <v/>
      </c>
      <c r="P24" s="375">
        <f>P18*P$13/P9</f>
        <v/>
      </c>
      <c r="Q24" s="375">
        <f>Q18*Q$13/Q9</f>
        <v/>
      </c>
      <c r="R24" s="236">
        <f>Q24</f>
        <v/>
      </c>
      <c r="S24" s="236">
        <f>R24</f>
        <v/>
      </c>
      <c r="T24" s="236">
        <f>S24</f>
        <v/>
      </c>
      <c r="U24" s="236">
        <f>T24</f>
        <v/>
      </c>
      <c r="V24" s="236">
        <f>U24</f>
        <v/>
      </c>
    </row>
    <row r="25" ht="16.5" customHeight="1" s="217">
      <c r="A25" s="64" t="inlineStr">
        <is>
          <t>의원</t>
        </is>
      </c>
      <c r="B25" s="371" t="n"/>
      <c r="C25" s="371" t="n"/>
      <c r="D25" s="371" t="n"/>
      <c r="E25" s="371" t="n"/>
      <c r="F25" s="371" t="n"/>
      <c r="G25" s="371" t="n"/>
      <c r="H25" s="371" t="n"/>
      <c r="I25" s="371" t="n"/>
      <c r="J25" s="371" t="n"/>
      <c r="K25" s="371" t="n"/>
      <c r="L25" s="375">
        <f>L19*L$13/L10</f>
        <v/>
      </c>
      <c r="M25" s="375">
        <f>M19*M$13/M10</f>
        <v/>
      </c>
      <c r="N25" s="375">
        <f>N19*N$13/N10</f>
        <v/>
      </c>
      <c r="O25" s="375">
        <f>O19*O$13/O10</f>
        <v/>
      </c>
      <c r="P25" s="375">
        <f>P19*P$13/P10</f>
        <v/>
      </c>
      <c r="Q25" s="375">
        <f>Q19*Q$13/Q10</f>
        <v/>
      </c>
      <c r="R25" s="236">
        <f>Q25</f>
        <v/>
      </c>
      <c r="S25" s="236">
        <f>R25</f>
        <v/>
      </c>
      <c r="T25" s="236">
        <f>S25</f>
        <v/>
      </c>
      <c r="U25" s="236">
        <f>T25</f>
        <v/>
      </c>
      <c r="V25" s="236">
        <f>U25</f>
        <v/>
      </c>
    </row>
    <row r="26" ht="16.5" customHeight="1" s="217">
      <c r="A26" s="64" t="n"/>
      <c r="B26" s="371" t="n"/>
      <c r="C26" s="371" t="n"/>
      <c r="D26" s="371" t="n"/>
      <c r="E26" s="371" t="n"/>
      <c r="F26" s="371" t="n"/>
      <c r="G26" s="371" t="n"/>
      <c r="H26" s="371" t="n"/>
      <c r="I26" s="371" t="n"/>
      <c r="J26" s="371" t="n"/>
      <c r="K26" s="371" t="n"/>
      <c r="L26" s="375" t="n"/>
      <c r="M26" s="375" t="n"/>
      <c r="N26" s="375" t="n"/>
      <c r="O26" s="375" t="n"/>
      <c r="P26" s="375" t="n"/>
      <c r="Q26" s="375" t="n"/>
      <c r="R26" s="375" t="n"/>
      <c r="S26" s="375" t="n"/>
      <c r="T26" s="375" t="n"/>
      <c r="U26" s="375" t="n"/>
      <c r="V26" s="375" t="n"/>
    </row>
    <row r="27"/>
    <row r="28" ht="16.5" customHeight="1" s="217">
      <c r="A28" s="41" t="inlineStr">
        <is>
          <t>■ E. 종별 Ramosetron 수량 (추정) FY기준            [ 종별 전신마취환자수 (A) x 종별 환자당 Ramosetron 사용수량 (D) ]</t>
        </is>
      </c>
      <c r="B28" s="369" t="n"/>
      <c r="C28" s="369" t="n"/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69" t="n"/>
      <c r="P28" s="369" t="n"/>
      <c r="Q28" s="369" t="n"/>
      <c r="R28" s="369" t="n"/>
      <c r="S28" s="369" t="n"/>
      <c r="T28" s="369" t="n"/>
      <c r="U28" s="369" t="n"/>
      <c r="V28" s="369" t="n"/>
    </row>
    <row r="29" ht="16.5" customHeight="1" s="217">
      <c r="A29" s="64" t="inlineStr">
        <is>
          <t>상급종합병원</t>
        </is>
      </c>
      <c r="B29" s="371" t="n"/>
      <c r="C29" s="371" t="n"/>
      <c r="D29" s="371" t="n"/>
      <c r="E29" s="371" t="n"/>
      <c r="F29" s="371" t="n"/>
      <c r="G29" s="371" t="n"/>
      <c r="H29" s="371" t="n"/>
      <c r="I29" s="371" t="n"/>
      <c r="J29" s="371" t="n"/>
      <c r="K29" s="371" t="n"/>
      <c r="L29" s="371">
        <f>SUM(C47:F47)</f>
        <v/>
      </c>
      <c r="M29" s="371">
        <f>SUM(G47:J47)</f>
        <v/>
      </c>
      <c r="N29" s="371">
        <f>SUM(K47:N47)</f>
        <v/>
      </c>
      <c r="O29" s="371">
        <f>SUM(O47:R47)</f>
        <v/>
      </c>
      <c r="P29" s="371">
        <f>SUM(S47:V47)</f>
        <v/>
      </c>
      <c r="Q29" s="371">
        <f>SUM(W47:Z47)</f>
        <v/>
      </c>
      <c r="R29" s="230">
        <f>SUM(AA47:AD47)</f>
        <v/>
      </c>
      <c r="S29" s="230">
        <f>SUM(AE47:AH47)</f>
        <v/>
      </c>
      <c r="T29" s="230">
        <f>SUM(AI47:AL47)</f>
        <v/>
      </c>
      <c r="U29" s="230">
        <f>SUM(AM47:AP47)</f>
        <v/>
      </c>
      <c r="V29" s="230">
        <f>SUM(AQ47:AT47)</f>
        <v/>
      </c>
    </row>
    <row r="30" ht="16.5" customHeight="1" s="217">
      <c r="A30" s="64" t="inlineStr">
        <is>
          <t>종합병원</t>
        </is>
      </c>
      <c r="B30" s="371" t="n"/>
      <c r="C30" s="371" t="n"/>
      <c r="D30" s="371" t="n"/>
      <c r="E30" s="371" t="n"/>
      <c r="F30" s="371" t="n"/>
      <c r="G30" s="371" t="n"/>
      <c r="H30" s="371" t="n"/>
      <c r="I30" s="371" t="n"/>
      <c r="J30" s="371" t="n"/>
      <c r="K30" s="371" t="n"/>
      <c r="L30" s="371">
        <f>SUM(C48:F48)</f>
        <v/>
      </c>
      <c r="M30" s="371">
        <f>SUM(G48:J48)</f>
        <v/>
      </c>
      <c r="N30" s="371">
        <f>SUM(K48:N48)</f>
        <v/>
      </c>
      <c r="O30" s="371">
        <f>SUM(O48:R48)</f>
        <v/>
      </c>
      <c r="P30" s="371">
        <f>SUM(S48:V48)</f>
        <v/>
      </c>
      <c r="Q30" s="371">
        <f>SUM(W48:Z48)</f>
        <v/>
      </c>
      <c r="R30" s="230">
        <f>SUM(AA48:AD48)</f>
        <v/>
      </c>
      <c r="S30" s="230">
        <f>SUM(AE48:AH48)</f>
        <v/>
      </c>
      <c r="T30" s="230">
        <f>SUM(AI48:AL48)</f>
        <v/>
      </c>
      <c r="U30" s="230">
        <f>SUM(AM48:AP48)</f>
        <v/>
      </c>
      <c r="V30" s="230">
        <f>SUM(AQ48:AT48)</f>
        <v/>
      </c>
    </row>
    <row r="31" ht="16.5" customHeight="1" s="217">
      <c r="A31" s="64" t="inlineStr">
        <is>
          <t>병원</t>
        </is>
      </c>
      <c r="B31" s="371" t="n"/>
      <c r="C31" s="371" t="n"/>
      <c r="D31" s="371" t="n"/>
      <c r="E31" s="371" t="n"/>
      <c r="F31" s="371" t="n"/>
      <c r="G31" s="371" t="n"/>
      <c r="H31" s="371" t="n"/>
      <c r="I31" s="371" t="n"/>
      <c r="J31" s="371" t="n"/>
      <c r="K31" s="371" t="n"/>
      <c r="L31" s="371">
        <f>SUM(C49:F49)</f>
        <v/>
      </c>
      <c r="M31" s="371">
        <f>SUM(G49:J49)</f>
        <v/>
      </c>
      <c r="N31" s="371">
        <f>SUM(K49:N49)</f>
        <v/>
      </c>
      <c r="O31" s="371">
        <f>SUM(O49:R49)</f>
        <v/>
      </c>
      <c r="P31" s="371">
        <f>SUM(S49:V49)</f>
        <v/>
      </c>
      <c r="Q31" s="371">
        <f>SUM(W49:Z49)</f>
        <v/>
      </c>
      <c r="R31" s="230">
        <f>SUM(AA49:AD49)</f>
        <v/>
      </c>
      <c r="S31" s="230">
        <f>SUM(AE49:AH49)</f>
        <v/>
      </c>
      <c r="T31" s="230">
        <f>SUM(AI49:AL49)</f>
        <v/>
      </c>
      <c r="U31" s="230">
        <f>SUM(AM49:AP49)</f>
        <v/>
      </c>
      <c r="V31" s="230">
        <f>SUM(AQ49:AT49)</f>
        <v/>
      </c>
    </row>
    <row r="32" ht="16.5" customHeight="1" s="217">
      <c r="A32" s="64" t="inlineStr">
        <is>
          <t>의원</t>
        </is>
      </c>
      <c r="B32" s="371" t="n"/>
      <c r="C32" s="371" t="n"/>
      <c r="D32" s="371" t="n"/>
      <c r="E32" s="371" t="n"/>
      <c r="F32" s="371" t="n"/>
      <c r="G32" s="371" t="n"/>
      <c r="H32" s="371" t="n"/>
      <c r="I32" s="371" t="n"/>
      <c r="J32" s="371" t="n"/>
      <c r="K32" s="371" t="n"/>
      <c r="L32" s="371">
        <f>SUM(C50:F50)</f>
        <v/>
      </c>
      <c r="M32" s="371">
        <f>SUM(G50:J50)</f>
        <v/>
      </c>
      <c r="N32" s="371">
        <f>SUM(K50:N50)</f>
        <v/>
      </c>
      <c r="O32" s="371">
        <f>SUM(O50:R50)</f>
        <v/>
      </c>
      <c r="P32" s="371">
        <f>SUM(S50:V50)</f>
        <v/>
      </c>
      <c r="Q32" s="371">
        <f>SUM(W50:Z50)</f>
        <v/>
      </c>
      <c r="R32" s="230">
        <f>SUM(AA50:AD50)</f>
        <v/>
      </c>
      <c r="S32" s="230">
        <f>SUM(AE50:AH50)</f>
        <v/>
      </c>
      <c r="T32" s="230">
        <f>SUM(AI50:AL50)</f>
        <v/>
      </c>
      <c r="U32" s="230">
        <f>SUM(AM50:AP50)</f>
        <v/>
      </c>
      <c r="V32" s="230">
        <f>SUM(AQ50:AT50)</f>
        <v/>
      </c>
    </row>
    <row r="33" ht="16.5" customHeight="1" s="217">
      <c r="A33" s="67" t="inlineStr">
        <is>
          <t xml:space="preserve">  ▶ Ramosetron 시장 수량 (IQVIA 기준)</t>
        </is>
      </c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>
        <f>SUM(L29:L32)</f>
        <v/>
      </c>
      <c r="M33" s="51">
        <f>SUM(M29:M32)</f>
        <v/>
      </c>
      <c r="N33" s="51">
        <f>SUM(N29:N32)</f>
        <v/>
      </c>
      <c r="O33" s="51">
        <f>SUM(O29:O32)</f>
        <v/>
      </c>
      <c r="P33" s="51">
        <f>SUM(P29:P32)</f>
        <v/>
      </c>
      <c r="Q33" s="51">
        <f>SUM(Q29:Q32)</f>
        <v/>
      </c>
      <c r="R33" s="51">
        <f>SUM(R29:R32)</f>
        <v/>
      </c>
      <c r="S33" s="51">
        <f>SUM(S29:S32)</f>
        <v/>
      </c>
      <c r="T33" s="51">
        <f>SUM(T29:T32)</f>
        <v/>
      </c>
      <c r="U33" s="51">
        <f>SUM(U29:U32)</f>
        <v/>
      </c>
      <c r="V33" s="51">
        <f>SUM(V29:V32)</f>
        <v/>
      </c>
    </row>
    <row r="34" ht="16.5" customHeight="1" s="217">
      <c r="A34" s="68" t="n"/>
      <c r="B34" s="376" t="n"/>
      <c r="C34" s="376" t="n"/>
      <c r="D34" s="376" t="n"/>
      <c r="E34" s="376" t="n"/>
      <c r="F34" s="376" t="n"/>
      <c r="L34" s="107" t="n"/>
      <c r="M34" s="237">
        <f>M33/L33-1</f>
        <v/>
      </c>
      <c r="N34" s="237">
        <f>N33/M33-1</f>
        <v/>
      </c>
      <c r="O34" s="237">
        <f>O33/N33-1</f>
        <v/>
      </c>
      <c r="P34" s="237">
        <f>P33/O33-1</f>
        <v/>
      </c>
      <c r="Q34" s="237">
        <f>Q33/P33-1</f>
        <v/>
      </c>
      <c r="R34" s="237">
        <f>R33/Q33-1</f>
        <v/>
      </c>
      <c r="S34" s="237">
        <f>S33/R33-1</f>
        <v/>
      </c>
      <c r="T34" s="237">
        <f>T33/S33-1</f>
        <v/>
      </c>
      <c r="U34" s="237">
        <f>U33/T33-1</f>
        <v/>
      </c>
      <c r="V34" s="237">
        <f>V33/U33-1</f>
        <v/>
      </c>
    </row>
    <row r="35"/>
    <row r="36" ht="16.5" customHeight="1" s="217">
      <c r="A36" s="55" t="inlineStr">
        <is>
          <t>※ 출처 :  IQVIA (FY2020~2025) BI 자체 추정,  NHIS 흡입마취제(N01AB) 종별 사용량</t>
        </is>
      </c>
    </row>
    <row r="37" ht="16.5" customHeight="1" s="217">
      <c r="A37" s="55" t="inlineStr">
        <is>
          <t>※ 범례</t>
        </is>
      </c>
    </row>
    <row r="38" ht="16.5" customHeight="1" s="217">
      <c r="A38" s="56" t="inlineStr">
        <is>
          <t>· 외부 입력 데이터: 청색(Blue) 표기</t>
        </is>
      </c>
    </row>
    <row r="39" ht="16.5" customHeight="1" s="217">
      <c r="A39" s="56" t="inlineStr">
        <is>
          <t>· 예측 변수(또는 예측치): 녹색(Green) 표기</t>
        </is>
      </c>
    </row>
    <row r="40" ht="16.5" customHeight="1" s="217">
      <c r="A40" s="56" t="inlineStr">
        <is>
          <t>· 최종 산출 결과: 황색(Yellow) 음영 행</t>
        </is>
      </c>
    </row>
    <row r="41"/>
    <row r="42">
      <c r="A42" s="335" t="inlineStr">
        <is>
          <t>■■■ [분기 확장 블록] CY역년분기 실측+롤링예측 → FY 재구성 ■■■</t>
        </is>
      </c>
    </row>
    <row r="43">
      <c r="A43" s="335" t="inlineStr">
        <is>
          <t>※ D(환자당사용량)는 표본부족으로 연간모델 유지, 4개분기에 flat 적용. 종별 분기 환자수는 근거_종별전신마취환자수 56~59행 참조</t>
        </is>
      </c>
    </row>
    <row r="44"/>
    <row r="45">
      <c r="A45" s="335" t="inlineStr">
        <is>
          <t>구분 / CY분기 ▶</t>
        </is>
      </c>
      <c r="B45" s="111" t="inlineStr">
        <is>
          <t>2020Q1</t>
        </is>
      </c>
      <c r="C45" s="111" t="inlineStr">
        <is>
          <t>2020Q2</t>
        </is>
      </c>
      <c r="D45" s="111" t="inlineStr">
        <is>
          <t>2020Q3</t>
        </is>
      </c>
      <c r="E45" s="111" t="inlineStr">
        <is>
          <t>2020Q4</t>
        </is>
      </c>
      <c r="F45" s="111" t="inlineStr">
        <is>
          <t>2021Q1</t>
        </is>
      </c>
      <c r="G45" s="111" t="inlineStr">
        <is>
          <t>2021Q2</t>
        </is>
      </c>
      <c r="H45" s="111" t="inlineStr">
        <is>
          <t>2021Q3</t>
        </is>
      </c>
      <c r="I45" s="111" t="inlineStr">
        <is>
          <t>2021Q4</t>
        </is>
      </c>
      <c r="J45" s="111" t="inlineStr">
        <is>
          <t>2022Q1</t>
        </is>
      </c>
      <c r="K45" s="111" t="inlineStr">
        <is>
          <t>2022Q2</t>
        </is>
      </c>
      <c r="L45" s="111" t="inlineStr">
        <is>
          <t>2022Q3</t>
        </is>
      </c>
      <c r="M45" s="111" t="inlineStr">
        <is>
          <t>2022Q4</t>
        </is>
      </c>
      <c r="N45" s="111" t="inlineStr">
        <is>
          <t>2023Q1</t>
        </is>
      </c>
      <c r="O45" s="111" t="inlineStr">
        <is>
          <t>2023Q2</t>
        </is>
      </c>
      <c r="P45" s="111" t="inlineStr">
        <is>
          <t>2023Q3</t>
        </is>
      </c>
      <c r="Q45" s="111" t="inlineStr">
        <is>
          <t>2023Q4</t>
        </is>
      </c>
      <c r="R45" s="111" t="inlineStr">
        <is>
          <t>2024Q1</t>
        </is>
      </c>
      <c r="S45" s="111" t="inlineStr">
        <is>
          <t>2024Q2</t>
        </is>
      </c>
      <c r="T45" s="111" t="inlineStr">
        <is>
          <t>2024Q3</t>
        </is>
      </c>
      <c r="U45" s="111" t="inlineStr">
        <is>
          <t>2024Q4</t>
        </is>
      </c>
      <c r="V45" s="111" t="inlineStr">
        <is>
          <t>2025Q1</t>
        </is>
      </c>
      <c r="W45" s="111" t="inlineStr">
        <is>
          <t>2025Q2</t>
        </is>
      </c>
      <c r="X45" s="111" t="inlineStr">
        <is>
          <t>2025Q3</t>
        </is>
      </c>
      <c r="Y45" s="111" t="inlineStr">
        <is>
          <t>2025Q4</t>
        </is>
      </c>
      <c r="Z45" s="111" t="inlineStr">
        <is>
          <t>2026Q1</t>
        </is>
      </c>
      <c r="AA45" s="111" t="inlineStr">
        <is>
          <t>2026Q2</t>
        </is>
      </c>
      <c r="AB45" s="111" t="inlineStr">
        <is>
          <t>2026Q3</t>
        </is>
      </c>
      <c r="AC45" s="111" t="inlineStr">
        <is>
          <t>2026Q4</t>
        </is>
      </c>
      <c r="AD45" s="111" t="inlineStr">
        <is>
          <t>2027Q1</t>
        </is>
      </c>
      <c r="AE45" s="111" t="inlineStr">
        <is>
          <t>2027Q2</t>
        </is>
      </c>
      <c r="AF45" s="111" t="inlineStr">
        <is>
          <t>2027Q3</t>
        </is>
      </c>
      <c r="AG45" s="111" t="inlineStr">
        <is>
          <t>2027Q4</t>
        </is>
      </c>
      <c r="AH45" s="111" t="inlineStr">
        <is>
          <t>2028Q1</t>
        </is>
      </c>
      <c r="AI45" s="111" t="inlineStr">
        <is>
          <t>2028Q2</t>
        </is>
      </c>
      <c r="AJ45" s="111" t="inlineStr">
        <is>
          <t>2028Q3</t>
        </is>
      </c>
      <c r="AK45" s="111" t="inlineStr">
        <is>
          <t>2028Q4</t>
        </is>
      </c>
      <c r="AL45" s="111" t="inlineStr">
        <is>
          <t>2029Q1</t>
        </is>
      </c>
      <c r="AM45" s="111" t="inlineStr">
        <is>
          <t>2029Q2</t>
        </is>
      </c>
      <c r="AN45" s="111" t="inlineStr">
        <is>
          <t>2029Q3</t>
        </is>
      </c>
      <c r="AO45" s="111" t="inlineStr">
        <is>
          <t>2029Q4</t>
        </is>
      </c>
      <c r="AP45" s="111" t="inlineStr">
        <is>
          <t>2030Q1</t>
        </is>
      </c>
      <c r="AQ45" s="111" t="inlineStr">
        <is>
          <t>2030Q2</t>
        </is>
      </c>
      <c r="AR45" s="111" t="inlineStr">
        <is>
          <t>2030Q3</t>
        </is>
      </c>
      <c r="AS45" s="111" t="inlineStr">
        <is>
          <t>2030Q4</t>
        </is>
      </c>
      <c r="AT45" s="111" t="inlineStr">
        <is>
          <t>2031Q1</t>
        </is>
      </c>
    </row>
    <row r="46"/>
    <row r="47">
      <c r="A47" s="335" t="inlineStr">
        <is>
          <t xml:space="preserve">  상급종합병원 Ramosetron 시장수량 (분기) = 종별환자수×D(연,flat)</t>
        </is>
      </c>
      <c r="B47" s="377">
        <f>B$57*원자료_분기실측!B23</f>
        <v/>
      </c>
      <c r="C47" s="377">
        <f>C$57*원자료_분기실측!C23</f>
        <v/>
      </c>
      <c r="D47" s="377">
        <f>D$57*원자료_분기실측!D23</f>
        <v/>
      </c>
      <c r="E47" s="377">
        <f>E$57*원자료_분기실측!E23</f>
        <v/>
      </c>
      <c r="F47" s="377">
        <f>F$57*원자료_분기실측!F23</f>
        <v/>
      </c>
      <c r="G47" s="377">
        <f>G$57*원자료_분기실측!G23</f>
        <v/>
      </c>
      <c r="H47" s="377">
        <f>H$57*원자료_분기실측!H23</f>
        <v/>
      </c>
      <c r="I47" s="377">
        <f>I$57*원자료_분기실측!I23</f>
        <v/>
      </c>
      <c r="J47" s="377">
        <f>J$57*원자료_분기실측!J23</f>
        <v/>
      </c>
      <c r="K47" s="377">
        <f>K$57*원자료_분기실측!K23</f>
        <v/>
      </c>
      <c r="L47" s="377">
        <f>L$57*원자료_분기실측!L23</f>
        <v/>
      </c>
      <c r="M47" s="377">
        <f>M$57*원자료_분기실측!M23</f>
        <v/>
      </c>
      <c r="N47" s="377">
        <f>N$57*원자료_분기실측!N23</f>
        <v/>
      </c>
      <c r="O47" s="377">
        <f>O$57*원자료_분기실측!O23</f>
        <v/>
      </c>
      <c r="P47" s="377">
        <f>P$57*원자료_분기실측!P23</f>
        <v/>
      </c>
      <c r="Q47" s="377">
        <f>Q$57*원자료_분기실측!Q23</f>
        <v/>
      </c>
      <c r="R47" s="377">
        <f>R$57*원자료_분기실측!R23</f>
        <v/>
      </c>
      <c r="S47" s="377">
        <f>S$57*원자료_분기실측!S23</f>
        <v/>
      </c>
      <c r="T47" s="377">
        <f>T$57*원자료_분기실측!T23</f>
        <v/>
      </c>
      <c r="U47" s="377">
        <f>U$57*원자료_분기실측!U23</f>
        <v/>
      </c>
      <c r="V47" s="377">
        <f>V$57*원자료_분기실측!V23</f>
        <v/>
      </c>
      <c r="W47" s="377">
        <f>W$57*원자료_분기실측!W23</f>
        <v/>
      </c>
      <c r="X47" s="377">
        <f>X$57*원자료_분기실측!X23</f>
        <v/>
      </c>
      <c r="Y47" s="377">
        <f>Y$57*원자료_분기실측!Y23</f>
        <v/>
      </c>
      <c r="Z47" s="377">
        <f>Z$57*원자료_분기실측!Z23</f>
        <v/>
      </c>
      <c r="AA47" s="247">
        <f>AA$57*원자료_분기실측!AA23</f>
        <v/>
      </c>
      <c r="AB47" s="247">
        <f>'근거_종별전신마취환자수'!AB56*R22</f>
        <v/>
      </c>
      <c r="AC47" s="247">
        <f>'근거_종별전신마취환자수'!AC56*R22</f>
        <v/>
      </c>
      <c r="AD47" s="247">
        <f>'근거_종별전신마취환자수'!AD56*S22</f>
        <v/>
      </c>
      <c r="AE47" s="247">
        <f>'근거_종별전신마취환자수'!AE56*S22</f>
        <v/>
      </c>
      <c r="AF47" s="247">
        <f>'근거_종별전신마취환자수'!AF56*S22</f>
        <v/>
      </c>
      <c r="AG47" s="247">
        <f>'근거_종별전신마취환자수'!AG56*S22</f>
        <v/>
      </c>
      <c r="AH47" s="247">
        <f>'근거_종별전신마취환자수'!AH56*T22</f>
        <v/>
      </c>
      <c r="AI47" s="247">
        <f>'근거_종별전신마취환자수'!AI56*T22</f>
        <v/>
      </c>
      <c r="AJ47" s="247">
        <f>'근거_종별전신마취환자수'!AJ56*T22</f>
        <v/>
      </c>
      <c r="AK47" s="247">
        <f>'근거_종별전신마취환자수'!AK56*T22</f>
        <v/>
      </c>
      <c r="AL47" s="247">
        <f>'근거_종별전신마취환자수'!AL56*U22</f>
        <v/>
      </c>
      <c r="AM47" s="247">
        <f>'근거_종별전신마취환자수'!AM56*U22</f>
        <v/>
      </c>
      <c r="AN47" s="247">
        <f>'근거_종별전신마취환자수'!AN56*U22</f>
        <v/>
      </c>
      <c r="AO47" s="247">
        <f>'근거_종별전신마취환자수'!AO56*U22</f>
        <v/>
      </c>
      <c r="AP47" s="247">
        <f>'근거_종별전신마취환자수'!AP56*V22</f>
        <v/>
      </c>
      <c r="AQ47" s="247">
        <f>'근거_종별전신마취환자수'!AQ56*V22</f>
        <v/>
      </c>
      <c r="AR47" s="247">
        <f>'근거_종별전신마취환자수'!AR56*V22</f>
        <v/>
      </c>
      <c r="AS47" s="247">
        <f>'근거_종별전신마취환자수'!AS56*V22</f>
        <v/>
      </c>
      <c r="AT47" s="247">
        <f>'근거_종별전신마취환자수'!AT56*V22</f>
        <v/>
      </c>
    </row>
    <row r="48">
      <c r="A48" s="335" t="inlineStr">
        <is>
          <t xml:space="preserve">  종합병원 Ramosetron 시장수량 (분기) = 종별환자수×D(연,flat)</t>
        </is>
      </c>
      <c r="B48" s="377">
        <f>B$57*원자료_분기실측!B24</f>
        <v/>
      </c>
      <c r="C48" s="377">
        <f>C$57*원자료_분기실측!C24</f>
        <v/>
      </c>
      <c r="D48" s="377">
        <f>D$57*원자료_분기실측!D24</f>
        <v/>
      </c>
      <c r="E48" s="377">
        <f>E$57*원자료_분기실측!E24</f>
        <v/>
      </c>
      <c r="F48" s="377">
        <f>F$57*원자료_분기실측!F24</f>
        <v/>
      </c>
      <c r="G48" s="377">
        <f>G$57*원자료_분기실측!G24</f>
        <v/>
      </c>
      <c r="H48" s="377">
        <f>H$57*원자료_분기실측!H24</f>
        <v/>
      </c>
      <c r="I48" s="377">
        <f>I$57*원자료_분기실측!I24</f>
        <v/>
      </c>
      <c r="J48" s="377">
        <f>J$57*원자료_분기실측!J24</f>
        <v/>
      </c>
      <c r="K48" s="377">
        <f>K$57*원자료_분기실측!K24</f>
        <v/>
      </c>
      <c r="L48" s="377">
        <f>L$57*원자료_분기실측!L24</f>
        <v/>
      </c>
      <c r="M48" s="377">
        <f>M$57*원자료_분기실측!M24</f>
        <v/>
      </c>
      <c r="N48" s="377">
        <f>N$57*원자료_분기실측!N24</f>
        <v/>
      </c>
      <c r="O48" s="377">
        <f>O$57*원자료_분기실측!O24</f>
        <v/>
      </c>
      <c r="P48" s="377">
        <f>P$57*원자료_분기실측!P24</f>
        <v/>
      </c>
      <c r="Q48" s="377">
        <f>Q$57*원자료_분기실측!Q24</f>
        <v/>
      </c>
      <c r="R48" s="377">
        <f>R$57*원자료_분기실측!R24</f>
        <v/>
      </c>
      <c r="S48" s="377">
        <f>S$57*원자료_분기실측!S24</f>
        <v/>
      </c>
      <c r="T48" s="377">
        <f>T$57*원자료_분기실측!T24</f>
        <v/>
      </c>
      <c r="U48" s="377">
        <f>U$57*원자료_분기실측!U24</f>
        <v/>
      </c>
      <c r="V48" s="377">
        <f>V$57*원자료_분기실측!V24</f>
        <v/>
      </c>
      <c r="W48" s="377">
        <f>W$57*원자료_분기실측!W24</f>
        <v/>
      </c>
      <c r="X48" s="377">
        <f>X$57*원자료_분기실측!X24</f>
        <v/>
      </c>
      <c r="Y48" s="377">
        <f>Y$57*원자료_분기실측!Y24</f>
        <v/>
      </c>
      <c r="Z48" s="377">
        <f>Z$57*원자료_분기실측!Z24</f>
        <v/>
      </c>
      <c r="AA48" s="247">
        <f>AA$57*원자료_분기실측!AA24</f>
        <v/>
      </c>
      <c r="AB48" s="247">
        <f>'근거_종별전신마취환자수'!AB57*R23</f>
        <v/>
      </c>
      <c r="AC48" s="247">
        <f>'근거_종별전신마취환자수'!AC57*R23</f>
        <v/>
      </c>
      <c r="AD48" s="247">
        <f>'근거_종별전신마취환자수'!AD57*S23</f>
        <v/>
      </c>
      <c r="AE48" s="247">
        <f>'근거_종별전신마취환자수'!AE57*S23</f>
        <v/>
      </c>
      <c r="AF48" s="247">
        <f>'근거_종별전신마취환자수'!AF57*S23</f>
        <v/>
      </c>
      <c r="AG48" s="247">
        <f>'근거_종별전신마취환자수'!AG57*S23</f>
        <v/>
      </c>
      <c r="AH48" s="247">
        <f>'근거_종별전신마취환자수'!AH57*T23</f>
        <v/>
      </c>
      <c r="AI48" s="247">
        <f>'근거_종별전신마취환자수'!AI57*T23</f>
        <v/>
      </c>
      <c r="AJ48" s="247">
        <f>'근거_종별전신마취환자수'!AJ57*T23</f>
        <v/>
      </c>
      <c r="AK48" s="247">
        <f>'근거_종별전신마취환자수'!AK57*T23</f>
        <v/>
      </c>
      <c r="AL48" s="247">
        <f>'근거_종별전신마취환자수'!AL57*U23</f>
        <v/>
      </c>
      <c r="AM48" s="247">
        <f>'근거_종별전신마취환자수'!AM57*U23</f>
        <v/>
      </c>
      <c r="AN48" s="247">
        <f>'근거_종별전신마취환자수'!AN57*U23</f>
        <v/>
      </c>
      <c r="AO48" s="247">
        <f>'근거_종별전신마취환자수'!AO57*U23</f>
        <v/>
      </c>
      <c r="AP48" s="247">
        <f>'근거_종별전신마취환자수'!AP57*V23</f>
        <v/>
      </c>
      <c r="AQ48" s="247">
        <f>'근거_종별전신마취환자수'!AQ57*V23</f>
        <v/>
      </c>
      <c r="AR48" s="247">
        <f>'근거_종별전신마취환자수'!AR57*V23</f>
        <v/>
      </c>
      <c r="AS48" s="247">
        <f>'근거_종별전신마취환자수'!AS57*V23</f>
        <v/>
      </c>
      <c r="AT48" s="247">
        <f>'근거_종별전신마취환자수'!AT57*V23</f>
        <v/>
      </c>
    </row>
    <row r="49">
      <c r="A49" s="335" t="inlineStr">
        <is>
          <t xml:space="preserve">  병원급 Ramosetron 시장수량 (분기) = 종별환자수×D(연,flat)</t>
        </is>
      </c>
      <c r="B49" s="377">
        <f>B$57*원자료_분기실측!B25</f>
        <v/>
      </c>
      <c r="C49" s="377">
        <f>C$57*원자료_분기실측!C25</f>
        <v/>
      </c>
      <c r="D49" s="377">
        <f>D$57*원자료_분기실측!D25</f>
        <v/>
      </c>
      <c r="E49" s="377">
        <f>E$57*원자료_분기실측!E25</f>
        <v/>
      </c>
      <c r="F49" s="377">
        <f>F$57*원자료_분기실측!F25</f>
        <v/>
      </c>
      <c r="G49" s="377">
        <f>G$57*원자료_분기실측!G25</f>
        <v/>
      </c>
      <c r="H49" s="377">
        <f>H$57*원자료_분기실측!H25</f>
        <v/>
      </c>
      <c r="I49" s="377">
        <f>I$57*원자료_분기실측!I25</f>
        <v/>
      </c>
      <c r="J49" s="377">
        <f>J$57*원자료_분기실측!J25</f>
        <v/>
      </c>
      <c r="K49" s="377">
        <f>K$57*원자료_분기실측!K25</f>
        <v/>
      </c>
      <c r="L49" s="377">
        <f>L$57*원자료_분기실측!L25</f>
        <v/>
      </c>
      <c r="M49" s="377">
        <f>M$57*원자료_분기실측!M25</f>
        <v/>
      </c>
      <c r="N49" s="377">
        <f>N$57*원자료_분기실측!N25</f>
        <v/>
      </c>
      <c r="O49" s="377">
        <f>O$57*원자료_분기실측!O25</f>
        <v/>
      </c>
      <c r="P49" s="377">
        <f>P$57*원자료_분기실측!P25</f>
        <v/>
      </c>
      <c r="Q49" s="377">
        <f>Q$57*원자료_분기실측!Q25</f>
        <v/>
      </c>
      <c r="R49" s="377">
        <f>R$57*원자료_분기실측!R25</f>
        <v/>
      </c>
      <c r="S49" s="377">
        <f>S$57*원자료_분기실측!S25</f>
        <v/>
      </c>
      <c r="T49" s="377">
        <f>T$57*원자료_분기실측!T25</f>
        <v/>
      </c>
      <c r="U49" s="377">
        <f>U$57*원자료_분기실측!U25</f>
        <v/>
      </c>
      <c r="V49" s="377">
        <f>V$57*원자료_분기실측!V25</f>
        <v/>
      </c>
      <c r="W49" s="377">
        <f>W$57*원자료_분기실측!W25</f>
        <v/>
      </c>
      <c r="X49" s="377">
        <f>X$57*원자료_분기실측!X25</f>
        <v/>
      </c>
      <c r="Y49" s="377">
        <f>Y$57*원자료_분기실측!Y25</f>
        <v/>
      </c>
      <c r="Z49" s="377">
        <f>Z$57*원자료_분기실측!Z25</f>
        <v/>
      </c>
      <c r="AA49" s="247">
        <f>AA$57*원자료_분기실측!AA25</f>
        <v/>
      </c>
      <c r="AB49" s="247">
        <f>'근거_종별전신마취환자수'!AB58*R24</f>
        <v/>
      </c>
      <c r="AC49" s="247">
        <f>'근거_종별전신마취환자수'!AC58*R24</f>
        <v/>
      </c>
      <c r="AD49" s="247">
        <f>'근거_종별전신마취환자수'!AD58*S24</f>
        <v/>
      </c>
      <c r="AE49" s="247">
        <f>'근거_종별전신마취환자수'!AE58*S24</f>
        <v/>
      </c>
      <c r="AF49" s="247">
        <f>'근거_종별전신마취환자수'!AF58*S24</f>
        <v/>
      </c>
      <c r="AG49" s="247">
        <f>'근거_종별전신마취환자수'!AG58*S24</f>
        <v/>
      </c>
      <c r="AH49" s="247">
        <f>'근거_종별전신마취환자수'!AH58*T24</f>
        <v/>
      </c>
      <c r="AI49" s="247">
        <f>'근거_종별전신마취환자수'!AI58*T24</f>
        <v/>
      </c>
      <c r="AJ49" s="247">
        <f>'근거_종별전신마취환자수'!AJ58*T24</f>
        <v/>
      </c>
      <c r="AK49" s="247">
        <f>'근거_종별전신마취환자수'!AK58*T24</f>
        <v/>
      </c>
      <c r="AL49" s="247">
        <f>'근거_종별전신마취환자수'!AL58*U24</f>
        <v/>
      </c>
      <c r="AM49" s="247">
        <f>'근거_종별전신마취환자수'!AM58*U24</f>
        <v/>
      </c>
      <c r="AN49" s="247">
        <f>'근거_종별전신마취환자수'!AN58*U24</f>
        <v/>
      </c>
      <c r="AO49" s="247">
        <f>'근거_종별전신마취환자수'!AO58*U24</f>
        <v/>
      </c>
      <c r="AP49" s="247">
        <f>'근거_종별전신마취환자수'!AP58*V24</f>
        <v/>
      </c>
      <c r="AQ49" s="247">
        <f>'근거_종별전신마취환자수'!AQ58*V24</f>
        <v/>
      </c>
      <c r="AR49" s="247">
        <f>'근거_종별전신마취환자수'!AR58*V24</f>
        <v/>
      </c>
      <c r="AS49" s="247">
        <f>'근거_종별전신마취환자수'!AS58*V24</f>
        <v/>
      </c>
      <c r="AT49" s="247">
        <f>'근거_종별전신마취환자수'!AT58*V24</f>
        <v/>
      </c>
    </row>
    <row r="50">
      <c r="A50" s="335" t="inlineStr">
        <is>
          <t xml:space="preserve">  의원급 Ramosetron 시장수량 (분기) = 종별환자수×D(연,flat)</t>
        </is>
      </c>
      <c r="B50" s="377">
        <f>B$57*원자료_분기실측!B26</f>
        <v/>
      </c>
      <c r="C50" s="377">
        <f>C$57*원자료_분기실측!C26</f>
        <v/>
      </c>
      <c r="D50" s="377">
        <f>D$57*원자료_분기실측!D26</f>
        <v/>
      </c>
      <c r="E50" s="377">
        <f>E$57*원자료_분기실측!E26</f>
        <v/>
      </c>
      <c r="F50" s="377">
        <f>F$57*원자료_분기실측!F26</f>
        <v/>
      </c>
      <c r="G50" s="377">
        <f>G$57*원자료_분기실측!G26</f>
        <v/>
      </c>
      <c r="H50" s="377">
        <f>H$57*원자료_분기실측!H26</f>
        <v/>
      </c>
      <c r="I50" s="377">
        <f>I$57*원자료_분기실측!I26</f>
        <v/>
      </c>
      <c r="J50" s="377">
        <f>J$57*원자료_분기실측!J26</f>
        <v/>
      </c>
      <c r="K50" s="377">
        <f>K$57*원자료_분기실측!K26</f>
        <v/>
      </c>
      <c r="L50" s="377">
        <f>L$57*원자료_분기실측!L26</f>
        <v/>
      </c>
      <c r="M50" s="377">
        <f>M$57*원자료_분기실측!M26</f>
        <v/>
      </c>
      <c r="N50" s="377">
        <f>N$57*원자료_분기실측!N26</f>
        <v/>
      </c>
      <c r="O50" s="377">
        <f>O$57*원자료_분기실측!O26</f>
        <v/>
      </c>
      <c r="P50" s="377">
        <f>P$57*원자료_분기실측!P26</f>
        <v/>
      </c>
      <c r="Q50" s="377">
        <f>Q$57*원자료_분기실측!Q26</f>
        <v/>
      </c>
      <c r="R50" s="377">
        <f>R$57*원자료_분기실측!R26</f>
        <v/>
      </c>
      <c r="S50" s="377">
        <f>S$57*원자료_분기실측!S26</f>
        <v/>
      </c>
      <c r="T50" s="377">
        <f>T$57*원자료_분기실측!T26</f>
        <v/>
      </c>
      <c r="U50" s="377">
        <f>U$57*원자료_분기실측!U26</f>
        <v/>
      </c>
      <c r="V50" s="377">
        <f>V$57*원자료_분기실측!V26</f>
        <v/>
      </c>
      <c r="W50" s="377">
        <f>W$57*원자료_분기실측!W26</f>
        <v/>
      </c>
      <c r="X50" s="377">
        <f>X$57*원자료_분기실측!X26</f>
        <v/>
      </c>
      <c r="Y50" s="377">
        <f>Y$57*원자료_분기실측!Y26</f>
        <v/>
      </c>
      <c r="Z50" s="377">
        <f>Z$57*원자료_분기실측!Z26</f>
        <v/>
      </c>
      <c r="AA50" s="247">
        <f>AA$57*원자료_분기실측!AA26</f>
        <v/>
      </c>
      <c r="AB50" s="247">
        <f>'근거_종별전신마취환자수'!AB59*R25</f>
        <v/>
      </c>
      <c r="AC50" s="247">
        <f>'근거_종별전신마취환자수'!AC59*R25</f>
        <v/>
      </c>
      <c r="AD50" s="247">
        <f>'근거_종별전신마취환자수'!AD59*S25</f>
        <v/>
      </c>
      <c r="AE50" s="247">
        <f>'근거_종별전신마취환자수'!AE59*S25</f>
        <v/>
      </c>
      <c r="AF50" s="247">
        <f>'근거_종별전신마취환자수'!AF59*S25</f>
        <v/>
      </c>
      <c r="AG50" s="247">
        <f>'근거_종별전신마취환자수'!AG59*S25</f>
        <v/>
      </c>
      <c r="AH50" s="247">
        <f>'근거_종별전신마취환자수'!AH59*T25</f>
        <v/>
      </c>
      <c r="AI50" s="247">
        <f>'근거_종별전신마취환자수'!AI59*T25</f>
        <v/>
      </c>
      <c r="AJ50" s="247">
        <f>'근거_종별전신마취환자수'!AJ59*T25</f>
        <v/>
      </c>
      <c r="AK50" s="247">
        <f>'근거_종별전신마취환자수'!AK59*T25</f>
        <v/>
      </c>
      <c r="AL50" s="247">
        <f>'근거_종별전신마취환자수'!AL59*U25</f>
        <v/>
      </c>
      <c r="AM50" s="247">
        <f>'근거_종별전신마취환자수'!AM59*U25</f>
        <v/>
      </c>
      <c r="AN50" s="247">
        <f>'근거_종별전신마취환자수'!AN59*U25</f>
        <v/>
      </c>
      <c r="AO50" s="247">
        <f>'근거_종별전신마취환자수'!AO59*U25</f>
        <v/>
      </c>
      <c r="AP50" s="247">
        <f>'근거_종별전신마취환자수'!AP59*V25</f>
        <v/>
      </c>
      <c r="AQ50" s="247">
        <f>'근거_종별전신마취환자수'!AQ59*V25</f>
        <v/>
      </c>
      <c r="AR50" s="247">
        <f>'근거_종별전신마취환자수'!AR59*V25</f>
        <v/>
      </c>
      <c r="AS50" s="247">
        <f>'근거_종별전신마취환자수'!AS59*V25</f>
        <v/>
      </c>
      <c r="AT50" s="247">
        <f>'근거_종별전신마취환자수'!AT59*V25</f>
        <v/>
      </c>
    </row>
    <row r="51"/>
    <row r="52">
      <c r="A52" s="335" t="inlineStr">
        <is>
          <t>상급종합병원 환자당 Ramo 사용수량</t>
        </is>
      </c>
      <c r="B52" s="249">
        <f>IFERROR(B47/'근거_종별전신마취환자수'!B56,"")</f>
        <v/>
      </c>
      <c r="C52" s="249">
        <f>IFERROR(C47/'근거_종별전신마취환자수'!C56,"")</f>
        <v/>
      </c>
      <c r="D52" s="249">
        <f>IFERROR(D47/'근거_종별전신마취환자수'!D56,"")</f>
        <v/>
      </c>
      <c r="E52" s="249">
        <f>IFERROR(E47/'근거_종별전신마취환자수'!E56,"")</f>
        <v/>
      </c>
      <c r="F52" s="249">
        <f>IFERROR(F47/'근거_종별전신마취환자수'!F56,"")</f>
        <v/>
      </c>
      <c r="G52" s="249">
        <f>IFERROR(G47/'근거_종별전신마취환자수'!G56,"")</f>
        <v/>
      </c>
      <c r="H52" s="249">
        <f>IFERROR(H47/'근거_종별전신마취환자수'!H56,"")</f>
        <v/>
      </c>
      <c r="I52" s="249">
        <f>IFERROR(I47/'근거_종별전신마취환자수'!I56,"")</f>
        <v/>
      </c>
      <c r="J52" s="249">
        <f>IFERROR(J47/'근거_종별전신마취환자수'!J56,"")</f>
        <v/>
      </c>
      <c r="K52" s="249">
        <f>IFERROR(K47/'근거_종별전신마취환자수'!K56,"")</f>
        <v/>
      </c>
      <c r="L52" s="249">
        <f>IFERROR(L47/'근거_종별전신마취환자수'!L56,"")</f>
        <v/>
      </c>
      <c r="M52" s="249">
        <f>IFERROR(M47/'근거_종별전신마취환자수'!M56,"")</f>
        <v/>
      </c>
      <c r="N52" s="249">
        <f>IFERROR(N47/'근거_종별전신마취환자수'!N56,"")</f>
        <v/>
      </c>
      <c r="O52" s="249">
        <f>IFERROR(O47/'근거_종별전신마취환자수'!O56,"")</f>
        <v/>
      </c>
      <c r="P52" s="249">
        <f>IFERROR(P47/'근거_종별전신마취환자수'!P56,"")</f>
        <v/>
      </c>
      <c r="Q52" s="249">
        <f>IFERROR(Q47/'근거_종별전신마취환자수'!Q56,"")</f>
        <v/>
      </c>
      <c r="R52" s="249">
        <f>IFERROR(R47/'근거_종별전신마취환자수'!R56,"")</f>
        <v/>
      </c>
      <c r="S52" s="249">
        <f>IFERROR(S47/'근거_종별전신마취환자수'!S56,"")</f>
        <v/>
      </c>
      <c r="T52" s="249">
        <f>IFERROR(T47/'근거_종별전신마취환자수'!T56,"")</f>
        <v/>
      </c>
      <c r="U52" s="249">
        <f>IFERROR(U47/'근거_종별전신마취환자수'!U56,"")</f>
        <v/>
      </c>
      <c r="V52" s="249">
        <f>IFERROR(V47/'근거_종별전신마취환자수'!V56,"")</f>
        <v/>
      </c>
      <c r="W52" s="249">
        <f>IFERROR(W47/'근거_종별전신마취환자수'!W56,"")</f>
        <v/>
      </c>
      <c r="X52" s="249">
        <f>IFERROR(X47/'근거_종별전신마취환자수'!X56,"")</f>
        <v/>
      </c>
      <c r="Y52" s="249">
        <f>IFERROR(Y47/'근거_종별전신마취환자수'!Y56,"")</f>
        <v/>
      </c>
      <c r="Z52" s="249">
        <f>IFERROR(Z47/'근거_종별전신마취환자수'!Z56,"")</f>
        <v/>
      </c>
      <c r="AA52" s="250">
        <f>IFERROR(AA47/'근거_종별전신마취환자수'!AA56,"")</f>
        <v/>
      </c>
      <c r="AB52" s="247">
        <f>IFERROR(AB47/'근거_종별전신마취환자수'!AB56,"")</f>
        <v/>
      </c>
      <c r="AC52" s="247">
        <f>IFERROR(AC47/'근거_종별전신마취환자수'!AC56,"")</f>
        <v/>
      </c>
      <c r="AD52" s="247">
        <f>IFERROR(AD47/'근거_종별전신마취환자수'!AD56,"")</f>
        <v/>
      </c>
      <c r="AE52" s="247">
        <f>IFERROR(AE47/'근거_종별전신마취환자수'!AE56,"")</f>
        <v/>
      </c>
      <c r="AF52" s="247">
        <f>IFERROR(AF47/'근거_종별전신마취환자수'!AF56,"")</f>
        <v/>
      </c>
      <c r="AG52" s="247">
        <f>IFERROR(AG47/'근거_종별전신마취환자수'!AG56,"")</f>
        <v/>
      </c>
      <c r="AH52" s="247">
        <f>IFERROR(AH47/'근거_종별전신마취환자수'!AH56,"")</f>
        <v/>
      </c>
      <c r="AI52" s="247">
        <f>IFERROR(AI47/'근거_종별전신마취환자수'!AI56,"")</f>
        <v/>
      </c>
      <c r="AJ52" s="247">
        <f>IFERROR(AJ47/'근거_종별전신마취환자수'!AJ56,"")</f>
        <v/>
      </c>
      <c r="AK52" s="247">
        <f>IFERROR(AK47/'근거_종별전신마취환자수'!AK56,"")</f>
        <v/>
      </c>
      <c r="AL52" s="247">
        <f>IFERROR(AL47/'근거_종별전신마취환자수'!AL56,"")</f>
        <v/>
      </c>
      <c r="AM52" s="247">
        <f>IFERROR(AM47/'근거_종별전신마취환자수'!AM56,"")</f>
        <v/>
      </c>
      <c r="AN52" s="247">
        <f>IFERROR(AN47/'근거_종별전신마취환자수'!AN56,"")</f>
        <v/>
      </c>
      <c r="AO52" s="247">
        <f>IFERROR(AO47/'근거_종별전신마취환자수'!AO56,"")</f>
        <v/>
      </c>
      <c r="AP52" s="247">
        <f>IFERROR(AP47/'근거_종별전신마취환자수'!AP56,"")</f>
        <v/>
      </c>
      <c r="AQ52" s="247">
        <f>IFERROR(AQ47/'근거_종별전신마취환자수'!AQ56,"")</f>
        <v/>
      </c>
      <c r="AR52" s="247">
        <f>IFERROR(AR47/'근거_종별전신마취환자수'!AR56,"")</f>
        <v/>
      </c>
      <c r="AS52" s="247">
        <f>IFERROR(AS47/'근거_종별전신마취환자수'!AS56,"")</f>
        <v/>
      </c>
      <c r="AT52" s="247">
        <f>IFERROR(AT47/'근거_종별전신마취환자수'!AT56,"")</f>
        <v/>
      </c>
    </row>
    <row r="53">
      <c r="A53" s="335" t="inlineStr">
        <is>
          <t>종합병원 환자당 Ramo 사용수량</t>
        </is>
      </c>
      <c r="B53" s="249">
        <f>IFERROR(B48/'근거_종별전신마취환자수'!B57,"")</f>
        <v/>
      </c>
      <c r="C53" s="249">
        <f>IFERROR(C48/'근거_종별전신마취환자수'!C57,"")</f>
        <v/>
      </c>
      <c r="D53" s="249">
        <f>IFERROR(D48/'근거_종별전신마취환자수'!D57,"")</f>
        <v/>
      </c>
      <c r="E53" s="249">
        <f>IFERROR(E48/'근거_종별전신마취환자수'!E57,"")</f>
        <v/>
      </c>
      <c r="F53" s="249">
        <f>IFERROR(F48/'근거_종별전신마취환자수'!F57,"")</f>
        <v/>
      </c>
      <c r="G53" s="249">
        <f>IFERROR(G48/'근거_종별전신마취환자수'!G57,"")</f>
        <v/>
      </c>
      <c r="H53" s="249">
        <f>IFERROR(H48/'근거_종별전신마취환자수'!H57,"")</f>
        <v/>
      </c>
      <c r="I53" s="249">
        <f>IFERROR(I48/'근거_종별전신마취환자수'!I57,"")</f>
        <v/>
      </c>
      <c r="J53" s="249">
        <f>IFERROR(J48/'근거_종별전신마취환자수'!J57,"")</f>
        <v/>
      </c>
      <c r="K53" s="249">
        <f>IFERROR(K48/'근거_종별전신마취환자수'!K57,"")</f>
        <v/>
      </c>
      <c r="L53" s="249">
        <f>IFERROR(L48/'근거_종별전신마취환자수'!L57,"")</f>
        <v/>
      </c>
      <c r="M53" s="249">
        <f>IFERROR(M48/'근거_종별전신마취환자수'!M57,"")</f>
        <v/>
      </c>
      <c r="N53" s="249">
        <f>IFERROR(N48/'근거_종별전신마취환자수'!N57,"")</f>
        <v/>
      </c>
      <c r="O53" s="249">
        <f>IFERROR(O48/'근거_종별전신마취환자수'!O57,"")</f>
        <v/>
      </c>
      <c r="P53" s="249">
        <f>IFERROR(P48/'근거_종별전신마취환자수'!P57,"")</f>
        <v/>
      </c>
      <c r="Q53" s="249">
        <f>IFERROR(Q48/'근거_종별전신마취환자수'!Q57,"")</f>
        <v/>
      </c>
      <c r="R53" s="249">
        <f>IFERROR(R48/'근거_종별전신마취환자수'!R57,"")</f>
        <v/>
      </c>
      <c r="S53" s="249">
        <f>IFERROR(S48/'근거_종별전신마취환자수'!S57,"")</f>
        <v/>
      </c>
      <c r="T53" s="249">
        <f>IFERROR(T48/'근거_종별전신마취환자수'!T57,"")</f>
        <v/>
      </c>
      <c r="U53" s="249">
        <f>IFERROR(U48/'근거_종별전신마취환자수'!U57,"")</f>
        <v/>
      </c>
      <c r="V53" s="249">
        <f>IFERROR(V48/'근거_종별전신마취환자수'!V57,"")</f>
        <v/>
      </c>
      <c r="W53" s="249">
        <f>IFERROR(W48/'근거_종별전신마취환자수'!W57,"")</f>
        <v/>
      </c>
      <c r="X53" s="249">
        <f>IFERROR(X48/'근거_종별전신마취환자수'!X57,"")</f>
        <v/>
      </c>
      <c r="Y53" s="249">
        <f>IFERROR(Y48/'근거_종별전신마취환자수'!Y57,"")</f>
        <v/>
      </c>
      <c r="Z53" s="249">
        <f>IFERROR(Z48/'근거_종별전신마취환자수'!Z57,"")</f>
        <v/>
      </c>
      <c r="AA53" s="250">
        <f>IFERROR(AA48/'근거_종별전신마취환자수'!AA57,"")</f>
        <v/>
      </c>
      <c r="AB53" s="247">
        <f>IFERROR(AB48/'근거_종별전신마취환자수'!AB57,"")</f>
        <v/>
      </c>
      <c r="AC53" s="247">
        <f>IFERROR(AC48/'근거_종별전신마취환자수'!AC57,"")</f>
        <v/>
      </c>
      <c r="AD53" s="247">
        <f>IFERROR(AD48/'근거_종별전신마취환자수'!AD57,"")</f>
        <v/>
      </c>
      <c r="AE53" s="247">
        <f>IFERROR(AE48/'근거_종별전신마취환자수'!AE57,"")</f>
        <v/>
      </c>
      <c r="AF53" s="247">
        <f>IFERROR(AF48/'근거_종별전신마취환자수'!AF57,"")</f>
        <v/>
      </c>
      <c r="AG53" s="247">
        <f>IFERROR(AG48/'근거_종별전신마취환자수'!AG57,"")</f>
        <v/>
      </c>
      <c r="AH53" s="247">
        <f>IFERROR(AH48/'근거_종별전신마취환자수'!AH57,"")</f>
        <v/>
      </c>
      <c r="AI53" s="247">
        <f>IFERROR(AI48/'근거_종별전신마취환자수'!AI57,"")</f>
        <v/>
      </c>
      <c r="AJ53" s="247">
        <f>IFERROR(AJ48/'근거_종별전신마취환자수'!AJ57,"")</f>
        <v/>
      </c>
      <c r="AK53" s="247">
        <f>IFERROR(AK48/'근거_종별전신마취환자수'!AK57,"")</f>
        <v/>
      </c>
      <c r="AL53" s="247">
        <f>IFERROR(AL48/'근거_종별전신마취환자수'!AL57,"")</f>
        <v/>
      </c>
      <c r="AM53" s="247">
        <f>IFERROR(AM48/'근거_종별전신마취환자수'!AM57,"")</f>
        <v/>
      </c>
      <c r="AN53" s="247">
        <f>IFERROR(AN48/'근거_종별전신마취환자수'!AN57,"")</f>
        <v/>
      </c>
      <c r="AO53" s="247">
        <f>IFERROR(AO48/'근거_종별전신마취환자수'!AO57,"")</f>
        <v/>
      </c>
      <c r="AP53" s="247">
        <f>IFERROR(AP48/'근거_종별전신마취환자수'!AP57,"")</f>
        <v/>
      </c>
      <c r="AQ53" s="247">
        <f>IFERROR(AQ48/'근거_종별전신마취환자수'!AQ57,"")</f>
        <v/>
      </c>
      <c r="AR53" s="247">
        <f>IFERROR(AR48/'근거_종별전신마취환자수'!AR57,"")</f>
        <v/>
      </c>
      <c r="AS53" s="247">
        <f>IFERROR(AS48/'근거_종별전신마취환자수'!AS57,"")</f>
        <v/>
      </c>
      <c r="AT53" s="247">
        <f>IFERROR(AT48/'근거_종별전신마취환자수'!AT57,"")</f>
        <v/>
      </c>
    </row>
    <row r="54">
      <c r="A54" s="335" t="inlineStr">
        <is>
          <t>병원 환자당 Ramo 사용수량</t>
        </is>
      </c>
      <c r="B54" s="249">
        <f>IFERROR(B49/'근거_종별전신마취환자수'!B58,"")</f>
        <v/>
      </c>
      <c r="C54" s="249">
        <f>IFERROR(C49/'근거_종별전신마취환자수'!C58,"")</f>
        <v/>
      </c>
      <c r="D54" s="249">
        <f>IFERROR(D49/'근거_종별전신마취환자수'!D58,"")</f>
        <v/>
      </c>
      <c r="E54" s="249">
        <f>IFERROR(E49/'근거_종별전신마취환자수'!E58,"")</f>
        <v/>
      </c>
      <c r="F54" s="249">
        <f>IFERROR(F49/'근거_종별전신마취환자수'!F58,"")</f>
        <v/>
      </c>
      <c r="G54" s="249">
        <f>IFERROR(G49/'근거_종별전신마취환자수'!G58,"")</f>
        <v/>
      </c>
      <c r="H54" s="249">
        <f>IFERROR(H49/'근거_종별전신마취환자수'!H58,"")</f>
        <v/>
      </c>
      <c r="I54" s="249">
        <f>IFERROR(I49/'근거_종별전신마취환자수'!I58,"")</f>
        <v/>
      </c>
      <c r="J54" s="249">
        <f>IFERROR(J49/'근거_종별전신마취환자수'!J58,"")</f>
        <v/>
      </c>
      <c r="K54" s="249">
        <f>IFERROR(K49/'근거_종별전신마취환자수'!K58,"")</f>
        <v/>
      </c>
      <c r="L54" s="249">
        <f>IFERROR(L49/'근거_종별전신마취환자수'!L58,"")</f>
        <v/>
      </c>
      <c r="M54" s="249">
        <f>IFERROR(M49/'근거_종별전신마취환자수'!M58,"")</f>
        <v/>
      </c>
      <c r="N54" s="249">
        <f>IFERROR(N49/'근거_종별전신마취환자수'!N58,"")</f>
        <v/>
      </c>
      <c r="O54" s="249">
        <f>IFERROR(O49/'근거_종별전신마취환자수'!O58,"")</f>
        <v/>
      </c>
      <c r="P54" s="249">
        <f>IFERROR(P49/'근거_종별전신마취환자수'!P58,"")</f>
        <v/>
      </c>
      <c r="Q54" s="249">
        <f>IFERROR(Q49/'근거_종별전신마취환자수'!Q58,"")</f>
        <v/>
      </c>
      <c r="R54" s="249">
        <f>IFERROR(R49/'근거_종별전신마취환자수'!R58,"")</f>
        <v/>
      </c>
      <c r="S54" s="249">
        <f>IFERROR(S49/'근거_종별전신마취환자수'!S58,"")</f>
        <v/>
      </c>
      <c r="T54" s="249">
        <f>IFERROR(T49/'근거_종별전신마취환자수'!T58,"")</f>
        <v/>
      </c>
      <c r="U54" s="249">
        <f>IFERROR(U49/'근거_종별전신마취환자수'!U58,"")</f>
        <v/>
      </c>
      <c r="V54" s="249">
        <f>IFERROR(V49/'근거_종별전신마취환자수'!V58,"")</f>
        <v/>
      </c>
      <c r="W54" s="249">
        <f>IFERROR(W49/'근거_종별전신마취환자수'!W58,"")</f>
        <v/>
      </c>
      <c r="X54" s="249">
        <f>IFERROR(X49/'근거_종별전신마취환자수'!X58,"")</f>
        <v/>
      </c>
      <c r="Y54" s="249">
        <f>IFERROR(Y49/'근거_종별전신마취환자수'!Y58,"")</f>
        <v/>
      </c>
      <c r="Z54" s="249">
        <f>IFERROR(Z49/'근거_종별전신마취환자수'!Z58,"")</f>
        <v/>
      </c>
      <c r="AA54" s="250">
        <f>IFERROR(AA49/'근거_종별전신마취환자수'!AA58,"")</f>
        <v/>
      </c>
      <c r="AB54" s="247">
        <f>IFERROR(AB49/'근거_종별전신마취환자수'!AB58,"")</f>
        <v/>
      </c>
      <c r="AC54" s="247">
        <f>IFERROR(AC49/'근거_종별전신마취환자수'!AC58,"")</f>
        <v/>
      </c>
      <c r="AD54" s="247">
        <f>IFERROR(AD49/'근거_종별전신마취환자수'!AD58,"")</f>
        <v/>
      </c>
      <c r="AE54" s="247">
        <f>IFERROR(AE49/'근거_종별전신마취환자수'!AE58,"")</f>
        <v/>
      </c>
      <c r="AF54" s="247">
        <f>IFERROR(AF49/'근거_종별전신마취환자수'!AF58,"")</f>
        <v/>
      </c>
      <c r="AG54" s="247">
        <f>IFERROR(AG49/'근거_종별전신마취환자수'!AG58,"")</f>
        <v/>
      </c>
      <c r="AH54" s="247">
        <f>IFERROR(AH49/'근거_종별전신마취환자수'!AH58,"")</f>
        <v/>
      </c>
      <c r="AI54" s="247">
        <f>IFERROR(AI49/'근거_종별전신마취환자수'!AI58,"")</f>
        <v/>
      </c>
      <c r="AJ54" s="247">
        <f>IFERROR(AJ49/'근거_종별전신마취환자수'!AJ58,"")</f>
        <v/>
      </c>
      <c r="AK54" s="247">
        <f>IFERROR(AK49/'근거_종별전신마취환자수'!AK58,"")</f>
        <v/>
      </c>
      <c r="AL54" s="247">
        <f>IFERROR(AL49/'근거_종별전신마취환자수'!AL58,"")</f>
        <v/>
      </c>
      <c r="AM54" s="247">
        <f>IFERROR(AM49/'근거_종별전신마취환자수'!AM58,"")</f>
        <v/>
      </c>
      <c r="AN54" s="247">
        <f>IFERROR(AN49/'근거_종별전신마취환자수'!AN58,"")</f>
        <v/>
      </c>
      <c r="AO54" s="247">
        <f>IFERROR(AO49/'근거_종별전신마취환자수'!AO58,"")</f>
        <v/>
      </c>
      <c r="AP54" s="247">
        <f>IFERROR(AP49/'근거_종별전신마취환자수'!AP58,"")</f>
        <v/>
      </c>
      <c r="AQ54" s="247">
        <f>IFERROR(AQ49/'근거_종별전신마취환자수'!AQ58,"")</f>
        <v/>
      </c>
      <c r="AR54" s="247">
        <f>IFERROR(AR49/'근거_종별전신마취환자수'!AR58,"")</f>
        <v/>
      </c>
      <c r="AS54" s="247">
        <f>IFERROR(AS49/'근거_종별전신마취환자수'!AS58,"")</f>
        <v/>
      </c>
      <c r="AT54" s="247">
        <f>IFERROR(AT49/'근거_종별전신마취환자수'!AT58,"")</f>
        <v/>
      </c>
    </row>
    <row r="55">
      <c r="A55" s="335" t="inlineStr">
        <is>
          <t>의원 환자당 Ramo 사용수량</t>
        </is>
      </c>
      <c r="B55" s="249">
        <f>IFERROR(B50/'근거_종별전신마취환자수'!B59,"")</f>
        <v/>
      </c>
      <c r="C55" s="249">
        <f>IFERROR(C50/'근거_종별전신마취환자수'!C59,"")</f>
        <v/>
      </c>
      <c r="D55" s="249">
        <f>IFERROR(D50/'근거_종별전신마취환자수'!D59,"")</f>
        <v/>
      </c>
      <c r="E55" s="249">
        <f>IFERROR(E50/'근거_종별전신마취환자수'!E59,"")</f>
        <v/>
      </c>
      <c r="F55" s="249">
        <f>IFERROR(F50/'근거_종별전신마취환자수'!F59,"")</f>
        <v/>
      </c>
      <c r="G55" s="249">
        <f>IFERROR(G50/'근거_종별전신마취환자수'!G59,"")</f>
        <v/>
      </c>
      <c r="H55" s="249">
        <f>IFERROR(H50/'근거_종별전신마취환자수'!H59,"")</f>
        <v/>
      </c>
      <c r="I55" s="249">
        <f>IFERROR(I50/'근거_종별전신마취환자수'!I59,"")</f>
        <v/>
      </c>
      <c r="J55" s="249">
        <f>IFERROR(J50/'근거_종별전신마취환자수'!J59,"")</f>
        <v/>
      </c>
      <c r="K55" s="249">
        <f>IFERROR(K50/'근거_종별전신마취환자수'!K59,"")</f>
        <v/>
      </c>
      <c r="L55" s="249">
        <f>IFERROR(L50/'근거_종별전신마취환자수'!L59,"")</f>
        <v/>
      </c>
      <c r="M55" s="249">
        <f>IFERROR(M50/'근거_종별전신마취환자수'!M59,"")</f>
        <v/>
      </c>
      <c r="N55" s="249">
        <f>IFERROR(N50/'근거_종별전신마취환자수'!N59,"")</f>
        <v/>
      </c>
      <c r="O55" s="249">
        <f>IFERROR(O50/'근거_종별전신마취환자수'!O59,"")</f>
        <v/>
      </c>
      <c r="P55" s="249">
        <f>IFERROR(P50/'근거_종별전신마취환자수'!P59,"")</f>
        <v/>
      </c>
      <c r="Q55" s="249">
        <f>IFERROR(Q50/'근거_종별전신마취환자수'!Q59,"")</f>
        <v/>
      </c>
      <c r="R55" s="249">
        <f>IFERROR(R50/'근거_종별전신마취환자수'!R59,"")</f>
        <v/>
      </c>
      <c r="S55" s="249">
        <f>IFERROR(S50/'근거_종별전신마취환자수'!S59,"")</f>
        <v/>
      </c>
      <c r="T55" s="249">
        <f>IFERROR(T50/'근거_종별전신마취환자수'!T59,"")</f>
        <v/>
      </c>
      <c r="U55" s="249">
        <f>IFERROR(U50/'근거_종별전신마취환자수'!U59,"")</f>
        <v/>
      </c>
      <c r="V55" s="249">
        <f>IFERROR(V50/'근거_종별전신마취환자수'!V59,"")</f>
        <v/>
      </c>
      <c r="W55" s="249">
        <f>IFERROR(W50/'근거_종별전신마취환자수'!W59,"")</f>
        <v/>
      </c>
      <c r="X55" s="249">
        <f>IFERROR(X50/'근거_종별전신마취환자수'!X59,"")</f>
        <v/>
      </c>
      <c r="Y55" s="249">
        <f>IFERROR(Y50/'근거_종별전신마취환자수'!Y59,"")</f>
        <v/>
      </c>
      <c r="Z55" s="249">
        <f>IFERROR(Z50/'근거_종별전신마취환자수'!Z59,"")</f>
        <v/>
      </c>
      <c r="AA55" s="250">
        <f>IFERROR(AA50/'근거_종별전신마취환자수'!AA59,"")</f>
        <v/>
      </c>
      <c r="AB55" s="247">
        <f>IFERROR(AB50/'근거_종별전신마취환자수'!AB59,"")</f>
        <v/>
      </c>
      <c r="AC55" s="247">
        <f>IFERROR(AC50/'근거_종별전신마취환자수'!AC59,"")</f>
        <v/>
      </c>
      <c r="AD55" s="247">
        <f>IFERROR(AD50/'근거_종별전신마취환자수'!AD59,"")</f>
        <v/>
      </c>
      <c r="AE55" s="247">
        <f>IFERROR(AE50/'근거_종별전신마취환자수'!AE59,"")</f>
        <v/>
      </c>
      <c r="AF55" s="247">
        <f>IFERROR(AF50/'근거_종별전신마취환자수'!AF59,"")</f>
        <v/>
      </c>
      <c r="AG55" s="247">
        <f>IFERROR(AG50/'근거_종별전신마취환자수'!AG59,"")</f>
        <v/>
      </c>
      <c r="AH55" s="247">
        <f>IFERROR(AH50/'근거_종별전신마취환자수'!AH59,"")</f>
        <v/>
      </c>
      <c r="AI55" s="247">
        <f>IFERROR(AI50/'근거_종별전신마취환자수'!AI59,"")</f>
        <v/>
      </c>
      <c r="AJ55" s="247">
        <f>IFERROR(AJ50/'근거_종별전신마취환자수'!AJ59,"")</f>
        <v/>
      </c>
      <c r="AK55" s="247">
        <f>IFERROR(AK50/'근거_종별전신마취환자수'!AK59,"")</f>
        <v/>
      </c>
      <c r="AL55" s="247">
        <f>IFERROR(AL50/'근거_종별전신마취환자수'!AL59,"")</f>
        <v/>
      </c>
      <c r="AM55" s="247">
        <f>IFERROR(AM50/'근거_종별전신마취환자수'!AM59,"")</f>
        <v/>
      </c>
      <c r="AN55" s="247">
        <f>IFERROR(AN50/'근거_종별전신마취환자수'!AN59,"")</f>
        <v/>
      </c>
      <c r="AO55" s="247">
        <f>IFERROR(AO50/'근거_종별전신마취환자수'!AO59,"")</f>
        <v/>
      </c>
      <c r="AP55" s="247">
        <f>IFERROR(AP50/'근거_종별전신마취환자수'!AP59,"")</f>
        <v/>
      </c>
      <c r="AQ55" s="247">
        <f>IFERROR(AQ50/'근거_종별전신마취환자수'!AQ59,"")</f>
        <v/>
      </c>
      <c r="AR55" s="247">
        <f>IFERROR(AR50/'근거_종별전신마취환자수'!AR59,"")</f>
        <v/>
      </c>
      <c r="AS55" s="247">
        <f>IFERROR(AS50/'근거_종별전신마취환자수'!AS59,"")</f>
        <v/>
      </c>
      <c r="AT55" s="247">
        <f>IFERROR(AT50/'근거_종별전신마취환자수'!AT59,"")</f>
        <v/>
      </c>
    </row>
    <row r="56"/>
    <row r="57">
      <c r="A57" s="335" t="inlineStr">
        <is>
          <t>▶ Ramosetron 전체시장 수량 (분기) [실측IQVIA / 미래는 4개종별 합산 bottom-up]</t>
        </is>
      </c>
      <c r="B57" s="208">
        <f>원자료_분기실측!B41</f>
        <v/>
      </c>
      <c r="C57" s="208">
        <f>원자료_분기실측!C41</f>
        <v/>
      </c>
      <c r="D57" s="208">
        <f>원자료_분기실측!D41</f>
        <v/>
      </c>
      <c r="E57" s="208">
        <f>원자료_분기실측!E41</f>
        <v/>
      </c>
      <c r="F57" s="208">
        <f>원자료_분기실측!F41</f>
        <v/>
      </c>
      <c r="G57" s="208">
        <f>원자료_분기실측!G41</f>
        <v/>
      </c>
      <c r="H57" s="208">
        <f>원자료_분기실측!H41</f>
        <v/>
      </c>
      <c r="I57" s="208">
        <f>원자료_분기실측!I41</f>
        <v/>
      </c>
      <c r="J57" s="208">
        <f>원자료_분기실측!J41</f>
        <v/>
      </c>
      <c r="K57" s="208">
        <f>원자료_분기실측!K41</f>
        <v/>
      </c>
      <c r="L57" s="208">
        <f>원자료_분기실측!L41</f>
        <v/>
      </c>
      <c r="M57" s="208">
        <f>원자료_분기실측!M41</f>
        <v/>
      </c>
      <c r="N57" s="208">
        <f>원자료_분기실측!N41</f>
        <v/>
      </c>
      <c r="O57" s="208">
        <f>원자료_분기실측!O41</f>
        <v/>
      </c>
      <c r="P57" s="208">
        <f>원자료_분기실측!P41</f>
        <v/>
      </c>
      <c r="Q57" s="208">
        <f>원자료_분기실측!Q41</f>
        <v/>
      </c>
      <c r="R57" s="208">
        <f>원자료_분기실측!R41</f>
        <v/>
      </c>
      <c r="S57" s="208">
        <f>원자료_분기실측!S41</f>
        <v/>
      </c>
      <c r="T57" s="208">
        <f>원자료_분기실측!T41</f>
        <v/>
      </c>
      <c r="U57" s="208">
        <f>원자료_분기실측!U41</f>
        <v/>
      </c>
      <c r="V57" s="208">
        <f>원자료_분기실측!V41</f>
        <v/>
      </c>
      <c r="W57" s="208">
        <f>원자료_분기실측!W41</f>
        <v/>
      </c>
      <c r="X57" s="208">
        <f>원자료_분기실측!X41</f>
        <v/>
      </c>
      <c r="Y57" s="208">
        <f>원자료_분기실측!Y41</f>
        <v/>
      </c>
      <c r="Z57" s="208">
        <f>원자료_분기실측!Z41</f>
        <v/>
      </c>
      <c r="AA57" s="208">
        <f>원자료_분기실측!AA41</f>
        <v/>
      </c>
      <c r="AB57" s="247">
        <f>SUM(AB47:AB50)</f>
        <v/>
      </c>
      <c r="AC57" s="247">
        <f>SUM(AC47:AC50)</f>
        <v/>
      </c>
      <c r="AD57" s="247">
        <f>SUM(AD47:AD50)</f>
        <v/>
      </c>
      <c r="AE57" s="247">
        <f>SUM(AE47:AE50)</f>
        <v/>
      </c>
      <c r="AF57" s="247">
        <f>SUM(AF47:AF50)</f>
        <v/>
      </c>
      <c r="AG57" s="247">
        <f>SUM(AG47:AG50)</f>
        <v/>
      </c>
      <c r="AH57" s="247">
        <f>SUM(AH47:AH50)</f>
        <v/>
      </c>
      <c r="AI57" s="247">
        <f>SUM(AI47:AI50)</f>
        <v/>
      </c>
      <c r="AJ57" s="247">
        <f>SUM(AJ47:AJ50)</f>
        <v/>
      </c>
      <c r="AK57" s="247">
        <f>SUM(AK47:AK50)</f>
        <v/>
      </c>
      <c r="AL57" s="247">
        <f>SUM(AL47:AL50)</f>
        <v/>
      </c>
      <c r="AM57" s="247">
        <f>SUM(AM47:AM50)</f>
        <v/>
      </c>
      <c r="AN57" s="247">
        <f>SUM(AN47:AN50)</f>
        <v/>
      </c>
      <c r="AO57" s="247">
        <f>SUM(AO47:AO50)</f>
        <v/>
      </c>
      <c r="AP57" s="247">
        <f>SUM(AP47:AP50)</f>
        <v/>
      </c>
      <c r="AQ57" s="247">
        <f>SUM(AQ47:AQ50)</f>
        <v/>
      </c>
      <c r="AR57" s="247">
        <f>SUM(AR47:AR50)</f>
        <v/>
      </c>
      <c r="AS57" s="247">
        <f>SUM(AS47:AS50)</f>
        <v/>
      </c>
      <c r="AT57" s="247">
        <f>SUM(AT47:AT50)</f>
        <v/>
      </c>
    </row>
    <row r="58"/>
    <row r="59">
      <c r="A59" s="335" t="inlineStr">
        <is>
          <t>■ FY 분기 재구성 ▶ Ramosetron 전체시장수량</t>
        </is>
      </c>
    </row>
    <row r="60">
      <c r="B60" s="111" t="inlineStr">
        <is>
          <t>FY2020Q1</t>
        </is>
      </c>
      <c r="C60" s="111" t="inlineStr">
        <is>
          <t>FY2020Q2</t>
        </is>
      </c>
      <c r="D60" s="111" t="inlineStr">
        <is>
          <t>FY2020Q3</t>
        </is>
      </c>
      <c r="E60" s="111" t="inlineStr">
        <is>
          <t>FY2020Q4</t>
        </is>
      </c>
      <c r="F60" s="111" t="inlineStr">
        <is>
          <t>FY2021Q1</t>
        </is>
      </c>
      <c r="G60" s="111" t="inlineStr">
        <is>
          <t>FY2021Q2</t>
        </is>
      </c>
      <c r="H60" s="111" t="inlineStr">
        <is>
          <t>FY2021Q3</t>
        </is>
      </c>
      <c r="I60" s="111" t="inlineStr">
        <is>
          <t>FY2021Q4</t>
        </is>
      </c>
      <c r="J60" s="111" t="inlineStr">
        <is>
          <t>FY2022Q1</t>
        </is>
      </c>
      <c r="K60" s="111" t="inlineStr">
        <is>
          <t>FY2022Q2</t>
        </is>
      </c>
      <c r="L60" s="111" t="inlineStr">
        <is>
          <t>FY2022Q3</t>
        </is>
      </c>
      <c r="M60" s="111" t="inlineStr">
        <is>
          <t>FY2022Q4</t>
        </is>
      </c>
      <c r="N60" s="111" t="inlineStr">
        <is>
          <t>FY2023Q1</t>
        </is>
      </c>
      <c r="O60" s="111" t="inlineStr">
        <is>
          <t>FY2023Q2</t>
        </is>
      </c>
      <c r="P60" s="111" t="inlineStr">
        <is>
          <t>FY2023Q3</t>
        </is>
      </c>
      <c r="Q60" s="111" t="inlineStr">
        <is>
          <t>FY2023Q4</t>
        </is>
      </c>
      <c r="R60" s="111" t="inlineStr">
        <is>
          <t>FY2024Q1</t>
        </is>
      </c>
      <c r="S60" s="111" t="inlineStr">
        <is>
          <t>FY2024Q2</t>
        </is>
      </c>
      <c r="T60" s="111" t="inlineStr">
        <is>
          <t>FY2024Q3</t>
        </is>
      </c>
      <c r="U60" s="111" t="inlineStr">
        <is>
          <t>FY2024Q4</t>
        </is>
      </c>
      <c r="V60" s="111" t="inlineStr">
        <is>
          <t>FY2025Q1</t>
        </is>
      </c>
      <c r="W60" s="111" t="inlineStr">
        <is>
          <t>FY2025Q2</t>
        </is>
      </c>
      <c r="X60" s="111" t="inlineStr">
        <is>
          <t>FY2025Q3</t>
        </is>
      </c>
      <c r="Y60" s="111" t="inlineStr">
        <is>
          <t>FY2025Q4</t>
        </is>
      </c>
      <c r="Z60" s="111" t="inlineStr">
        <is>
          <t>FY2026Q1</t>
        </is>
      </c>
      <c r="AA60" s="111" t="inlineStr">
        <is>
          <t>FY2026Q2</t>
        </is>
      </c>
      <c r="AB60" s="111" t="inlineStr">
        <is>
          <t>FY2026Q3</t>
        </is>
      </c>
      <c r="AC60" s="111" t="inlineStr">
        <is>
          <t>FY2026Q4</t>
        </is>
      </c>
      <c r="AD60" s="111" t="inlineStr">
        <is>
          <t>FY2027Q1</t>
        </is>
      </c>
      <c r="AE60" s="111" t="inlineStr">
        <is>
          <t>FY2027Q2</t>
        </is>
      </c>
      <c r="AF60" s="111" t="inlineStr">
        <is>
          <t>FY2027Q3</t>
        </is>
      </c>
      <c r="AG60" s="111" t="inlineStr">
        <is>
          <t>FY2027Q4</t>
        </is>
      </c>
      <c r="AH60" s="111" t="inlineStr">
        <is>
          <t>FY2028Q1</t>
        </is>
      </c>
      <c r="AI60" s="111" t="inlineStr">
        <is>
          <t>FY2028Q2</t>
        </is>
      </c>
      <c r="AJ60" s="111" t="inlineStr">
        <is>
          <t>FY2028Q3</t>
        </is>
      </c>
      <c r="AK60" s="111" t="inlineStr">
        <is>
          <t>FY2028Q4</t>
        </is>
      </c>
      <c r="AL60" s="111" t="inlineStr">
        <is>
          <t>FY2029Q1</t>
        </is>
      </c>
      <c r="AM60" s="111" t="inlineStr">
        <is>
          <t>FY2029Q2</t>
        </is>
      </c>
      <c r="AN60" s="111" t="inlineStr">
        <is>
          <t>FY2029Q3</t>
        </is>
      </c>
      <c r="AO60" s="111" t="inlineStr">
        <is>
          <t>FY2029Q4</t>
        </is>
      </c>
      <c r="AP60" s="111" t="inlineStr">
        <is>
          <t>FY2030Q1</t>
        </is>
      </c>
      <c r="AQ60" s="111" t="inlineStr">
        <is>
          <t>FY2030Q2</t>
        </is>
      </c>
      <c r="AR60" s="111" t="inlineStr">
        <is>
          <t>FY2030Q3</t>
        </is>
      </c>
      <c r="AS60" s="111" t="inlineStr">
        <is>
          <t>FY2030Q4</t>
        </is>
      </c>
      <c r="AV60" s="111" t="n"/>
      <c r="AW60" s="111" t="n"/>
      <c r="AX60" s="111" t="n"/>
      <c r="AY60" s="111" t="n"/>
      <c r="AZ60" s="111" t="n"/>
      <c r="BA60" s="111" t="n"/>
      <c r="BB60" s="111" t="n"/>
      <c r="BC60" s="111" t="n"/>
      <c r="BD60" s="111" t="n"/>
      <c r="BE60" s="111" t="n"/>
      <c r="BF60" s="111" t="n"/>
    </row>
    <row r="61">
      <c r="B61" s="208">
        <f>C57</f>
        <v/>
      </c>
      <c r="C61" s="208">
        <f>D57</f>
        <v/>
      </c>
      <c r="D61" s="208">
        <f>E57</f>
        <v/>
      </c>
      <c r="E61" s="208">
        <f>F57</f>
        <v/>
      </c>
      <c r="F61" s="208">
        <f>G57</f>
        <v/>
      </c>
      <c r="G61" s="208">
        <f>H57</f>
        <v/>
      </c>
      <c r="H61" s="208">
        <f>I57</f>
        <v/>
      </c>
      <c r="I61" s="208">
        <f>J57</f>
        <v/>
      </c>
      <c r="J61" s="208">
        <f>K57</f>
        <v/>
      </c>
      <c r="K61" s="208">
        <f>L57</f>
        <v/>
      </c>
      <c r="L61" s="208">
        <f>M57</f>
        <v/>
      </c>
      <c r="M61" s="208">
        <f>N57</f>
        <v/>
      </c>
      <c r="N61" s="208">
        <f>O57</f>
        <v/>
      </c>
      <c r="O61" s="208">
        <f>P57</f>
        <v/>
      </c>
      <c r="P61" s="208">
        <f>Q57</f>
        <v/>
      </c>
      <c r="Q61" s="208">
        <f>R57</f>
        <v/>
      </c>
      <c r="R61" s="208">
        <f>S57</f>
        <v/>
      </c>
      <c r="S61" s="208">
        <f>T57</f>
        <v/>
      </c>
      <c r="T61" s="208">
        <f>U57</f>
        <v/>
      </c>
      <c r="U61" s="208">
        <f>V57</f>
        <v/>
      </c>
      <c r="V61" s="208">
        <f>W57</f>
        <v/>
      </c>
      <c r="W61" s="208">
        <f>X57</f>
        <v/>
      </c>
      <c r="X61" s="208">
        <f>Y57</f>
        <v/>
      </c>
      <c r="Y61" s="208">
        <f>Z57</f>
        <v/>
      </c>
      <c r="Z61" s="208">
        <f>AA57</f>
        <v/>
      </c>
      <c r="AA61" s="378">
        <f>AB57</f>
        <v/>
      </c>
      <c r="AB61" s="378">
        <f>AC57</f>
        <v/>
      </c>
      <c r="AC61" s="378">
        <f>AD57</f>
        <v/>
      </c>
      <c r="AD61" s="378">
        <f>AE57</f>
        <v/>
      </c>
      <c r="AE61" s="378">
        <f>AF57</f>
        <v/>
      </c>
      <c r="AF61" s="378">
        <f>AG57</f>
        <v/>
      </c>
      <c r="AG61" s="378">
        <f>AH57</f>
        <v/>
      </c>
      <c r="AH61" s="378">
        <f>AI57</f>
        <v/>
      </c>
      <c r="AI61" s="378">
        <f>AJ57</f>
        <v/>
      </c>
      <c r="AJ61" s="378">
        <f>AK57</f>
        <v/>
      </c>
      <c r="AK61" s="378">
        <f>AL57</f>
        <v/>
      </c>
      <c r="AL61" s="378">
        <f>AM57</f>
        <v/>
      </c>
      <c r="AM61" s="378">
        <f>AN57</f>
        <v/>
      </c>
      <c r="AN61" s="378">
        <f>AO57</f>
        <v/>
      </c>
      <c r="AO61" s="378">
        <f>AP57</f>
        <v/>
      </c>
      <c r="AP61" s="378">
        <f>AQ57</f>
        <v/>
      </c>
      <c r="AQ61" s="378">
        <f>AR57</f>
        <v/>
      </c>
      <c r="AR61" s="378">
        <f>AS57</f>
        <v/>
      </c>
      <c r="AS61" s="378">
        <f>AT57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23" sqref="A23"/>
      <selection pane="bottomRight" activeCell="A1" sqref="A1:XFD1"/>
    </sheetView>
  </sheetViews>
  <sheetFormatPr baseColWidth="8" defaultColWidth="8.5" defaultRowHeight="17.6"/>
  <cols>
    <col width="30.7109375" customWidth="1" style="217" min="1" max="1"/>
    <col width="13.0703125" bestFit="1" customWidth="1" style="217" min="2" max="2"/>
    <col width="22.92578125" bestFit="1" customWidth="1" style="217" min="3" max="3"/>
    <col width="22.2109375" bestFit="1" customWidth="1" style="217" min="4" max="4"/>
    <col width="11.42578125" bestFit="1" customWidth="1" style="217" min="5" max="6"/>
    <col width="11.42578125" customWidth="1" style="217" min="7" max="14"/>
    <col width="9.7109375" bestFit="1" customWidth="1" style="217" min="15" max="15"/>
    <col width="9.7109375" bestFit="1" customWidth="1" style="217" min="16" max="16"/>
    <col width="9.7109375" bestFit="1" customWidth="1" style="217" min="17" max="46"/>
  </cols>
  <sheetData>
    <row r="1"/>
    <row r="2" ht="20.25" customHeight="1" s="217">
      <c r="A2" s="191" t="inlineStr">
        <is>
          <t>NSA 수량 산출 : IQVIA 데이터 기반 예측 (로짓 변환 회귀)</t>
        </is>
      </c>
    </row>
    <row r="3" ht="6" customHeight="1" s="217">
      <c r="A3" s="71" t="inlineStr">
        <is>
          <t xml:space="preserve"> </t>
        </is>
      </c>
    </row>
    <row r="4" ht="16.5" customHeight="1" s="217">
      <c r="B4" s="37" t="inlineStr">
        <is>
          <t>◀ 실측 (UBIST MS, FY18~25)</t>
        </is>
      </c>
      <c r="J4" s="37" t="inlineStr">
        <is>
          <t>예측 ▶</t>
        </is>
      </c>
    </row>
    <row r="5" ht="16.5" customHeight="1" s="217">
      <c r="A5" s="38" t="inlineStr">
        <is>
          <t>구분  /  회계연도 ▶</t>
        </is>
      </c>
      <c r="B5" s="72" t="inlineStr">
        <is>
          <t>FY2018</t>
        </is>
      </c>
      <c r="C5" s="72" t="inlineStr">
        <is>
          <t>FY2019</t>
        </is>
      </c>
      <c r="D5" s="72" t="inlineStr">
        <is>
          <t>FY2020</t>
        </is>
      </c>
      <c r="E5" s="72" t="inlineStr">
        <is>
          <t>FY2021</t>
        </is>
      </c>
      <c r="F5" s="72" t="inlineStr">
        <is>
          <t>FY2022</t>
        </is>
      </c>
      <c r="G5" s="72" t="inlineStr">
        <is>
          <t>FY2023</t>
        </is>
      </c>
      <c r="H5" s="72" t="inlineStr">
        <is>
          <t>FY2024</t>
        </is>
      </c>
      <c r="I5" s="72" t="inlineStr">
        <is>
          <t>FY2025</t>
        </is>
      </c>
      <c r="J5" s="73" t="inlineStr">
        <is>
          <t>FY2026</t>
        </is>
      </c>
      <c r="K5" s="73" t="inlineStr">
        <is>
          <t>FY2027</t>
        </is>
      </c>
      <c r="L5" s="73" t="inlineStr">
        <is>
          <t>FY2028</t>
        </is>
      </c>
      <c r="M5" s="73" t="inlineStr">
        <is>
          <t>FY2029</t>
        </is>
      </c>
      <c r="N5" s="73" t="inlineStr">
        <is>
          <t>FY2030</t>
        </is>
      </c>
      <c r="P5" s="219" t="inlineStr">
        <is>
          <t>FY26 1분기</t>
        </is>
      </c>
    </row>
    <row r="6" ht="16.5" customHeight="1" s="217">
      <c r="A6" s="41" t="inlineStr">
        <is>
          <t>■ A. Ramosetron 시장 수량  [근거_Ramosetron 시장 수량]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6.5" customHeight="1" s="217">
      <c r="A7" s="219" t="inlineStr">
        <is>
          <t xml:space="preserve">  Ramosetron 주사제 전체 수량 (시장)</t>
        </is>
      </c>
      <c r="B7" s="45" t="n"/>
      <c r="C7" s="45" t="n"/>
      <c r="D7" s="45">
        <f>'근거_Ramosetron 시장 수량'!L33</f>
        <v/>
      </c>
      <c r="E7" s="45">
        <f>'근거_Ramosetron 시장 수량'!M33</f>
        <v/>
      </c>
      <c r="F7" s="45">
        <f>'근거_Ramosetron 시장 수량'!N33</f>
        <v/>
      </c>
      <c r="G7" s="45">
        <f>'근거_Ramosetron 시장 수량'!O33</f>
        <v/>
      </c>
      <c r="H7" s="45">
        <f>'근거_Ramosetron 시장 수량'!P33</f>
        <v/>
      </c>
      <c r="I7" s="45">
        <f>'근거_Ramosetron 시장 수량'!Q33</f>
        <v/>
      </c>
      <c r="J7" s="45">
        <f>'근거_Ramosetron 시장 수량'!R33</f>
        <v/>
      </c>
      <c r="K7" s="45">
        <f>'근거_Ramosetron 시장 수량'!S33</f>
        <v/>
      </c>
      <c r="L7" s="45">
        <f>'근거_Ramosetron 시장 수량'!T33</f>
        <v/>
      </c>
      <c r="M7" s="45">
        <f>'근거_Ramosetron 시장 수량'!U33</f>
        <v/>
      </c>
      <c r="N7" s="45">
        <f>'근거_Ramosetron 시장 수량'!V33</f>
        <v/>
      </c>
    </row>
    <row r="8"/>
    <row r="9" ht="16.5" customHeight="1" s="217">
      <c r="A9" s="41" t="inlineStr">
        <is>
          <t>■ B. 종별 Ramosetron 수량  :                    [근거_Ramosetron 시장 수량]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</row>
    <row r="10" ht="16.5" customHeight="1" s="217">
      <c r="A10" s="64" t="inlineStr">
        <is>
          <t>상급종합병원</t>
        </is>
      </c>
      <c r="B10" s="253" t="n"/>
      <c r="C10" s="253" t="n"/>
      <c r="D10" s="254">
        <f>'근거_Ramosetron 시장 수량'!L29</f>
        <v/>
      </c>
      <c r="E10" s="254">
        <f>'근거_Ramosetron 시장 수량'!M29</f>
        <v/>
      </c>
      <c r="F10" s="254">
        <f>'근거_Ramosetron 시장 수량'!N29</f>
        <v/>
      </c>
      <c r="G10" s="254">
        <f>'근거_Ramosetron 시장 수량'!O29</f>
        <v/>
      </c>
      <c r="H10" s="254">
        <f>'근거_Ramosetron 시장 수량'!P29</f>
        <v/>
      </c>
      <c r="I10" s="254">
        <f>'근거_Ramosetron 시장 수량'!Q29</f>
        <v/>
      </c>
      <c r="J10" s="254">
        <f>'근거_Ramosetron 시장 수량'!R29</f>
        <v/>
      </c>
      <c r="K10" s="254">
        <f>'근거_Ramosetron 시장 수량'!S29</f>
        <v/>
      </c>
      <c r="L10" s="254">
        <f>'근거_Ramosetron 시장 수량'!T29</f>
        <v/>
      </c>
      <c r="M10" s="254">
        <f>'근거_Ramosetron 시장 수량'!U29</f>
        <v/>
      </c>
      <c r="N10" s="254">
        <f>'근거_Ramosetron 시장 수량'!V29</f>
        <v/>
      </c>
      <c r="P10" s="255" t="n"/>
      <c r="Q10" s="255" t="n"/>
    </row>
    <row r="11" ht="16.5" customHeight="1" s="217">
      <c r="A11" s="64" t="inlineStr">
        <is>
          <t>종합병원</t>
        </is>
      </c>
      <c r="B11" s="253" t="n"/>
      <c r="C11" s="253" t="n"/>
      <c r="D11" s="254">
        <f>'근거_Ramosetron 시장 수량'!L30</f>
        <v/>
      </c>
      <c r="E11" s="254">
        <f>'근거_Ramosetron 시장 수량'!M30</f>
        <v/>
      </c>
      <c r="F11" s="254">
        <f>'근거_Ramosetron 시장 수량'!N30</f>
        <v/>
      </c>
      <c r="G11" s="254">
        <f>'근거_Ramosetron 시장 수량'!O30</f>
        <v/>
      </c>
      <c r="H11" s="254">
        <f>'근거_Ramosetron 시장 수량'!P30</f>
        <v/>
      </c>
      <c r="I11" s="254">
        <f>'근거_Ramosetron 시장 수량'!Q30</f>
        <v/>
      </c>
      <c r="J11" s="254">
        <f>'근거_Ramosetron 시장 수량'!R30</f>
        <v/>
      </c>
      <c r="K11" s="254">
        <f>'근거_Ramosetron 시장 수량'!S30</f>
        <v/>
      </c>
      <c r="L11" s="254">
        <f>'근거_Ramosetron 시장 수량'!T30</f>
        <v/>
      </c>
      <c r="M11" s="254">
        <f>'근거_Ramosetron 시장 수량'!U30</f>
        <v/>
      </c>
      <c r="N11" s="254">
        <f>'근거_Ramosetron 시장 수량'!V30</f>
        <v/>
      </c>
      <c r="P11" s="255" t="n"/>
      <c r="Q11" s="255" t="n"/>
    </row>
    <row r="12" ht="16.5" customHeight="1" s="217">
      <c r="A12" s="64" t="inlineStr">
        <is>
          <t>병원</t>
        </is>
      </c>
      <c r="B12" s="253" t="n"/>
      <c r="C12" s="253" t="n"/>
      <c r="D12" s="254">
        <f>'근거_Ramosetron 시장 수량'!L31</f>
        <v/>
      </c>
      <c r="E12" s="254">
        <f>'근거_Ramosetron 시장 수량'!M31</f>
        <v/>
      </c>
      <c r="F12" s="254">
        <f>'근거_Ramosetron 시장 수량'!N31</f>
        <v/>
      </c>
      <c r="G12" s="254">
        <f>'근거_Ramosetron 시장 수량'!O31</f>
        <v/>
      </c>
      <c r="H12" s="254">
        <f>'근거_Ramosetron 시장 수량'!P31</f>
        <v/>
      </c>
      <c r="I12" s="254">
        <f>'근거_Ramosetron 시장 수량'!Q31</f>
        <v/>
      </c>
      <c r="J12" s="254">
        <f>'근거_Ramosetron 시장 수량'!R31</f>
        <v/>
      </c>
      <c r="K12" s="254">
        <f>'근거_Ramosetron 시장 수량'!S31</f>
        <v/>
      </c>
      <c r="L12" s="254">
        <f>'근거_Ramosetron 시장 수량'!T31</f>
        <v/>
      </c>
      <c r="M12" s="254">
        <f>'근거_Ramosetron 시장 수량'!U31</f>
        <v/>
      </c>
      <c r="N12" s="254">
        <f>'근거_Ramosetron 시장 수량'!V31</f>
        <v/>
      </c>
      <c r="P12" s="255" t="n"/>
      <c r="Q12" s="255" t="n"/>
    </row>
    <row r="13" ht="16.5" customHeight="1" s="217">
      <c r="A13" s="64" t="inlineStr">
        <is>
          <t>의원</t>
        </is>
      </c>
      <c r="B13" s="253" t="n"/>
      <c r="C13" s="253" t="n"/>
      <c r="D13" s="254">
        <f>'근거_Ramosetron 시장 수량'!L32</f>
        <v/>
      </c>
      <c r="E13" s="254">
        <f>'근거_Ramosetron 시장 수량'!M32</f>
        <v/>
      </c>
      <c r="F13" s="254">
        <f>'근거_Ramosetron 시장 수량'!N32</f>
        <v/>
      </c>
      <c r="G13" s="254">
        <f>'근거_Ramosetron 시장 수량'!O32</f>
        <v/>
      </c>
      <c r="H13" s="254">
        <f>'근거_Ramosetron 시장 수량'!P32</f>
        <v/>
      </c>
      <c r="I13" s="254">
        <f>'근거_Ramosetron 시장 수량'!Q32</f>
        <v/>
      </c>
      <c r="J13" s="254">
        <f>'근거_Ramosetron 시장 수량'!R32</f>
        <v/>
      </c>
      <c r="K13" s="254">
        <f>'근거_Ramosetron 시장 수량'!S32</f>
        <v/>
      </c>
      <c r="L13" s="254">
        <f>'근거_Ramosetron 시장 수량'!T32</f>
        <v/>
      </c>
      <c r="M13" s="254">
        <f>'근거_Ramosetron 시장 수량'!U32</f>
        <v/>
      </c>
      <c r="N13" s="254">
        <f>'근거_Ramosetron 시장 수량'!V32</f>
        <v/>
      </c>
      <c r="P13" s="255" t="n"/>
      <c r="Q13" s="255" t="n"/>
    </row>
    <row r="14"/>
    <row r="15" ht="16.5" customHeight="1" s="217">
      <c r="A15" s="41" t="inlineStr">
        <is>
          <t>■ E. 종별 NSA MS  :    [ NSA 수량 (C) x NSA 종별 비율 (D) / 종별 Ramosetron 수량 (B) ]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</row>
    <row r="16" ht="16.5" customHeight="1" s="217">
      <c r="A16" s="64" t="inlineStr">
        <is>
          <t>상급종합병원</t>
        </is>
      </c>
      <c r="B16" s="256" t="n"/>
      <c r="C16" s="256" t="n"/>
      <c r="D16" s="256" t="n"/>
      <c r="E16" s="253">
        <f>(G49+H49+I49+J49)/E10</f>
        <v/>
      </c>
      <c r="F16" s="253">
        <f>(K49+L49+M49+N49)/F10</f>
        <v/>
      </c>
      <c r="G16" s="253">
        <f>(O49+P49+Q49+R49)/G10</f>
        <v/>
      </c>
      <c r="H16" s="253">
        <f>(S49+T49+U49+V49)/H10</f>
        <v/>
      </c>
      <c r="I16" s="253">
        <f>(W49+X49+Y49+Z49)/I10</f>
        <v/>
      </c>
      <c r="J16" s="257">
        <f>(AA49+AB49+AC49+AD49)/J10</f>
        <v/>
      </c>
      <c r="K16" s="257">
        <f>(AE49+AF49+AG49+AH49)/K10</f>
        <v/>
      </c>
      <c r="L16" s="257">
        <f>(AI49+AJ49+AK49+AL49)/L10</f>
        <v/>
      </c>
      <c r="M16" s="257">
        <f>(AM49+AN49+AO49+AP49)/M10</f>
        <v/>
      </c>
      <c r="N16" s="257">
        <f>(AQ49+AR49+AS49+AT49)/N10</f>
        <v/>
      </c>
    </row>
    <row r="17" ht="16.5" customHeight="1" s="217">
      <c r="A17" s="64" t="inlineStr">
        <is>
          <t>종합병원</t>
        </is>
      </c>
      <c r="B17" s="256" t="n"/>
      <c r="C17" s="256" t="n"/>
      <c r="D17" s="256" t="n"/>
      <c r="E17" s="253">
        <f>(G50+H50+I50+J50)/E11</f>
        <v/>
      </c>
      <c r="F17" s="253">
        <f>(K50+L50+M50+N50)/F11</f>
        <v/>
      </c>
      <c r="G17" s="253">
        <f>(O50+P50+Q50+R50)/G11</f>
        <v/>
      </c>
      <c r="H17" s="253">
        <f>(S50+T50+U50+V50)/H11</f>
        <v/>
      </c>
      <c r="I17" s="253">
        <f>(W50+X50+Y50+Z50)/I11</f>
        <v/>
      </c>
      <c r="J17" s="257">
        <f>(AA50+AB50+AC50+AD50)/J11</f>
        <v/>
      </c>
      <c r="K17" s="257">
        <f>(AE50+AF50+AG50+AH50)/K11</f>
        <v/>
      </c>
      <c r="L17" s="257">
        <f>(AI50+AJ50+AK50+AL50)/L11</f>
        <v/>
      </c>
      <c r="M17" s="257">
        <f>(AM50+AN50+AO50+AP50)/M11</f>
        <v/>
      </c>
      <c r="N17" s="257">
        <f>(AQ50+AR50+AS50+AT50)/N11</f>
        <v/>
      </c>
    </row>
    <row r="18" ht="16.5" customHeight="1" s="217">
      <c r="A18" s="64" t="inlineStr">
        <is>
          <t>병원</t>
        </is>
      </c>
      <c r="B18" s="256" t="n"/>
      <c r="C18" s="256" t="n"/>
      <c r="D18" s="256" t="n"/>
      <c r="E18" s="253">
        <f>(G51+H51+I51+J51)/E12</f>
        <v/>
      </c>
      <c r="F18" s="253">
        <f>(K51+L51+M51+N51)/F12</f>
        <v/>
      </c>
      <c r="G18" s="253">
        <f>(O51+P51+Q51+R51)/G12</f>
        <v/>
      </c>
      <c r="H18" s="253">
        <f>(S51+T51+U51+V51)/H12</f>
        <v/>
      </c>
      <c r="I18" s="253">
        <f>(W51+X51+Y51+Z51)/I12</f>
        <v/>
      </c>
      <c r="J18" s="257">
        <f>(AA51+AB51+AC51+AD51)/J12</f>
        <v/>
      </c>
      <c r="K18" s="257">
        <f>(AE51+AF51+AG51+AH51)/K12</f>
        <v/>
      </c>
      <c r="L18" s="257">
        <f>(AI51+AJ51+AK51+AL51)/L12</f>
        <v/>
      </c>
      <c r="M18" s="257">
        <f>(AM51+AN51+AO51+AP51)/M12</f>
        <v/>
      </c>
      <c r="N18" s="257">
        <f>(AQ51+AR51+AS51+AT51)/N12</f>
        <v/>
      </c>
    </row>
    <row r="19" ht="16.5" customHeight="1" s="217">
      <c r="A19" s="64" t="inlineStr">
        <is>
          <t>의원</t>
        </is>
      </c>
      <c r="B19" s="256" t="n"/>
      <c r="C19" s="256" t="n"/>
      <c r="D19" s="256" t="n"/>
      <c r="E19" s="253">
        <f>(G52+H52+I52+J52)/E13</f>
        <v/>
      </c>
      <c r="F19" s="253">
        <f>(K52+L52+M52+N52)/F13</f>
        <v/>
      </c>
      <c r="G19" s="253">
        <f>(O52+P52+Q52+R52)/G13</f>
        <v/>
      </c>
      <c r="H19" s="253">
        <f>(S52+T52+U52+V52)/H13</f>
        <v/>
      </c>
      <c r="I19" s="253">
        <f>(W52+X52+Y52+Z52)/I13</f>
        <v/>
      </c>
      <c r="J19" s="257">
        <f>(AA52+AB52+AC52+AD52)/J13</f>
        <v/>
      </c>
      <c r="K19" s="257">
        <f>(AE52+AF52+AG52+AH52)/K13</f>
        <v/>
      </c>
      <c r="L19" s="257">
        <f>(AI52+AJ52+AK52+AL52)/L13</f>
        <v/>
      </c>
      <c r="M19" s="257">
        <f>(AM52+AN52+AO52+AP52)/M13</f>
        <v/>
      </c>
      <c r="N19" s="257">
        <f>(AQ52+AR52+AS52+AT52)/N13</f>
        <v/>
      </c>
    </row>
    <row r="20" ht="16.5" customHeight="1" s="217">
      <c r="A20" s="145" t="inlineStr">
        <is>
          <t>전체 MS</t>
        </is>
      </c>
      <c r="B20" s="256" t="n"/>
      <c r="C20" s="256" t="n"/>
      <c r="D20" s="256" t="n"/>
      <c r="E20" s="258">
        <f>E27/E7</f>
        <v/>
      </c>
      <c r="F20" s="258">
        <f>F27/F7</f>
        <v/>
      </c>
      <c r="G20" s="258">
        <f>G27/G7</f>
        <v/>
      </c>
      <c r="H20" s="258">
        <f>H27/H7</f>
        <v/>
      </c>
      <c r="I20" s="258">
        <f>I27/I7</f>
        <v/>
      </c>
      <c r="J20" s="259">
        <f>J27/J7</f>
        <v/>
      </c>
      <c r="K20" s="259">
        <f>K27/K7</f>
        <v/>
      </c>
      <c r="L20" s="259">
        <f>L27/L7</f>
        <v/>
      </c>
      <c r="M20" s="259">
        <f>M27/M7</f>
        <v/>
      </c>
      <c r="N20" s="259">
        <f>N27/N7</f>
        <v/>
      </c>
    </row>
    <row r="21" ht="16.5" customHeight="1" s="217">
      <c r="A21" s="64" t="n"/>
      <c r="B21" s="256" t="n"/>
      <c r="C21" s="256" t="n"/>
      <c r="D21" s="256" t="n"/>
      <c r="E21" s="253" t="n"/>
      <c r="F21" s="253" t="n"/>
      <c r="G21" s="253" t="n"/>
      <c r="H21" s="253" t="n"/>
      <c r="I21" s="253" t="n"/>
      <c r="J21" s="253" t="n"/>
      <c r="K21" s="253" t="n"/>
      <c r="L21" s="253" t="n"/>
      <c r="M21" s="253" t="n"/>
      <c r="N21" s="253" t="n"/>
    </row>
    <row r="22" ht="16.5" customHeight="1" s="217">
      <c r="A22" s="41" t="inlineStr">
        <is>
          <t>■ F. 종별 NSA 수량  :    [ 종별 Ramosetron 수량 (B) x 종별 NSA MS (E) ]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6.5" customHeight="1" s="217">
      <c r="A23" s="64" t="inlineStr">
        <is>
          <t>상급종합병원</t>
        </is>
      </c>
      <c r="B23" s="256" t="n"/>
      <c r="C23" s="256" t="n"/>
      <c r="D23" s="256" t="n"/>
      <c r="E23" s="256">
        <f>E10*E16</f>
        <v/>
      </c>
      <c r="F23" s="256">
        <f>F10*F16</f>
        <v/>
      </c>
      <c r="G23" s="256">
        <f>G10*G16</f>
        <v/>
      </c>
      <c r="H23" s="256">
        <f>H10*H16</f>
        <v/>
      </c>
      <c r="I23" s="256">
        <f>I10*I16</f>
        <v/>
      </c>
      <c r="J23" s="260">
        <f>J10*J16</f>
        <v/>
      </c>
      <c r="K23" s="260">
        <f>K10*K16</f>
        <v/>
      </c>
      <c r="L23" s="260">
        <f>L10*L16</f>
        <v/>
      </c>
      <c r="M23" s="260">
        <f>M10*M16</f>
        <v/>
      </c>
      <c r="N23" s="260">
        <f>N10*N16</f>
        <v/>
      </c>
    </row>
    <row r="24" ht="16.5" customHeight="1" s="217">
      <c r="A24" s="64" t="inlineStr">
        <is>
          <t>종합병원</t>
        </is>
      </c>
      <c r="B24" s="256" t="n"/>
      <c r="C24" s="256" t="n"/>
      <c r="D24" s="256" t="n"/>
      <c r="E24" s="256">
        <f>E11*E17</f>
        <v/>
      </c>
      <c r="F24" s="256">
        <f>F11*F17</f>
        <v/>
      </c>
      <c r="G24" s="256">
        <f>G11*G17</f>
        <v/>
      </c>
      <c r="H24" s="256">
        <f>H11*H17</f>
        <v/>
      </c>
      <c r="I24" s="256">
        <f>I11*I17</f>
        <v/>
      </c>
      <c r="J24" s="260">
        <f>J11*J17</f>
        <v/>
      </c>
      <c r="K24" s="260">
        <f>K11*K17</f>
        <v/>
      </c>
      <c r="L24" s="260">
        <f>L11*L17</f>
        <v/>
      </c>
      <c r="M24" s="260">
        <f>M11*M17</f>
        <v/>
      </c>
      <c r="N24" s="260">
        <f>N11*N17</f>
        <v/>
      </c>
    </row>
    <row r="25" ht="16.5" customHeight="1" s="217">
      <c r="A25" s="64" t="inlineStr">
        <is>
          <t>병원</t>
        </is>
      </c>
      <c r="B25" s="256" t="n"/>
      <c r="C25" s="256" t="n"/>
      <c r="D25" s="256" t="n"/>
      <c r="E25" s="256">
        <f>E12*E18</f>
        <v/>
      </c>
      <c r="F25" s="256">
        <f>F12*F18</f>
        <v/>
      </c>
      <c r="G25" s="256">
        <f>G12*G18</f>
        <v/>
      </c>
      <c r="H25" s="256">
        <f>H12*H18</f>
        <v/>
      </c>
      <c r="I25" s="256">
        <f>I12*I18</f>
        <v/>
      </c>
      <c r="J25" s="260">
        <f>J12*J18</f>
        <v/>
      </c>
      <c r="K25" s="260">
        <f>K12*K18</f>
        <v/>
      </c>
      <c r="L25" s="260">
        <f>L12*L18</f>
        <v/>
      </c>
      <c r="M25" s="260">
        <f>M12*M18</f>
        <v/>
      </c>
      <c r="N25" s="260">
        <f>N12*N18</f>
        <v/>
      </c>
    </row>
    <row r="26" ht="16.5" customHeight="1" s="217">
      <c r="A26" s="64" t="inlineStr">
        <is>
          <t>의원</t>
        </is>
      </c>
      <c r="B26" s="256" t="n"/>
      <c r="C26" s="256" t="n"/>
      <c r="D26" s="256" t="n"/>
      <c r="E26" s="256">
        <f>E13*E19</f>
        <v/>
      </c>
      <c r="F26" s="256">
        <f>F13*F19</f>
        <v/>
      </c>
      <c r="G26" s="256">
        <f>G13*G19</f>
        <v/>
      </c>
      <c r="H26" s="256">
        <f>H13*H19</f>
        <v/>
      </c>
      <c r="I26" s="256">
        <f>I13*I19</f>
        <v/>
      </c>
      <c r="J26" s="260">
        <f>J13*J19</f>
        <v/>
      </c>
      <c r="K26" s="260">
        <f>K13*K19</f>
        <v/>
      </c>
      <c r="L26" s="260">
        <f>L13*L19</f>
        <v/>
      </c>
      <c r="M26" s="260">
        <f>M13*M19</f>
        <v/>
      </c>
      <c r="N26" s="260">
        <f>N13*N19</f>
        <v/>
      </c>
    </row>
    <row r="27" ht="16.5" customHeight="1" s="217">
      <c r="A27" s="67" t="inlineStr">
        <is>
          <t xml:space="preserve">  ▶ NSA 수량 (IQVIA 기준) </t>
        </is>
      </c>
      <c r="B27" s="51" t="n"/>
      <c r="C27" s="51" t="n"/>
      <c r="D27" s="261" t="n">
        <v>1601660</v>
      </c>
      <c r="E27" s="261">
        <f>SUM(E23:E26)</f>
        <v/>
      </c>
      <c r="F27" s="261">
        <f>SUM(F23:F26)</f>
        <v/>
      </c>
      <c r="G27" s="261">
        <f>SUM(G23:G26)</f>
        <v/>
      </c>
      <c r="H27" s="261">
        <f>SUM(H23:H26)</f>
        <v/>
      </c>
      <c r="I27" s="261">
        <f>SUM(I23:I26)</f>
        <v/>
      </c>
      <c r="J27" s="261">
        <f>SUM(J23:J26)</f>
        <v/>
      </c>
      <c r="K27" s="261">
        <f>SUM(K23:K26)</f>
        <v/>
      </c>
      <c r="L27" s="261">
        <f>SUM(L23:L26)</f>
        <v/>
      </c>
      <c r="M27" s="261">
        <f>SUM(M23:M26)</f>
        <v/>
      </c>
      <c r="N27" s="261">
        <f>SUM(N23:N26)</f>
        <v/>
      </c>
      <c r="P27" s="229" t="n"/>
      <c r="Q27" s="255" t="n"/>
    </row>
    <row r="28">
      <c r="E28" s="262">
        <f>E27/E7</f>
        <v/>
      </c>
      <c r="F28" s="262">
        <f>F27/F7</f>
        <v/>
      </c>
      <c r="G28" s="262">
        <f>G27/G7</f>
        <v/>
      </c>
      <c r="H28" s="262">
        <f>H27/H7</f>
        <v/>
      </c>
      <c r="I28" s="262">
        <f>I27/I7</f>
        <v/>
      </c>
      <c r="J28" s="262">
        <f>J27/J7</f>
        <v/>
      </c>
      <c r="K28" s="262">
        <f>K27/K7</f>
        <v/>
      </c>
      <c r="L28" s="262">
        <f>L27/L7</f>
        <v/>
      </c>
      <c r="M28" s="262">
        <f>M27/M7</f>
        <v/>
      </c>
      <c r="N28" s="262">
        <f>N27/N7</f>
        <v/>
      </c>
    </row>
    <row r="29" ht="16.5" customHeight="1" s="217">
      <c r="A29" s="78" t="n"/>
    </row>
    <row r="30">
      <c r="A30" s="160" t="n"/>
      <c r="B30" s="160" t="inlineStr">
        <is>
          <t>[참고] 종별 NSA MS 예측 파라미터 (2026Q2~2031Q1 적용)</t>
        </is>
      </c>
    </row>
    <row r="31">
      <c r="B31" s="123" t="inlineStr">
        <is>
          <t>유형</t>
        </is>
      </c>
      <c r="C31" s="123" t="inlineStr">
        <is>
          <t>예측방식</t>
        </is>
      </c>
      <c r="D31" s="123" t="inlineStr">
        <is>
          <t>분기당 기울기</t>
        </is>
      </c>
      <c r="E31" s="123" t="inlineStr">
        <is>
          <t>상한/하한</t>
        </is>
      </c>
      <c r="F31" s="123" t="inlineStr">
        <is>
          <t>백테스트 MAPE</t>
        </is>
      </c>
    </row>
    <row r="32">
      <c r="B32" s="161" t="inlineStr">
        <is>
          <t>상급종합병원</t>
        </is>
      </c>
      <c r="C32" s="162" t="inlineStr">
        <is>
          <t>전체기간선형(레벨보정)</t>
        </is>
      </c>
      <c r="D32" s="163">
        <f>SLOPE($F$43:$Z$43,$F$40:$Z$40)</f>
        <v/>
      </c>
      <c r="E32" s="163" t="n">
        <v>0.55</v>
      </c>
      <c r="F32" s="184" t="inlineStr">
        <is>
          <t>2.92%</t>
        </is>
      </c>
    </row>
    <row r="33">
      <c r="B33" s="161" t="inlineStr">
        <is>
          <t>종합병원</t>
        </is>
      </c>
      <c r="C33" s="163" t="inlineStr">
        <is>
          <t>S-curve(로짓변환+저점앵커)</t>
        </is>
      </c>
      <c r="D33" s="163">
        <f>SLOPE($U$54:$Z$54,$U$40:$Z$40)</f>
        <v/>
      </c>
      <c r="E33" s="163" t="n">
        <v>0.5600000000000001</v>
      </c>
      <c r="F33" s="184" t="inlineStr">
        <is>
          <t>3.83%</t>
        </is>
      </c>
    </row>
    <row r="34">
      <c r="B34" s="162" t="inlineStr">
        <is>
          <t>병원</t>
        </is>
      </c>
      <c r="C34" s="162" t="inlineStr">
        <is>
          <t>롤링4분기평균(갱신)</t>
        </is>
      </c>
      <c r="D34" s="163" t="inlineStr">
        <is>
          <t>-</t>
        </is>
      </c>
      <c r="E34" s="163" t="inlineStr">
        <is>
          <t>4분기 이동평균</t>
        </is>
      </c>
      <c r="F34" s="184" t="inlineStr">
        <is>
          <t>8.89%</t>
        </is>
      </c>
    </row>
    <row r="35">
      <c r="B35" s="161" t="inlineStr">
        <is>
          <t>의원</t>
        </is>
      </c>
      <c r="C35" s="163" t="inlineStr">
        <is>
          <t>EWMA(α=0.3)</t>
        </is>
      </c>
      <c r="D35" s="163" t="inlineStr">
        <is>
          <t>-</t>
        </is>
      </c>
      <c r="E35" s="163" t="inlineStr">
        <is>
          <t>EWMA 마지막값 flat</t>
        </is>
      </c>
      <c r="F35" s="184" t="inlineStr">
        <is>
          <t>10.30%</t>
        </is>
      </c>
    </row>
    <row r="36">
      <c r="B36" s="164" t="inlineStr">
        <is>
          <t>※ 채택근거: 2020Q1~2026Q1 실측 walk-forward 백테스트. 상급종합·종합병원은 레벨보정 방식으로 통일(실측→예측 연속성 보장, 갱신 시 급락 리스크 방지)</t>
        </is>
      </c>
    </row>
    <row r="37">
      <c r="B37" s="164" t="n"/>
    </row>
    <row r="38" ht="12" customFormat="1" customHeight="1" s="80">
      <c r="A38" s="79" t="n"/>
    </row>
    <row r="39">
      <c r="A39" s="219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219" t="inlineStr">
        <is>
          <t>분기 순번(추세계산용)</t>
        </is>
      </c>
      <c r="B40" s="219" t="n">
        <v>1</v>
      </c>
      <c r="C40" s="219" t="n">
        <v>2</v>
      </c>
      <c r="D40" s="219" t="n">
        <v>3</v>
      </c>
      <c r="E40" s="219" t="n">
        <v>4</v>
      </c>
      <c r="F40" s="219" t="n">
        <v>5</v>
      </c>
      <c r="G40" s="219" t="n">
        <v>6</v>
      </c>
      <c r="H40" s="219" t="n">
        <v>7</v>
      </c>
      <c r="I40" s="219" t="n">
        <v>8</v>
      </c>
      <c r="J40" s="219" t="n">
        <v>9</v>
      </c>
      <c r="K40" s="219" t="n">
        <v>10</v>
      </c>
      <c r="L40" s="219" t="n">
        <v>11</v>
      </c>
      <c r="M40" s="219" t="n">
        <v>12</v>
      </c>
      <c r="N40" s="219" t="n">
        <v>13</v>
      </c>
      <c r="O40" s="219" t="n">
        <v>14</v>
      </c>
      <c r="P40" s="219" t="n">
        <v>15</v>
      </c>
      <c r="Q40" s="219" t="n">
        <v>16</v>
      </c>
      <c r="R40" s="219" t="n">
        <v>17</v>
      </c>
      <c r="S40" s="219" t="n">
        <v>18</v>
      </c>
      <c r="T40" s="219" t="n">
        <v>19</v>
      </c>
      <c r="U40" s="219" t="n">
        <v>20</v>
      </c>
      <c r="V40" s="219" t="n">
        <v>21</v>
      </c>
      <c r="W40" s="219" t="n">
        <v>22</v>
      </c>
      <c r="X40" s="219" t="n">
        <v>23</v>
      </c>
      <c r="Y40" s="219" t="n">
        <v>24</v>
      </c>
      <c r="Z40" s="219" t="n">
        <v>25</v>
      </c>
      <c r="AA40" s="219" t="n">
        <v>26</v>
      </c>
      <c r="AB40" s="219" t="n">
        <v>27</v>
      </c>
      <c r="AC40" s="219" t="n">
        <v>28</v>
      </c>
      <c r="AD40" s="219" t="n">
        <v>29</v>
      </c>
      <c r="AE40" s="219" t="n">
        <v>30</v>
      </c>
      <c r="AF40" s="219" t="n">
        <v>31</v>
      </c>
      <c r="AG40" s="219" t="n">
        <v>32</v>
      </c>
      <c r="AH40" s="219" t="n">
        <v>33</v>
      </c>
      <c r="AI40" s="219" t="n">
        <v>34</v>
      </c>
      <c r="AJ40" s="219" t="n">
        <v>35</v>
      </c>
      <c r="AK40" s="219" t="n">
        <v>36</v>
      </c>
      <c r="AL40" s="219" t="n">
        <v>37</v>
      </c>
      <c r="AM40" s="219" t="n">
        <v>38</v>
      </c>
      <c r="AN40" s="219" t="n">
        <v>39</v>
      </c>
      <c r="AO40" s="219" t="n">
        <v>40</v>
      </c>
      <c r="AP40" s="219" t="n">
        <v>41</v>
      </c>
      <c r="AQ40" s="219" t="n">
        <v>42</v>
      </c>
      <c r="AR40" s="219" t="n">
        <v>43</v>
      </c>
      <c r="AS40" s="219" t="n">
        <v>44</v>
      </c>
      <c r="AT40" s="219" t="n">
        <v>45</v>
      </c>
    </row>
    <row r="41"/>
    <row r="42">
      <c r="A42" s="41" t="inlineStr">
        <is>
          <t>■ E. 종별 NSA MS  :    [ NSA 수량 (C) x NSA 종별 비율 (D) / 종별 Ramosetron 수량 (B) ]</t>
        </is>
      </c>
    </row>
    <row r="43">
      <c r="A43" s="64" t="inlineStr">
        <is>
          <t>상급종합병원</t>
        </is>
      </c>
      <c r="B43" s="263">
        <f>원자료_분기실측!B46</f>
        <v/>
      </c>
      <c r="C43" s="263">
        <f>원자료_분기실측!C46</f>
        <v/>
      </c>
      <c r="D43" s="263">
        <f>원자료_분기실측!D46</f>
        <v/>
      </c>
      <c r="E43" s="263">
        <f>원자료_분기실측!E46</f>
        <v/>
      </c>
      <c r="F43" s="263">
        <f>원자료_분기실측!F46</f>
        <v/>
      </c>
      <c r="G43" s="263">
        <f>원자료_분기실측!G46</f>
        <v/>
      </c>
      <c r="H43" s="263">
        <f>원자료_분기실측!H46</f>
        <v/>
      </c>
      <c r="I43" s="263">
        <f>원자료_분기실측!I46</f>
        <v/>
      </c>
      <c r="J43" s="263">
        <f>원자료_분기실측!J46</f>
        <v/>
      </c>
      <c r="K43" s="263">
        <f>원자료_분기실측!K46</f>
        <v/>
      </c>
      <c r="L43" s="263">
        <f>원자료_분기실측!L46</f>
        <v/>
      </c>
      <c r="M43" s="263">
        <f>원자료_분기실측!M46</f>
        <v/>
      </c>
      <c r="N43" s="263">
        <f>원자료_분기실측!N46</f>
        <v/>
      </c>
      <c r="O43" s="263">
        <f>원자료_분기실측!O46</f>
        <v/>
      </c>
      <c r="P43" s="263">
        <f>원자료_분기실측!P46</f>
        <v/>
      </c>
      <c r="Q43" s="263">
        <f>원자료_분기실측!Q46</f>
        <v/>
      </c>
      <c r="R43" s="263">
        <f>원자료_분기실측!R46</f>
        <v/>
      </c>
      <c r="S43" s="263">
        <f>원자료_분기실측!S46</f>
        <v/>
      </c>
      <c r="T43" s="263">
        <f>원자료_분기실측!T46</f>
        <v/>
      </c>
      <c r="U43" s="263">
        <f>원자료_분기실측!U46</f>
        <v/>
      </c>
      <c r="V43" s="263">
        <f>원자료_분기실측!V46</f>
        <v/>
      </c>
      <c r="W43" s="263">
        <f>원자료_분기실측!W46</f>
        <v/>
      </c>
      <c r="X43" s="263">
        <f>원자료_분기실측!X46</f>
        <v/>
      </c>
      <c r="Y43" s="263">
        <f>원자료_분기실측!Y46</f>
        <v/>
      </c>
      <c r="Z43" s="263">
        <f>원자료_분기실측!Z46</f>
        <v/>
      </c>
      <c r="AA43" s="264">
        <f>MAX($E$32,$Z$43+$D$32*(AA40-$Z$40))</f>
        <v/>
      </c>
      <c r="AB43" s="264">
        <f>MAX($E$32,$Z$43+$D$32*(AB40-$Z$40))</f>
        <v/>
      </c>
      <c r="AC43" s="264">
        <f>MAX($E$32,$Z$43+$D$32*(AC40-$Z$40))</f>
        <v/>
      </c>
      <c r="AD43" s="264">
        <f>MAX($E$32,$Z$43+$D$32*(AD40-$Z$40))</f>
        <v/>
      </c>
      <c r="AE43" s="264">
        <f>MAX($E$32,$Z$43+$D$32*(AE40-$Z$40))</f>
        <v/>
      </c>
      <c r="AF43" s="264">
        <f>MAX($E$32,$Z$43+$D$32*(AF40-$Z$40))</f>
        <v/>
      </c>
      <c r="AG43" s="264">
        <f>MAX($E$32,$Z$43+$D$32*(AG40-$Z$40))</f>
        <v/>
      </c>
      <c r="AH43" s="264">
        <f>MAX($E$32,$Z$43+$D$32*(AH40-$Z$40))</f>
        <v/>
      </c>
      <c r="AI43" s="264">
        <f>MAX($E$32,$Z$43+$D$32*(AI40-$Z$40))</f>
        <v/>
      </c>
      <c r="AJ43" s="264">
        <f>MAX($E$32,$Z$43+$D$32*(AJ40-$Z$40))</f>
        <v/>
      </c>
      <c r="AK43" s="264">
        <f>MAX($E$32,$Z$43+$D$32*(AK40-$Z$40))</f>
        <v/>
      </c>
      <c r="AL43" s="264">
        <f>MAX($E$32,$Z$43+$D$32*(AL40-$Z$40))</f>
        <v/>
      </c>
      <c r="AM43" s="264">
        <f>MAX($E$32,$Z$43+$D$32*(AM40-$Z$40))</f>
        <v/>
      </c>
      <c r="AN43" s="264">
        <f>MAX($E$32,$Z$43+$D$32*(AN40-$Z$40))</f>
        <v/>
      </c>
      <c r="AO43" s="264">
        <f>MAX($E$32,$Z$43+$D$32*(AO40-$Z$40))</f>
        <v/>
      </c>
      <c r="AP43" s="264">
        <f>MAX($E$32,$Z$43+$D$32*(AP40-$Z$40))</f>
        <v/>
      </c>
      <c r="AQ43" s="264">
        <f>MAX($E$32,$Z$43+$D$32*(AQ40-$Z$40))</f>
        <v/>
      </c>
      <c r="AR43" s="264">
        <f>MAX($E$32,$Z$43+$D$32*(AR40-$Z$40))</f>
        <v/>
      </c>
      <c r="AS43" s="264">
        <f>MAX($E$32,$Z$43+$D$32*(AS40-$Z$40))</f>
        <v/>
      </c>
      <c r="AT43" s="264">
        <f>MAX($E$32,$Z$43+$D$32*(AT40-$Z$40))</f>
        <v/>
      </c>
    </row>
    <row r="44">
      <c r="A44" s="64" t="inlineStr">
        <is>
          <t>종합병원</t>
        </is>
      </c>
      <c r="B44" s="263">
        <f>원자료_분기실측!B47</f>
        <v/>
      </c>
      <c r="C44" s="263">
        <f>원자료_분기실측!C47</f>
        <v/>
      </c>
      <c r="D44" s="263">
        <f>원자료_분기실측!D47</f>
        <v/>
      </c>
      <c r="E44" s="263">
        <f>원자료_분기실측!E47</f>
        <v/>
      </c>
      <c r="F44" s="263">
        <f>원자료_분기실측!F47</f>
        <v/>
      </c>
      <c r="G44" s="263">
        <f>원자료_분기실측!G47</f>
        <v/>
      </c>
      <c r="H44" s="263">
        <f>원자료_분기실측!H47</f>
        <v/>
      </c>
      <c r="I44" s="263">
        <f>원자료_분기실측!I47</f>
        <v/>
      </c>
      <c r="J44" s="263">
        <f>원자료_분기실측!J47</f>
        <v/>
      </c>
      <c r="K44" s="263">
        <f>원자료_분기실측!K47</f>
        <v/>
      </c>
      <c r="L44" s="263">
        <f>원자료_분기실측!L47</f>
        <v/>
      </c>
      <c r="M44" s="263">
        <f>원자료_분기실측!M47</f>
        <v/>
      </c>
      <c r="N44" s="263">
        <f>원자료_분기실측!N47</f>
        <v/>
      </c>
      <c r="O44" s="263">
        <f>원자료_분기실측!O47</f>
        <v/>
      </c>
      <c r="P44" s="263">
        <f>원자료_분기실측!P47</f>
        <v/>
      </c>
      <c r="Q44" s="263">
        <f>원자료_분기실측!Q47</f>
        <v/>
      </c>
      <c r="R44" s="263">
        <f>원자료_분기실측!R47</f>
        <v/>
      </c>
      <c r="S44" s="263">
        <f>원자료_분기실측!S47</f>
        <v/>
      </c>
      <c r="T44" s="263">
        <f>원자료_분기실측!T47</f>
        <v/>
      </c>
      <c r="U44" s="263">
        <f>원자료_분기실측!U47</f>
        <v/>
      </c>
      <c r="V44" s="263">
        <f>원자료_분기실측!V47</f>
        <v/>
      </c>
      <c r="W44" s="263">
        <f>원자료_분기실측!W47</f>
        <v/>
      </c>
      <c r="X44" s="263">
        <f>원자료_분기실측!X47</f>
        <v/>
      </c>
      <c r="Y44" s="263">
        <f>원자료_분기실측!Y47</f>
        <v/>
      </c>
      <c r="Z44" s="263">
        <f>원자료_분기실측!Z47</f>
        <v/>
      </c>
      <c r="AA44" s="264">
        <f>$E$33/(1+EXP(-(LN($Z$44/($E$33-$Z$44))+$D$33*(AA40-$Z$40))))</f>
        <v/>
      </c>
      <c r="AB44" s="264">
        <f>$E$33/(1+EXP(-(LN($Z$44/($E$33-$Z$44))+$D$33*(AB40-$Z$40))))</f>
        <v/>
      </c>
      <c r="AC44" s="264">
        <f>$E$33/(1+EXP(-(LN($Z$44/($E$33-$Z$44))+$D$33*(AC40-$Z$40))))</f>
        <v/>
      </c>
      <c r="AD44" s="264">
        <f>$E$33/(1+EXP(-(LN($Z$44/($E$33-$Z$44))+$D$33*(AD40-$Z$40))))</f>
        <v/>
      </c>
      <c r="AE44" s="264">
        <f>$E$33/(1+EXP(-(LN($Z$44/($E$33-$Z$44))+$D$33*(AE40-$Z$40))))</f>
        <v/>
      </c>
      <c r="AF44" s="264">
        <f>$E$33/(1+EXP(-(LN($Z$44/($E$33-$Z$44))+$D$33*(AF40-$Z$40))))</f>
        <v/>
      </c>
      <c r="AG44" s="264">
        <f>$E$33/(1+EXP(-(LN($Z$44/($E$33-$Z$44))+$D$33*(AG40-$Z$40))))</f>
        <v/>
      </c>
      <c r="AH44" s="264">
        <f>$E$33/(1+EXP(-(LN($Z$44/($E$33-$Z$44))+$D$33*(AH40-$Z$40))))</f>
        <v/>
      </c>
      <c r="AI44" s="264">
        <f>$E$33/(1+EXP(-(LN($Z$44/($E$33-$Z$44))+$D$33*(AI40-$Z$40))))</f>
        <v/>
      </c>
      <c r="AJ44" s="264">
        <f>$E$33/(1+EXP(-(LN($Z$44/($E$33-$Z$44))+$D$33*(AJ40-$Z$40))))</f>
        <v/>
      </c>
      <c r="AK44" s="264">
        <f>$E$33/(1+EXP(-(LN($Z$44/($E$33-$Z$44))+$D$33*(AK40-$Z$40))))</f>
        <v/>
      </c>
      <c r="AL44" s="264">
        <f>$E$33/(1+EXP(-(LN($Z$44/($E$33-$Z$44))+$D$33*(AL40-$Z$40))))</f>
        <v/>
      </c>
      <c r="AM44" s="264">
        <f>$E$33/(1+EXP(-(LN($Z$44/($E$33-$Z$44))+$D$33*(AM40-$Z$40))))</f>
        <v/>
      </c>
      <c r="AN44" s="264">
        <f>$E$33/(1+EXP(-(LN($Z$44/($E$33-$Z$44))+$D$33*(AN40-$Z$40))))</f>
        <v/>
      </c>
      <c r="AO44" s="264">
        <f>$E$33/(1+EXP(-(LN($Z$44/($E$33-$Z$44))+$D$33*(AO40-$Z$40))))</f>
        <v/>
      </c>
      <c r="AP44" s="264">
        <f>$E$33/(1+EXP(-(LN($Z$44/($E$33-$Z$44))+$D$33*(AP40-$Z$40))))</f>
        <v/>
      </c>
      <c r="AQ44" s="264">
        <f>$E$33/(1+EXP(-(LN($Z$44/($E$33-$Z$44))+$D$33*(AQ40-$Z$40))))</f>
        <v/>
      </c>
      <c r="AR44" s="264">
        <f>$E$33/(1+EXP(-(LN($Z$44/($E$33-$Z$44))+$D$33*(AR40-$Z$40))))</f>
        <v/>
      </c>
      <c r="AS44" s="264">
        <f>$E$33/(1+EXP(-(LN($Z$44/($E$33-$Z$44))+$D$33*(AS40-$Z$40))))</f>
        <v/>
      </c>
      <c r="AT44" s="264">
        <f>$E$33/(1+EXP(-(LN($Z$44/($E$33-$Z$44))+$D$33*(AT40-$Z$40))))</f>
        <v/>
      </c>
    </row>
    <row r="45">
      <c r="A45" s="64" t="inlineStr">
        <is>
          <t>병원</t>
        </is>
      </c>
      <c r="B45" s="263">
        <f>원자료_분기실측!B48</f>
        <v/>
      </c>
      <c r="C45" s="263">
        <f>원자료_분기실측!C48</f>
        <v/>
      </c>
      <c r="D45" s="263">
        <f>원자료_분기실측!D48</f>
        <v/>
      </c>
      <c r="E45" s="263">
        <f>원자료_분기실측!E48</f>
        <v/>
      </c>
      <c r="F45" s="263">
        <f>원자료_분기실측!F48</f>
        <v/>
      </c>
      <c r="G45" s="263">
        <f>원자료_분기실측!G48</f>
        <v/>
      </c>
      <c r="H45" s="263">
        <f>원자료_분기실측!H48</f>
        <v/>
      </c>
      <c r="I45" s="263">
        <f>원자료_분기실측!I48</f>
        <v/>
      </c>
      <c r="J45" s="263">
        <f>원자료_분기실측!J48</f>
        <v/>
      </c>
      <c r="K45" s="263">
        <f>원자료_분기실측!K48</f>
        <v/>
      </c>
      <c r="L45" s="263">
        <f>원자료_분기실측!L48</f>
        <v/>
      </c>
      <c r="M45" s="263">
        <f>원자료_분기실측!M48</f>
        <v/>
      </c>
      <c r="N45" s="263">
        <f>원자료_분기실측!N48</f>
        <v/>
      </c>
      <c r="O45" s="263">
        <f>원자료_분기실측!O48</f>
        <v/>
      </c>
      <c r="P45" s="263">
        <f>원자료_분기실측!P48</f>
        <v/>
      </c>
      <c r="Q45" s="263">
        <f>원자료_분기실측!Q48</f>
        <v/>
      </c>
      <c r="R45" s="263">
        <f>원자료_분기실측!R48</f>
        <v/>
      </c>
      <c r="S45" s="263">
        <f>원자료_분기실측!S48</f>
        <v/>
      </c>
      <c r="T45" s="263">
        <f>원자료_분기실측!T48</f>
        <v/>
      </c>
      <c r="U45" s="263">
        <f>원자료_분기실측!U48</f>
        <v/>
      </c>
      <c r="V45" s="263">
        <f>원자료_분기실측!V48</f>
        <v/>
      </c>
      <c r="W45" s="263">
        <f>원자료_분기실측!W48</f>
        <v/>
      </c>
      <c r="X45" s="263">
        <f>원자료_분기실측!X48</f>
        <v/>
      </c>
      <c r="Y45" s="263">
        <f>원자료_분기실측!Y48</f>
        <v/>
      </c>
      <c r="Z45" s="263">
        <f>원자료_분기실측!Z48</f>
        <v/>
      </c>
      <c r="AA45" s="264">
        <f>AVERAGE(W45,X45,Y45,Z45)</f>
        <v/>
      </c>
      <c r="AB45" s="264">
        <f>AVERAGE(X45,Y45,Z45,AA45)</f>
        <v/>
      </c>
      <c r="AC45" s="264">
        <f>AVERAGE(Y45,Z45,AA45,AB45)</f>
        <v/>
      </c>
      <c r="AD45" s="264">
        <f>AVERAGE(Z45,AA45,AB45,AC45)</f>
        <v/>
      </c>
      <c r="AE45" s="264">
        <f>AVERAGE(AA45,AB45,AC45,AD45)</f>
        <v/>
      </c>
      <c r="AF45" s="264">
        <f>AVERAGE(AB45,AC45,AD45,AE45)</f>
        <v/>
      </c>
      <c r="AG45" s="264">
        <f>AVERAGE(AC45,AD45,AE45,AF45)</f>
        <v/>
      </c>
      <c r="AH45" s="264">
        <f>AVERAGE(AD45,AE45,AF45,AG45)</f>
        <v/>
      </c>
      <c r="AI45" s="264">
        <f>AVERAGE(AE45,AF45,AG45,AH45)</f>
        <v/>
      </c>
      <c r="AJ45" s="264">
        <f>AVERAGE(AF45,AG45,AH45,AI45)</f>
        <v/>
      </c>
      <c r="AK45" s="264">
        <f>AVERAGE(AG45,AH45,AI45,AJ45)</f>
        <v/>
      </c>
      <c r="AL45" s="264">
        <f>AVERAGE(AH45,AI45,AJ45,AK45)</f>
        <v/>
      </c>
      <c r="AM45" s="264">
        <f>AVERAGE(AI45,AJ45,AK45,AL45)</f>
        <v/>
      </c>
      <c r="AN45" s="264">
        <f>AVERAGE(AJ45,AK45,AL45,AM45)</f>
        <v/>
      </c>
      <c r="AO45" s="264">
        <f>AVERAGE(AK45,AL45,AM45,AN45)</f>
        <v/>
      </c>
      <c r="AP45" s="264">
        <f>AVERAGE(AL45,AM45,AN45,AO45)</f>
        <v/>
      </c>
      <c r="AQ45" s="264">
        <f>AVERAGE(AM45,AN45,AO45,AP45)</f>
        <v/>
      </c>
      <c r="AR45" s="264">
        <f>AVERAGE(AN45,AO45,AP45,AQ45)</f>
        <v/>
      </c>
      <c r="AS45" s="264">
        <f>AVERAGE(AO45,AP45,AQ45,AR45)</f>
        <v/>
      </c>
      <c r="AT45" s="264">
        <f>AVERAGE(AP45,AQ45,AR45,AS45)</f>
        <v/>
      </c>
    </row>
    <row r="46">
      <c r="A46" s="64" t="inlineStr">
        <is>
          <t>의원</t>
        </is>
      </c>
      <c r="B46" s="263">
        <f>원자료_분기실측!B49</f>
        <v/>
      </c>
      <c r="C46" s="263">
        <f>원자료_분기실측!C49</f>
        <v/>
      </c>
      <c r="D46" s="263">
        <f>원자료_분기실측!D49</f>
        <v/>
      </c>
      <c r="E46" s="263">
        <f>원자료_분기실측!E49</f>
        <v/>
      </c>
      <c r="F46" s="263">
        <f>원자료_분기실측!F49</f>
        <v/>
      </c>
      <c r="G46" s="263">
        <f>원자료_분기실측!G49</f>
        <v/>
      </c>
      <c r="H46" s="263">
        <f>원자료_분기실측!H49</f>
        <v/>
      </c>
      <c r="I46" s="263">
        <f>원자료_분기실측!I49</f>
        <v/>
      </c>
      <c r="J46" s="263">
        <f>원자료_분기실측!J49</f>
        <v/>
      </c>
      <c r="K46" s="263">
        <f>원자료_분기실측!K49</f>
        <v/>
      </c>
      <c r="L46" s="263">
        <f>원자료_분기실측!L49</f>
        <v/>
      </c>
      <c r="M46" s="263">
        <f>원자료_분기실측!M49</f>
        <v/>
      </c>
      <c r="N46" s="263">
        <f>원자료_분기실측!N49</f>
        <v/>
      </c>
      <c r="O46" s="263">
        <f>원자료_분기실측!O49</f>
        <v/>
      </c>
      <c r="P46" s="263">
        <f>원자료_분기실측!P49</f>
        <v/>
      </c>
      <c r="Q46" s="263">
        <f>원자료_분기실측!Q49</f>
        <v/>
      </c>
      <c r="R46" s="263">
        <f>원자료_분기실측!R49</f>
        <v/>
      </c>
      <c r="S46" s="263">
        <f>원자료_분기실측!S49</f>
        <v/>
      </c>
      <c r="T46" s="263">
        <f>원자료_분기실측!T49</f>
        <v/>
      </c>
      <c r="U46" s="263">
        <f>원자료_분기실측!U49</f>
        <v/>
      </c>
      <c r="V46" s="263">
        <f>원자료_분기실측!V49</f>
        <v/>
      </c>
      <c r="W46" s="263">
        <f>원자료_분기실측!W49</f>
        <v/>
      </c>
      <c r="X46" s="263">
        <f>원자료_분기실측!X49</f>
        <v/>
      </c>
      <c r="Y46" s="263">
        <f>원자료_분기실측!Y49</f>
        <v/>
      </c>
      <c r="Z46" s="263">
        <f>원자료_분기실측!Z49</f>
        <v/>
      </c>
      <c r="AA46" s="264">
        <f>$Z$47</f>
        <v/>
      </c>
      <c r="AB46" s="264">
        <f>$Z$47</f>
        <v/>
      </c>
      <c r="AC46" s="264">
        <f>$Z$47</f>
        <v/>
      </c>
      <c r="AD46" s="264">
        <f>$Z$47</f>
        <v/>
      </c>
      <c r="AE46" s="264">
        <f>$Z$47</f>
        <v/>
      </c>
      <c r="AF46" s="264">
        <f>$Z$47</f>
        <v/>
      </c>
      <c r="AG46" s="264">
        <f>$Z$47</f>
        <v/>
      </c>
      <c r="AH46" s="264">
        <f>$Z$47</f>
        <v/>
      </c>
      <c r="AI46" s="264">
        <f>$Z$47</f>
        <v/>
      </c>
      <c r="AJ46" s="264">
        <f>$Z$47</f>
        <v/>
      </c>
      <c r="AK46" s="264">
        <f>$Z$47</f>
        <v/>
      </c>
      <c r="AL46" s="264">
        <f>$Z$47</f>
        <v/>
      </c>
      <c r="AM46" s="264">
        <f>$Z$47</f>
        <v/>
      </c>
      <c r="AN46" s="264">
        <f>$Z$47</f>
        <v/>
      </c>
      <c r="AO46" s="264">
        <f>$Z$47</f>
        <v/>
      </c>
      <c r="AP46" s="264">
        <f>$Z$47</f>
        <v/>
      </c>
      <c r="AQ46" s="264">
        <f>$Z$47</f>
        <v/>
      </c>
      <c r="AR46" s="264">
        <f>$Z$47</f>
        <v/>
      </c>
      <c r="AS46" s="264">
        <f>$Z$47</f>
        <v/>
      </c>
      <c r="AT46" s="264">
        <f>$Z$47</f>
        <v/>
      </c>
    </row>
    <row r="47">
      <c r="A47" s="64" t="inlineStr">
        <is>
          <t xml:space="preserve">  [의원 EWMA 계산용, alpha=0.3]</t>
        </is>
      </c>
      <c r="B47" s="219" t="n"/>
      <c r="C47" s="219" t="n"/>
      <c r="D47" s="219" t="n"/>
      <c r="E47" s="219" t="n"/>
      <c r="F47" s="255">
        <f>F46</f>
        <v/>
      </c>
      <c r="G47" s="219">
        <f>0.3*G46+0.7*F47</f>
        <v/>
      </c>
      <c r="H47" s="219">
        <f>0.3*H46+0.7*G47</f>
        <v/>
      </c>
      <c r="I47" s="219">
        <f>0.3*I46+0.7*H47</f>
        <v/>
      </c>
      <c r="J47" s="219">
        <f>0.3*J46+0.7*I47</f>
        <v/>
      </c>
      <c r="K47" s="219">
        <f>0.3*K46+0.7*J47</f>
        <v/>
      </c>
      <c r="L47" s="219">
        <f>0.3*L46+0.7*K47</f>
        <v/>
      </c>
      <c r="M47" s="219">
        <f>0.3*M46+0.7*L47</f>
        <v/>
      </c>
      <c r="N47" s="219">
        <f>0.3*N46+0.7*M47</f>
        <v/>
      </c>
      <c r="O47" s="219">
        <f>0.3*O46+0.7*N47</f>
        <v/>
      </c>
      <c r="P47" s="219">
        <f>0.3*P46+0.7*O47</f>
        <v/>
      </c>
      <c r="Q47" s="219">
        <f>0.3*Q46+0.7*P47</f>
        <v/>
      </c>
      <c r="R47" s="219">
        <f>0.3*R46+0.7*Q47</f>
        <v/>
      </c>
      <c r="S47" s="219">
        <f>0.3*S46+0.7*R47</f>
        <v/>
      </c>
      <c r="T47" s="219">
        <f>0.3*T46+0.7*S47</f>
        <v/>
      </c>
      <c r="U47" s="219">
        <f>0.3*U46+0.7*T47</f>
        <v/>
      </c>
      <c r="V47" s="219">
        <f>0.3*V46+0.7*U47</f>
        <v/>
      </c>
      <c r="W47" s="219">
        <f>0.3*W46+0.7*V47</f>
        <v/>
      </c>
      <c r="X47" s="219">
        <f>0.3*X46+0.7*W47</f>
        <v/>
      </c>
      <c r="Y47" s="219">
        <f>0.3*Y46+0.7*X47</f>
        <v/>
      </c>
      <c r="Z47" s="219">
        <f>0.3*Z46+0.7*Y47</f>
        <v/>
      </c>
    </row>
    <row r="48">
      <c r="A48" s="41" t="inlineStr">
        <is>
          <t>■ F. 종별 NSA 수량  :    [ 종별 Ramosetron 수량 (B) x 종별 NSA MS (E) ]</t>
        </is>
      </c>
    </row>
    <row r="49">
      <c r="A49" s="64" t="inlineStr">
        <is>
          <t>상급종합병원</t>
        </is>
      </c>
      <c r="B49" s="265">
        <f>'근거_Ramosetron 시장 수량'!B47*B43</f>
        <v/>
      </c>
      <c r="C49" s="265">
        <f>'근거_Ramosetron 시장 수량'!C47*C43</f>
        <v/>
      </c>
      <c r="D49" s="265">
        <f>'근거_Ramosetron 시장 수량'!D47*D43</f>
        <v/>
      </c>
      <c r="E49" s="265">
        <f>'근거_Ramosetron 시장 수량'!E47*E43</f>
        <v/>
      </c>
      <c r="F49" s="265">
        <f>'근거_Ramosetron 시장 수량'!F47*F43</f>
        <v/>
      </c>
      <c r="G49" s="265">
        <f>'근거_Ramosetron 시장 수량'!G47*G43</f>
        <v/>
      </c>
      <c r="H49" s="265">
        <f>'근거_Ramosetron 시장 수량'!H47*H43</f>
        <v/>
      </c>
      <c r="I49" s="265">
        <f>'근거_Ramosetron 시장 수량'!I47*I43</f>
        <v/>
      </c>
      <c r="J49" s="265">
        <f>'근거_Ramosetron 시장 수량'!J47*J43</f>
        <v/>
      </c>
      <c r="K49" s="265">
        <f>'근거_Ramosetron 시장 수량'!K47*K43</f>
        <v/>
      </c>
      <c r="L49" s="265">
        <f>'근거_Ramosetron 시장 수량'!L47*L43</f>
        <v/>
      </c>
      <c r="M49" s="265">
        <f>'근거_Ramosetron 시장 수량'!M47*M43</f>
        <v/>
      </c>
      <c r="N49" s="265">
        <f>'근거_Ramosetron 시장 수량'!N47*N43</f>
        <v/>
      </c>
      <c r="O49" s="265">
        <f>'근거_Ramosetron 시장 수량'!O47*O43</f>
        <v/>
      </c>
      <c r="P49" s="265">
        <f>'근거_Ramosetron 시장 수량'!P47*P43</f>
        <v/>
      </c>
      <c r="Q49" s="265">
        <f>'근거_Ramosetron 시장 수량'!Q47*Q43</f>
        <v/>
      </c>
      <c r="R49" s="265">
        <f>'근거_Ramosetron 시장 수량'!R47*R43</f>
        <v/>
      </c>
      <c r="S49" s="265">
        <f>'근거_Ramosetron 시장 수량'!S47*S43</f>
        <v/>
      </c>
      <c r="T49" s="265">
        <f>'근거_Ramosetron 시장 수량'!T47*T43</f>
        <v/>
      </c>
      <c r="U49" s="265">
        <f>'근거_Ramosetron 시장 수량'!U47*U43</f>
        <v/>
      </c>
      <c r="V49" s="265">
        <f>'근거_Ramosetron 시장 수량'!V47*V43</f>
        <v/>
      </c>
      <c r="W49" s="265">
        <f>'근거_Ramosetron 시장 수량'!W47*W43</f>
        <v/>
      </c>
      <c r="X49" s="265">
        <f>'근거_Ramosetron 시장 수량'!X47*X43</f>
        <v/>
      </c>
      <c r="Y49" s="265">
        <f>'근거_Ramosetron 시장 수량'!Y47*Y43</f>
        <v/>
      </c>
      <c r="Z49" s="265">
        <f>'근거_Ramosetron 시장 수량'!Z47*Z43</f>
        <v/>
      </c>
      <c r="AA49" s="266">
        <f>'근거_Ramosetron 시장 수량'!AA47*'근거_NSA수량(IQVIA기준)'!AA43</f>
        <v/>
      </c>
      <c r="AB49" s="266">
        <f>'근거_Ramosetron 시장 수량'!AB47*'근거_NSA수량(IQVIA기준)'!AB43</f>
        <v/>
      </c>
      <c r="AC49" s="266">
        <f>'근거_Ramosetron 시장 수량'!AC47*'근거_NSA수량(IQVIA기준)'!AC43</f>
        <v/>
      </c>
      <c r="AD49" s="266">
        <f>'근거_Ramosetron 시장 수량'!AD47*'근거_NSA수량(IQVIA기준)'!AD43</f>
        <v/>
      </c>
      <c r="AE49" s="266">
        <f>'근거_Ramosetron 시장 수량'!AE47*'근거_NSA수량(IQVIA기준)'!AE43</f>
        <v/>
      </c>
      <c r="AF49" s="266">
        <f>'근거_Ramosetron 시장 수량'!AF47*'근거_NSA수량(IQVIA기준)'!AF43</f>
        <v/>
      </c>
      <c r="AG49" s="266">
        <f>'근거_Ramosetron 시장 수량'!AG47*'근거_NSA수량(IQVIA기준)'!AG43</f>
        <v/>
      </c>
      <c r="AH49" s="266">
        <f>'근거_Ramosetron 시장 수량'!AH47*'근거_NSA수량(IQVIA기준)'!AH43</f>
        <v/>
      </c>
      <c r="AI49" s="266">
        <f>'근거_Ramosetron 시장 수량'!AI47*'근거_NSA수량(IQVIA기준)'!AI43</f>
        <v/>
      </c>
      <c r="AJ49" s="266">
        <f>'근거_Ramosetron 시장 수량'!AJ47*'근거_NSA수량(IQVIA기준)'!AJ43</f>
        <v/>
      </c>
      <c r="AK49" s="266">
        <f>'근거_Ramosetron 시장 수량'!AK47*'근거_NSA수량(IQVIA기준)'!AK43</f>
        <v/>
      </c>
      <c r="AL49" s="266">
        <f>'근거_Ramosetron 시장 수량'!AL47*'근거_NSA수량(IQVIA기준)'!AL43</f>
        <v/>
      </c>
      <c r="AM49" s="266">
        <f>'근거_Ramosetron 시장 수량'!AM47*'근거_NSA수량(IQVIA기준)'!AM43</f>
        <v/>
      </c>
      <c r="AN49" s="266">
        <f>'근거_Ramosetron 시장 수량'!AN47*'근거_NSA수량(IQVIA기준)'!AN43</f>
        <v/>
      </c>
      <c r="AO49" s="266">
        <f>'근거_Ramosetron 시장 수량'!AO47*'근거_NSA수량(IQVIA기준)'!AO43</f>
        <v/>
      </c>
      <c r="AP49" s="266">
        <f>'근거_Ramosetron 시장 수량'!AP47*'근거_NSA수량(IQVIA기준)'!AP43</f>
        <v/>
      </c>
      <c r="AQ49" s="266">
        <f>'근거_Ramosetron 시장 수량'!AQ47*'근거_NSA수량(IQVIA기준)'!AQ43</f>
        <v/>
      </c>
      <c r="AR49" s="266">
        <f>'근거_Ramosetron 시장 수량'!AR47*'근거_NSA수량(IQVIA기준)'!AR43</f>
        <v/>
      </c>
      <c r="AS49" s="266">
        <f>'근거_Ramosetron 시장 수량'!AS47*'근거_NSA수량(IQVIA기준)'!AS43</f>
        <v/>
      </c>
      <c r="AT49" s="266">
        <f>'근거_Ramosetron 시장 수량'!AT47*'근거_NSA수량(IQVIA기준)'!AT43</f>
        <v/>
      </c>
    </row>
    <row r="50">
      <c r="A50" s="64" t="inlineStr">
        <is>
          <t>종합병원</t>
        </is>
      </c>
      <c r="B50" s="265">
        <f>'근거_Ramosetron 시장 수량'!B48*B44</f>
        <v/>
      </c>
      <c r="C50" s="265">
        <f>'근거_Ramosetron 시장 수량'!C48*C44</f>
        <v/>
      </c>
      <c r="D50" s="265">
        <f>'근거_Ramosetron 시장 수량'!D48*D44</f>
        <v/>
      </c>
      <c r="E50" s="265">
        <f>'근거_Ramosetron 시장 수량'!E48*E44</f>
        <v/>
      </c>
      <c r="F50" s="265">
        <f>'근거_Ramosetron 시장 수량'!F48*F44</f>
        <v/>
      </c>
      <c r="G50" s="265">
        <f>'근거_Ramosetron 시장 수량'!G48*G44</f>
        <v/>
      </c>
      <c r="H50" s="265">
        <f>'근거_Ramosetron 시장 수량'!H48*H44</f>
        <v/>
      </c>
      <c r="I50" s="265">
        <f>'근거_Ramosetron 시장 수량'!I48*I44</f>
        <v/>
      </c>
      <c r="J50" s="265">
        <f>'근거_Ramosetron 시장 수량'!J48*J44</f>
        <v/>
      </c>
      <c r="K50" s="265">
        <f>'근거_Ramosetron 시장 수량'!K48*K44</f>
        <v/>
      </c>
      <c r="L50" s="265">
        <f>'근거_Ramosetron 시장 수량'!L48*L44</f>
        <v/>
      </c>
      <c r="M50" s="265">
        <f>'근거_Ramosetron 시장 수량'!M48*M44</f>
        <v/>
      </c>
      <c r="N50" s="265">
        <f>'근거_Ramosetron 시장 수량'!N48*N44</f>
        <v/>
      </c>
      <c r="O50" s="265">
        <f>'근거_Ramosetron 시장 수량'!O48*O44</f>
        <v/>
      </c>
      <c r="P50" s="265">
        <f>'근거_Ramosetron 시장 수량'!P48*P44</f>
        <v/>
      </c>
      <c r="Q50" s="265">
        <f>'근거_Ramosetron 시장 수량'!Q48*Q44</f>
        <v/>
      </c>
      <c r="R50" s="265">
        <f>'근거_Ramosetron 시장 수량'!R48*R44</f>
        <v/>
      </c>
      <c r="S50" s="265">
        <f>'근거_Ramosetron 시장 수량'!S48*S44</f>
        <v/>
      </c>
      <c r="T50" s="265">
        <f>'근거_Ramosetron 시장 수량'!T48*T44</f>
        <v/>
      </c>
      <c r="U50" s="265">
        <f>'근거_Ramosetron 시장 수량'!U48*U44</f>
        <v/>
      </c>
      <c r="V50" s="265">
        <f>'근거_Ramosetron 시장 수량'!V48*V44</f>
        <v/>
      </c>
      <c r="W50" s="265">
        <f>'근거_Ramosetron 시장 수량'!W48*W44</f>
        <v/>
      </c>
      <c r="X50" s="265">
        <f>'근거_Ramosetron 시장 수량'!X48*X44</f>
        <v/>
      </c>
      <c r="Y50" s="265">
        <f>'근거_Ramosetron 시장 수량'!Y48*Y44</f>
        <v/>
      </c>
      <c r="Z50" s="265">
        <f>'근거_Ramosetron 시장 수량'!Z48*Z44</f>
        <v/>
      </c>
      <c r="AA50" s="266">
        <f>'근거_Ramosetron 시장 수량'!AA48*'근거_NSA수량(IQVIA기준)'!AA44</f>
        <v/>
      </c>
      <c r="AB50" s="266">
        <f>'근거_Ramosetron 시장 수량'!AB48*'근거_NSA수량(IQVIA기준)'!AB44</f>
        <v/>
      </c>
      <c r="AC50" s="266">
        <f>'근거_Ramosetron 시장 수량'!AC48*'근거_NSA수량(IQVIA기준)'!AC44</f>
        <v/>
      </c>
      <c r="AD50" s="266">
        <f>'근거_Ramosetron 시장 수량'!AD48*'근거_NSA수량(IQVIA기준)'!AD44</f>
        <v/>
      </c>
      <c r="AE50" s="266">
        <f>'근거_Ramosetron 시장 수량'!AE48*'근거_NSA수량(IQVIA기준)'!AE44</f>
        <v/>
      </c>
      <c r="AF50" s="266">
        <f>'근거_Ramosetron 시장 수량'!AF48*'근거_NSA수량(IQVIA기준)'!AF44</f>
        <v/>
      </c>
      <c r="AG50" s="266">
        <f>'근거_Ramosetron 시장 수량'!AG48*'근거_NSA수량(IQVIA기준)'!AG44</f>
        <v/>
      </c>
      <c r="AH50" s="266">
        <f>'근거_Ramosetron 시장 수량'!AH48*'근거_NSA수량(IQVIA기준)'!AH44</f>
        <v/>
      </c>
      <c r="AI50" s="266">
        <f>'근거_Ramosetron 시장 수량'!AI48*'근거_NSA수량(IQVIA기준)'!AI44</f>
        <v/>
      </c>
      <c r="AJ50" s="266">
        <f>'근거_Ramosetron 시장 수량'!AJ48*'근거_NSA수량(IQVIA기준)'!AJ44</f>
        <v/>
      </c>
      <c r="AK50" s="266">
        <f>'근거_Ramosetron 시장 수량'!AK48*'근거_NSA수량(IQVIA기준)'!AK44</f>
        <v/>
      </c>
      <c r="AL50" s="266">
        <f>'근거_Ramosetron 시장 수량'!AL48*'근거_NSA수량(IQVIA기준)'!AL44</f>
        <v/>
      </c>
      <c r="AM50" s="266">
        <f>'근거_Ramosetron 시장 수량'!AM48*'근거_NSA수량(IQVIA기준)'!AM44</f>
        <v/>
      </c>
      <c r="AN50" s="266">
        <f>'근거_Ramosetron 시장 수량'!AN48*'근거_NSA수량(IQVIA기준)'!AN44</f>
        <v/>
      </c>
      <c r="AO50" s="266">
        <f>'근거_Ramosetron 시장 수량'!AO48*'근거_NSA수량(IQVIA기준)'!AO44</f>
        <v/>
      </c>
      <c r="AP50" s="266">
        <f>'근거_Ramosetron 시장 수량'!AP48*'근거_NSA수량(IQVIA기준)'!AP44</f>
        <v/>
      </c>
      <c r="AQ50" s="266">
        <f>'근거_Ramosetron 시장 수량'!AQ48*'근거_NSA수량(IQVIA기준)'!AQ44</f>
        <v/>
      </c>
      <c r="AR50" s="266">
        <f>'근거_Ramosetron 시장 수량'!AR48*'근거_NSA수량(IQVIA기준)'!AR44</f>
        <v/>
      </c>
      <c r="AS50" s="266">
        <f>'근거_Ramosetron 시장 수량'!AS48*'근거_NSA수량(IQVIA기준)'!AS44</f>
        <v/>
      </c>
      <c r="AT50" s="266">
        <f>'근거_Ramosetron 시장 수량'!AT48*'근거_NSA수량(IQVIA기준)'!AT44</f>
        <v/>
      </c>
    </row>
    <row r="51">
      <c r="A51" s="64" t="inlineStr">
        <is>
          <t>병원</t>
        </is>
      </c>
      <c r="B51" s="265">
        <f>'근거_Ramosetron 시장 수량'!B49*B45</f>
        <v/>
      </c>
      <c r="C51" s="265">
        <f>'근거_Ramosetron 시장 수량'!C49*C45</f>
        <v/>
      </c>
      <c r="D51" s="265">
        <f>'근거_Ramosetron 시장 수량'!D49*D45</f>
        <v/>
      </c>
      <c r="E51" s="265">
        <f>'근거_Ramosetron 시장 수량'!E49*E45</f>
        <v/>
      </c>
      <c r="F51" s="265">
        <f>'근거_Ramosetron 시장 수량'!F49*F45</f>
        <v/>
      </c>
      <c r="G51" s="265">
        <f>'근거_Ramosetron 시장 수량'!G49*G45</f>
        <v/>
      </c>
      <c r="H51" s="265">
        <f>'근거_Ramosetron 시장 수량'!H49*H45</f>
        <v/>
      </c>
      <c r="I51" s="265">
        <f>'근거_Ramosetron 시장 수량'!I49*I45</f>
        <v/>
      </c>
      <c r="J51" s="265">
        <f>'근거_Ramosetron 시장 수량'!J49*J45</f>
        <v/>
      </c>
      <c r="K51" s="265">
        <f>'근거_Ramosetron 시장 수량'!K49*K45</f>
        <v/>
      </c>
      <c r="L51" s="265">
        <f>'근거_Ramosetron 시장 수량'!L49*L45</f>
        <v/>
      </c>
      <c r="M51" s="265">
        <f>'근거_Ramosetron 시장 수량'!M49*M45</f>
        <v/>
      </c>
      <c r="N51" s="265">
        <f>'근거_Ramosetron 시장 수량'!N49*N45</f>
        <v/>
      </c>
      <c r="O51" s="265">
        <f>'근거_Ramosetron 시장 수량'!O49*O45</f>
        <v/>
      </c>
      <c r="P51" s="265">
        <f>'근거_Ramosetron 시장 수량'!P49*P45</f>
        <v/>
      </c>
      <c r="Q51" s="265">
        <f>'근거_Ramosetron 시장 수량'!Q49*Q45</f>
        <v/>
      </c>
      <c r="R51" s="265">
        <f>'근거_Ramosetron 시장 수량'!R49*R45</f>
        <v/>
      </c>
      <c r="S51" s="265">
        <f>'근거_Ramosetron 시장 수량'!S49*S45</f>
        <v/>
      </c>
      <c r="T51" s="265">
        <f>'근거_Ramosetron 시장 수량'!T49*T45</f>
        <v/>
      </c>
      <c r="U51" s="265">
        <f>'근거_Ramosetron 시장 수량'!U49*U45</f>
        <v/>
      </c>
      <c r="V51" s="265">
        <f>'근거_Ramosetron 시장 수량'!V49*V45</f>
        <v/>
      </c>
      <c r="W51" s="265">
        <f>'근거_Ramosetron 시장 수량'!W49*W45</f>
        <v/>
      </c>
      <c r="X51" s="265">
        <f>'근거_Ramosetron 시장 수량'!X49*X45</f>
        <v/>
      </c>
      <c r="Y51" s="265">
        <f>'근거_Ramosetron 시장 수량'!Y49*Y45</f>
        <v/>
      </c>
      <c r="Z51" s="265">
        <f>'근거_Ramosetron 시장 수량'!Z49*Z45</f>
        <v/>
      </c>
      <c r="AA51" s="266">
        <f>'근거_Ramosetron 시장 수량'!AA49*'근거_NSA수량(IQVIA기준)'!AA45</f>
        <v/>
      </c>
      <c r="AB51" s="266">
        <f>'근거_Ramosetron 시장 수량'!AB49*'근거_NSA수량(IQVIA기준)'!AB45</f>
        <v/>
      </c>
      <c r="AC51" s="266">
        <f>'근거_Ramosetron 시장 수량'!AC49*'근거_NSA수량(IQVIA기준)'!AC45</f>
        <v/>
      </c>
      <c r="AD51" s="266">
        <f>'근거_Ramosetron 시장 수량'!AD49*'근거_NSA수량(IQVIA기준)'!AD45</f>
        <v/>
      </c>
      <c r="AE51" s="266">
        <f>'근거_Ramosetron 시장 수량'!AE49*'근거_NSA수량(IQVIA기준)'!AE45</f>
        <v/>
      </c>
      <c r="AF51" s="266">
        <f>'근거_Ramosetron 시장 수량'!AF49*'근거_NSA수량(IQVIA기준)'!AF45</f>
        <v/>
      </c>
      <c r="AG51" s="266">
        <f>'근거_Ramosetron 시장 수량'!AG49*'근거_NSA수량(IQVIA기준)'!AG45</f>
        <v/>
      </c>
      <c r="AH51" s="266">
        <f>'근거_Ramosetron 시장 수량'!AH49*'근거_NSA수량(IQVIA기준)'!AH45</f>
        <v/>
      </c>
      <c r="AI51" s="266">
        <f>'근거_Ramosetron 시장 수량'!AI49*'근거_NSA수량(IQVIA기준)'!AI45</f>
        <v/>
      </c>
      <c r="AJ51" s="266">
        <f>'근거_Ramosetron 시장 수량'!AJ49*'근거_NSA수량(IQVIA기준)'!AJ45</f>
        <v/>
      </c>
      <c r="AK51" s="266">
        <f>'근거_Ramosetron 시장 수량'!AK49*'근거_NSA수량(IQVIA기준)'!AK45</f>
        <v/>
      </c>
      <c r="AL51" s="266">
        <f>'근거_Ramosetron 시장 수량'!AL49*'근거_NSA수량(IQVIA기준)'!AL45</f>
        <v/>
      </c>
      <c r="AM51" s="266">
        <f>'근거_Ramosetron 시장 수량'!AM49*'근거_NSA수량(IQVIA기준)'!AM45</f>
        <v/>
      </c>
      <c r="AN51" s="266">
        <f>'근거_Ramosetron 시장 수량'!AN49*'근거_NSA수량(IQVIA기준)'!AN45</f>
        <v/>
      </c>
      <c r="AO51" s="266">
        <f>'근거_Ramosetron 시장 수량'!AO49*'근거_NSA수량(IQVIA기준)'!AO45</f>
        <v/>
      </c>
      <c r="AP51" s="266">
        <f>'근거_Ramosetron 시장 수량'!AP49*'근거_NSA수량(IQVIA기준)'!AP45</f>
        <v/>
      </c>
      <c r="AQ51" s="266">
        <f>'근거_Ramosetron 시장 수량'!AQ49*'근거_NSA수량(IQVIA기준)'!AQ45</f>
        <v/>
      </c>
      <c r="AR51" s="266">
        <f>'근거_Ramosetron 시장 수량'!AR49*'근거_NSA수량(IQVIA기준)'!AR45</f>
        <v/>
      </c>
      <c r="AS51" s="266">
        <f>'근거_Ramosetron 시장 수량'!AS49*'근거_NSA수량(IQVIA기준)'!AS45</f>
        <v/>
      </c>
      <c r="AT51" s="266">
        <f>'근거_Ramosetron 시장 수량'!AT49*'근거_NSA수량(IQVIA기준)'!AT45</f>
        <v/>
      </c>
    </row>
    <row r="52">
      <c r="A52" s="64" t="inlineStr">
        <is>
          <t>의원</t>
        </is>
      </c>
      <c r="B52" s="265">
        <f>'근거_Ramosetron 시장 수량'!B50*B46</f>
        <v/>
      </c>
      <c r="C52" s="265">
        <f>'근거_Ramosetron 시장 수량'!C50*C46</f>
        <v/>
      </c>
      <c r="D52" s="265">
        <f>'근거_Ramosetron 시장 수량'!D50*D46</f>
        <v/>
      </c>
      <c r="E52" s="265">
        <f>'근거_Ramosetron 시장 수량'!E50*E46</f>
        <v/>
      </c>
      <c r="F52" s="265">
        <f>'근거_Ramosetron 시장 수량'!F50*F46</f>
        <v/>
      </c>
      <c r="G52" s="265">
        <f>'근거_Ramosetron 시장 수량'!G50*G46</f>
        <v/>
      </c>
      <c r="H52" s="265">
        <f>'근거_Ramosetron 시장 수량'!H50*H46</f>
        <v/>
      </c>
      <c r="I52" s="265">
        <f>'근거_Ramosetron 시장 수량'!I50*I46</f>
        <v/>
      </c>
      <c r="J52" s="265">
        <f>'근거_Ramosetron 시장 수량'!J50*J46</f>
        <v/>
      </c>
      <c r="K52" s="265">
        <f>'근거_Ramosetron 시장 수량'!K50*K46</f>
        <v/>
      </c>
      <c r="L52" s="265">
        <f>'근거_Ramosetron 시장 수량'!L50*L46</f>
        <v/>
      </c>
      <c r="M52" s="265">
        <f>'근거_Ramosetron 시장 수량'!M50*M46</f>
        <v/>
      </c>
      <c r="N52" s="265">
        <f>'근거_Ramosetron 시장 수량'!N50*N46</f>
        <v/>
      </c>
      <c r="O52" s="265">
        <f>'근거_Ramosetron 시장 수량'!O50*O46</f>
        <v/>
      </c>
      <c r="P52" s="265">
        <f>'근거_Ramosetron 시장 수량'!P50*P46</f>
        <v/>
      </c>
      <c r="Q52" s="265">
        <f>'근거_Ramosetron 시장 수량'!Q50*Q46</f>
        <v/>
      </c>
      <c r="R52" s="265">
        <f>'근거_Ramosetron 시장 수량'!R50*R46</f>
        <v/>
      </c>
      <c r="S52" s="265">
        <f>'근거_Ramosetron 시장 수량'!S50*S46</f>
        <v/>
      </c>
      <c r="T52" s="265">
        <f>'근거_Ramosetron 시장 수량'!T50*T46</f>
        <v/>
      </c>
      <c r="U52" s="265">
        <f>'근거_Ramosetron 시장 수량'!U50*U46</f>
        <v/>
      </c>
      <c r="V52" s="265">
        <f>'근거_Ramosetron 시장 수량'!V50*V46</f>
        <v/>
      </c>
      <c r="W52" s="265">
        <f>'근거_Ramosetron 시장 수량'!W50*W46</f>
        <v/>
      </c>
      <c r="X52" s="265">
        <f>'근거_Ramosetron 시장 수량'!X50*X46</f>
        <v/>
      </c>
      <c r="Y52" s="265">
        <f>'근거_Ramosetron 시장 수량'!Y50*Y46</f>
        <v/>
      </c>
      <c r="Z52" s="265">
        <f>'근거_Ramosetron 시장 수량'!Z50*Z46</f>
        <v/>
      </c>
      <c r="AA52" s="266">
        <f>'근거_Ramosetron 시장 수량'!AA50*'근거_NSA수량(IQVIA기준)'!AA46</f>
        <v/>
      </c>
      <c r="AB52" s="266">
        <f>'근거_Ramosetron 시장 수량'!AB50*'근거_NSA수량(IQVIA기준)'!AB46</f>
        <v/>
      </c>
      <c r="AC52" s="266">
        <f>'근거_Ramosetron 시장 수량'!AC50*'근거_NSA수량(IQVIA기준)'!AC46</f>
        <v/>
      </c>
      <c r="AD52" s="266">
        <f>'근거_Ramosetron 시장 수량'!AD50*'근거_NSA수량(IQVIA기준)'!AD46</f>
        <v/>
      </c>
      <c r="AE52" s="266">
        <f>'근거_Ramosetron 시장 수량'!AE50*'근거_NSA수량(IQVIA기준)'!AE46</f>
        <v/>
      </c>
      <c r="AF52" s="266">
        <f>'근거_Ramosetron 시장 수량'!AF50*'근거_NSA수량(IQVIA기준)'!AF46</f>
        <v/>
      </c>
      <c r="AG52" s="266">
        <f>'근거_Ramosetron 시장 수량'!AG50*'근거_NSA수량(IQVIA기준)'!AG46</f>
        <v/>
      </c>
      <c r="AH52" s="266">
        <f>'근거_Ramosetron 시장 수량'!AH50*'근거_NSA수량(IQVIA기준)'!AH46</f>
        <v/>
      </c>
      <c r="AI52" s="266">
        <f>'근거_Ramosetron 시장 수량'!AI50*'근거_NSA수량(IQVIA기준)'!AI46</f>
        <v/>
      </c>
      <c r="AJ52" s="266">
        <f>'근거_Ramosetron 시장 수량'!AJ50*'근거_NSA수량(IQVIA기준)'!AJ46</f>
        <v/>
      </c>
      <c r="AK52" s="266">
        <f>'근거_Ramosetron 시장 수량'!AK50*'근거_NSA수량(IQVIA기준)'!AK46</f>
        <v/>
      </c>
      <c r="AL52" s="266">
        <f>'근거_Ramosetron 시장 수량'!AL50*'근거_NSA수량(IQVIA기준)'!AL46</f>
        <v/>
      </c>
      <c r="AM52" s="266">
        <f>'근거_Ramosetron 시장 수량'!AM50*'근거_NSA수량(IQVIA기준)'!AM46</f>
        <v/>
      </c>
      <c r="AN52" s="266">
        <f>'근거_Ramosetron 시장 수량'!AN50*'근거_NSA수량(IQVIA기준)'!AN46</f>
        <v/>
      </c>
      <c r="AO52" s="266">
        <f>'근거_Ramosetron 시장 수량'!AO50*'근거_NSA수량(IQVIA기준)'!AO46</f>
        <v/>
      </c>
      <c r="AP52" s="266">
        <f>'근거_Ramosetron 시장 수량'!AP50*'근거_NSA수량(IQVIA기준)'!AP46</f>
        <v/>
      </c>
      <c r="AQ52" s="266">
        <f>'근거_Ramosetron 시장 수량'!AQ50*'근거_NSA수량(IQVIA기준)'!AQ46</f>
        <v/>
      </c>
      <c r="AR52" s="266">
        <f>'근거_Ramosetron 시장 수량'!AR50*'근거_NSA수량(IQVIA기준)'!AR46</f>
        <v/>
      </c>
      <c r="AS52" s="266">
        <f>'근거_Ramosetron 시장 수량'!AS50*'근거_NSA수량(IQVIA기준)'!AS46</f>
        <v/>
      </c>
      <c r="AT52" s="266">
        <f>'근거_Ramosetron 시장 수량'!AT50*'근거_NSA수량(IQVIA기준)'!AT46</f>
        <v/>
      </c>
    </row>
    <row r="53">
      <c r="A53" s="67" t="inlineStr">
        <is>
          <t xml:space="preserve">  ▶ NSA 수량 (IQVIA 기준) </t>
        </is>
      </c>
      <c r="B53" s="261">
        <f>SUM(B49:B52)</f>
        <v/>
      </c>
      <c r="C53" s="261">
        <f>SUM(C49:C52)</f>
        <v/>
      </c>
      <c r="D53" s="261">
        <f>SUM(D49:D52)</f>
        <v/>
      </c>
      <c r="E53" s="261">
        <f>SUM(E49:E52)</f>
        <v/>
      </c>
      <c r="F53" s="261">
        <f>SUM(F49:F52)</f>
        <v/>
      </c>
      <c r="G53" s="261">
        <f>SUM(G49:G52)</f>
        <v/>
      </c>
      <c r="H53" s="261">
        <f>SUM(H49:H52)</f>
        <v/>
      </c>
      <c r="I53" s="261">
        <f>SUM(I49:I52)</f>
        <v/>
      </c>
      <c r="J53" s="261">
        <f>SUM(J49:J52)</f>
        <v/>
      </c>
      <c r="K53" s="261">
        <f>SUM(K49:K52)</f>
        <v/>
      </c>
      <c r="L53" s="261">
        <f>SUM(L49:L52)</f>
        <v/>
      </c>
      <c r="M53" s="261">
        <f>SUM(M49:M52)</f>
        <v/>
      </c>
      <c r="N53" s="261">
        <f>SUM(N49:N52)</f>
        <v/>
      </c>
      <c r="O53" s="261">
        <f>SUM(O49:O52)</f>
        <v/>
      </c>
      <c r="P53" s="261">
        <f>SUM(P49:P52)</f>
        <v/>
      </c>
      <c r="Q53" s="261">
        <f>SUM(Q49:Q52)</f>
        <v/>
      </c>
      <c r="R53" s="261">
        <f>SUM(R49:R52)</f>
        <v/>
      </c>
      <c r="S53" s="261">
        <f>SUM(S49:S52)</f>
        <v/>
      </c>
      <c r="T53" s="261">
        <f>SUM(T49:T52)</f>
        <v/>
      </c>
      <c r="U53" s="261">
        <f>SUM(U49:U52)</f>
        <v/>
      </c>
      <c r="V53" s="261">
        <f>SUM(V49:V52)</f>
        <v/>
      </c>
      <c r="W53" s="261">
        <f>SUM(W49:W52)</f>
        <v/>
      </c>
      <c r="X53" s="261">
        <f>SUM(X49:X52)</f>
        <v/>
      </c>
      <c r="Y53" s="261">
        <f>SUM(Y49:Y52)</f>
        <v/>
      </c>
      <c r="Z53" s="261">
        <f>SUM(Z49:Z52)</f>
        <v/>
      </c>
      <c r="AA53" s="261">
        <f>SUM(AA49:AA52)</f>
        <v/>
      </c>
      <c r="AB53" s="261">
        <f>SUM(AB49:AB52)</f>
        <v/>
      </c>
      <c r="AC53" s="261">
        <f>SUM(AC49:AC52)</f>
        <v/>
      </c>
      <c r="AD53" s="261">
        <f>SUM(AD49:AD52)</f>
        <v/>
      </c>
      <c r="AE53" s="261">
        <f>SUM(AE49:AE52)</f>
        <v/>
      </c>
      <c r="AF53" s="261">
        <f>SUM(AF49:AF52)</f>
        <v/>
      </c>
      <c r="AG53" s="261">
        <f>SUM(AG49:AG52)</f>
        <v/>
      </c>
      <c r="AH53" s="261">
        <f>SUM(AH49:AH52)</f>
        <v/>
      </c>
      <c r="AI53" s="261">
        <f>SUM(AI49:AI52)</f>
        <v/>
      </c>
      <c r="AJ53" s="261">
        <f>SUM(AJ49:AJ52)</f>
        <v/>
      </c>
      <c r="AK53" s="261">
        <f>SUM(AK49:AK52)</f>
        <v/>
      </c>
      <c r="AL53" s="261">
        <f>SUM(AL49:AL52)</f>
        <v/>
      </c>
      <c r="AM53" s="261">
        <f>SUM(AM49:AM52)</f>
        <v/>
      </c>
      <c r="AN53" s="261">
        <f>SUM(AN49:AN52)</f>
        <v/>
      </c>
      <c r="AO53" s="261">
        <f>SUM(AO49:AO52)</f>
        <v/>
      </c>
      <c r="AP53" s="261">
        <f>SUM(AP49:AP52)</f>
        <v/>
      </c>
      <c r="AQ53" s="261">
        <f>SUM(AQ49:AQ52)</f>
        <v/>
      </c>
      <c r="AR53" s="261">
        <f>SUM(AR49:AR52)</f>
        <v/>
      </c>
      <c r="AS53" s="261">
        <f>SUM(AS49:AS52)</f>
        <v/>
      </c>
      <c r="AT53" s="261">
        <f>SUM(AT49:AT52)</f>
        <v/>
      </c>
    </row>
    <row r="54">
      <c r="A54" s="219" t="inlineStr">
        <is>
          <t xml:space="preserve">  [종합병원 S-curve 로짓변환, L=상한]</t>
        </is>
      </c>
      <c r="U54" s="219">
        <f>LN(U44/($E$33-U44))</f>
        <v/>
      </c>
      <c r="V54" s="219">
        <f>LN(V44/($E$33-V44))</f>
        <v/>
      </c>
      <c r="W54" s="219">
        <f>LN(W44/($E$33-W44))</f>
        <v/>
      </c>
      <c r="X54" s="219">
        <f>LN(X44/($E$33-X44))</f>
        <v/>
      </c>
      <c r="Y54" s="219">
        <f>LN(Y44/($E$33-Y44))</f>
        <v/>
      </c>
      <c r="Z54" s="219">
        <f>LN(Z44/($E$33-Z44))</f>
        <v/>
      </c>
    </row>
    <row r="55"/>
    <row r="56">
      <c r="A56" s="81" t="inlineStr">
        <is>
          <t xml:space="preserve">※ 출처 : IQVIA(FY2020~2025), SS-Chart (FY2021~2025), BI 자체 추정 </t>
        </is>
      </c>
    </row>
    <row r="57">
      <c r="A57" s="55" t="inlineStr">
        <is>
          <t>※ 범례</t>
        </is>
      </c>
    </row>
    <row r="58">
      <c r="A58" s="56" t="inlineStr">
        <is>
          <t>· 외부 입력 데이터: 청색(Blue) 표기</t>
        </is>
      </c>
    </row>
    <row r="59">
      <c r="A59" s="56" t="inlineStr">
        <is>
          <t>· 예측 변수(또는 예측치): 녹색(Green) 표기</t>
        </is>
      </c>
    </row>
    <row r="60">
      <c r="A60" s="56" t="inlineStr">
        <is>
          <t>· 최종 산출 결과: 황색(Yellow) 음영 행</t>
        </is>
      </c>
    </row>
  </sheetData>
  <mergeCells count="1">
    <mergeCell ref="A2:K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O59"/>
  <sheetViews>
    <sheetView showGridLines="0" tabSelected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.8" customWidth="1" style="217" min="1" max="1"/>
    <col width="12.8" customWidth="1" style="217" min="2" max="2"/>
    <col width="12.8" customWidth="1" style="217" min="3" max="3"/>
    <col width="12.8" customWidth="1" style="217" min="4" max="4"/>
    <col width="12.8" customWidth="1" style="217" min="5" max="5"/>
    <col width="12.8" customWidth="1" style="217" min="6" max="6"/>
    <col width="12.8" customWidth="1" style="217" min="7" max="7"/>
    <col width="12.8" customWidth="1" style="217" min="8" max="8"/>
    <col width="12.8" customWidth="1" style="217" min="9" max="9"/>
    <col width="11.5" customWidth="1" style="217" min="10" max="10"/>
    <col width="11.5" customWidth="1" style="217" min="11" max="11"/>
    <col width="11.5" customWidth="1" style="217" min="12" max="12"/>
    <col width="11.5" customWidth="1" style="217" min="13" max="13"/>
    <col width="11.5" customWidth="1" style="217" min="14" max="14"/>
    <col width="3" customWidth="1" style="217" min="15" max="15"/>
    <col width="11.9" customWidth="1" style="217" min="16" max="16"/>
  </cols>
  <sheetData>
    <row r="1"/>
    <row r="2">
      <c r="A2" s="267" t="inlineStr">
        <is>
          <t>DSKR NSA (SAP)매출 산출 : IQVIA 데이터 기반 예측 (FY26 목표단가 적용)</t>
        </is>
      </c>
    </row>
    <row r="3"/>
    <row r="4">
      <c r="B4" s="268" t="inlineStr">
        <is>
          <t>◀ 실측 (DSKR, FY2020~2025)</t>
        </is>
      </c>
      <c r="J4" s="268" t="inlineStr">
        <is>
          <t>예측 ▶</t>
        </is>
      </c>
    </row>
    <row r="5">
      <c r="A5" s="269" t="inlineStr">
        <is>
          <t>구분 / 회계연도 ▶</t>
        </is>
      </c>
      <c r="B5" s="270" t="inlineStr">
        <is>
          <t>FY2018</t>
        </is>
      </c>
      <c r="C5" s="270" t="inlineStr">
        <is>
          <t>FY2019</t>
        </is>
      </c>
      <c r="D5" s="270" t="inlineStr">
        <is>
          <t>FY2020</t>
        </is>
      </c>
      <c r="E5" s="270" t="inlineStr">
        <is>
          <t>FY2021</t>
        </is>
      </c>
      <c r="F5" s="270" t="inlineStr">
        <is>
          <t>FY2022</t>
        </is>
      </c>
      <c r="G5" s="270" t="inlineStr">
        <is>
          <t>FY2023</t>
        </is>
      </c>
      <c r="H5" s="270" t="inlineStr">
        <is>
          <t>FY2024</t>
        </is>
      </c>
      <c r="I5" s="270" t="inlineStr">
        <is>
          <t>FY2025</t>
        </is>
      </c>
      <c r="J5" s="271" t="inlineStr">
        <is>
          <t>FY2026</t>
        </is>
      </c>
      <c r="K5" s="271" t="inlineStr">
        <is>
          <t>FY2027</t>
        </is>
      </c>
      <c r="L5" s="271" t="inlineStr">
        <is>
          <t>FY2028</t>
        </is>
      </c>
      <c r="M5" s="271" t="inlineStr">
        <is>
          <t>FY2029</t>
        </is>
      </c>
      <c r="N5" s="271" t="inlineStr">
        <is>
          <t>FY2030</t>
        </is>
      </c>
    </row>
    <row r="6">
      <c r="A6" s="272" t="inlineStr">
        <is>
          <t>■ A. NSA 수량 (A, IQVIA 기준)                 [근거_NSA수량(IQVIA기준) 참조]</t>
        </is>
      </c>
    </row>
    <row r="7">
      <c r="A7" s="219" t="inlineStr">
        <is>
          <t xml:space="preserve">  NSA 수량</t>
        </is>
      </c>
      <c r="B7" s="273">
        <f>IF('근거_NSA수량(IQVIA기준)'!B27=0,"",'근거_NSA수량(IQVIA기준)'!B27)</f>
        <v/>
      </c>
      <c r="C7" s="273">
        <f>IF('근거_NSA수량(IQVIA기준)'!C27=0,"",'근거_NSA수량(IQVIA기준)'!C27)</f>
        <v/>
      </c>
      <c r="D7" s="273">
        <f>IF('근거_NSA수량(IQVIA기준)'!D27=0,"",'근거_NSA수량(IQVIA기준)'!D27)</f>
        <v/>
      </c>
      <c r="E7" s="273">
        <f>IF('근거_NSA수량(IQVIA기준)'!E27=0,"",'근거_NSA수량(IQVIA기준)'!E27)</f>
        <v/>
      </c>
      <c r="F7" s="273">
        <f>IF('근거_NSA수량(IQVIA기준)'!F27=0,"",'근거_NSA수량(IQVIA기준)'!F27)</f>
        <v/>
      </c>
      <c r="G7" s="273">
        <f>IF('근거_NSA수량(IQVIA기준)'!G27=0,"",'근거_NSA수량(IQVIA기준)'!G27)</f>
        <v/>
      </c>
      <c r="H7" s="273">
        <f>IF('근거_NSA수량(IQVIA기준)'!H27=0,"",'근거_NSA수량(IQVIA기준)'!H27)</f>
        <v/>
      </c>
      <c r="I7" s="273">
        <f>IF('근거_NSA수량(IQVIA기준)'!I27=0,"",'근거_NSA수량(IQVIA기준)'!I27)</f>
        <v/>
      </c>
      <c r="J7" s="273">
        <f>IF('근거_NSA수량(IQVIA기준)'!J27=0,"",'근거_NSA수량(IQVIA기준)'!J27)</f>
        <v/>
      </c>
      <c r="K7" s="273">
        <f>IF('근거_NSA수량(IQVIA기준)'!K27=0,"",'근거_NSA수량(IQVIA기준)'!K27)</f>
        <v/>
      </c>
      <c r="L7" s="273">
        <f>IF('근거_NSA수량(IQVIA기준)'!L27=0,"",'근거_NSA수량(IQVIA기준)'!L27)</f>
        <v/>
      </c>
      <c r="M7" s="273">
        <f>IF('근거_NSA수량(IQVIA기준)'!M27=0,"",'근거_NSA수량(IQVIA기준)'!M27)</f>
        <v/>
      </c>
      <c r="N7" s="273">
        <f>IF('근거_NSA수량(IQVIA기준)'!N27=0,"",'근거_NSA수량(IQVIA기준)'!N27)</f>
        <v/>
      </c>
    </row>
    <row r="8"/>
    <row r="9">
      <c r="A9" s="272" t="inlineStr">
        <is>
          <t xml:space="preserve">■ B. DSKR 매출수량 (A)                [FY2020~2025 : SAP 실측 | FY2026~FY2030 : NSA 수량(A) ÷ 전환비율(C)]     </t>
        </is>
      </c>
    </row>
    <row r="10">
      <c r="A10" s="274" t="inlineStr">
        <is>
          <t xml:space="preserve">  ▶ 1) Model Base </t>
        </is>
      </c>
      <c r="B10" s="275" t="n"/>
      <c r="C10" s="275" t="n"/>
      <c r="D10" s="275" t="n">
        <v>1609310</v>
      </c>
      <c r="E10" s="275" t="n">
        <v>1938415</v>
      </c>
      <c r="F10" s="275" t="n">
        <v>1836815</v>
      </c>
      <c r="G10" s="275" t="n">
        <v>2035465</v>
      </c>
      <c r="H10" s="275" t="n">
        <v>1595925</v>
      </c>
      <c r="I10" s="275" t="n">
        <v>1905010</v>
      </c>
      <c r="J10" s="276">
        <f>J7/J24</f>
        <v/>
      </c>
      <c r="K10" s="276">
        <f>K7/K24</f>
        <v/>
      </c>
      <c r="L10" s="276">
        <f>L7/L24</f>
        <v/>
      </c>
      <c r="M10" s="276">
        <f>M7/M24</f>
        <v/>
      </c>
      <c r="N10" s="276">
        <f>N7/N24</f>
        <v/>
      </c>
    </row>
    <row r="11">
      <c r="A11" s="219" t="inlineStr">
        <is>
          <t xml:space="preserve">   : 모듈 산출치로 시나리오 기준선 역할</t>
        </is>
      </c>
    </row>
    <row r="12">
      <c r="A12" s="274" t="inlineStr">
        <is>
          <t xml:space="preserve">  ▶ 2) MKT Base                         [FY2026 : MKT 제공 예측치 (J12 직접 입력) | FY2027~FY2030 : 전년 × Model Base 증감률]</t>
        </is>
      </c>
      <c r="J12" s="277" t="n"/>
      <c r="K12" s="276">
        <f>IF($J$12="","",J12*K10/J10)</f>
        <v/>
      </c>
      <c r="L12" s="276">
        <f>IF($J$12="","",K12*L10/K10)</f>
        <v/>
      </c>
      <c r="M12" s="276">
        <f>IF($J$12="","",L12*M10/L10)</f>
        <v/>
      </c>
      <c r="N12" s="276">
        <f>IF($J$12="","",M12*N10/M10)</f>
        <v/>
      </c>
    </row>
    <row r="13">
      <c r="A13" s="219" t="inlineStr">
        <is>
          <t xml:space="preserve">  : '26 MKT 제출 수치를 J12(노랑)에 입력하면 MKT Base 행·차트가 자동 활성화 (미입력 시 공란)</t>
        </is>
      </c>
      <c r="J13" s="278">
        <f>IF($J$12="","",J12/J10-1)</f>
        <v/>
      </c>
      <c r="K13" s="278">
        <f>IF($J$12="","",K12/K10-1)</f>
        <v/>
      </c>
      <c r="L13" s="278">
        <f>IF($J$12="","",L12/L10-1)</f>
        <v/>
      </c>
      <c r="M13" s="278">
        <f>IF($J$12="","",M12/M10-1)</f>
        <v/>
      </c>
      <c r="N13" s="278">
        <f>IF($J$12="","",N12/N10-1)</f>
        <v/>
      </c>
    </row>
    <row r="14">
      <c r="A14" s="279" t="inlineStr">
        <is>
          <t xml:space="preserve">  ▶ 3) Best Scenario (±10%p)     [FY2027~FY2030 : (Base NSA 수량 + NSA MS +10%p 효과 (MS 100% 상한 적용)) ÷ 전환비율]</t>
        </is>
      </c>
      <c r="J14" s="280">
        <f>('근거_NSA수량(IQVIA기준)'!J27)/J24</f>
        <v/>
      </c>
      <c r="K14" s="280">
        <f>(MIN('근거_NSA수량(IQVIA기준)'!K27+0.1*'근거_NSA수량(IQVIA기준)'!K7,'근거_NSA수량(IQVIA기준)'!K7))/K24</f>
        <v/>
      </c>
      <c r="L14" s="280">
        <f>(MIN('근거_NSA수량(IQVIA기준)'!L27+0.1*'근거_NSA수량(IQVIA기준)'!L7,'근거_NSA수량(IQVIA기준)'!L7))/L24</f>
        <v/>
      </c>
      <c r="M14" s="280">
        <f>(MIN('근거_NSA수량(IQVIA기준)'!M27+0.1*'근거_NSA수량(IQVIA기준)'!M7,'근거_NSA수량(IQVIA기준)'!M7))/M24</f>
        <v/>
      </c>
      <c r="N14" s="280">
        <f>(MIN('근거_NSA수량(IQVIA기준)'!N27+0.1*'근거_NSA수량(IQVIA기준)'!N7,'근거_NSA수량(IQVIA기준)'!N7))/N24</f>
        <v/>
      </c>
    </row>
    <row r="15">
      <c r="A15" s="219" t="inlineStr">
        <is>
          <t xml:space="preserve">  : Model Base 기준, Ramosetron 시장 내 NSA MS +10%p 확대 시나리오 (전 종별 동시 적용)</t>
        </is>
      </c>
      <c r="J15" s="278">
        <f>J14/J10-1</f>
        <v/>
      </c>
      <c r="K15" s="278">
        <f>K14/K10-1</f>
        <v/>
      </c>
      <c r="L15" s="278">
        <f>L14/L10-1</f>
        <v/>
      </c>
      <c r="M15" s="278">
        <f>M14/M10-1</f>
        <v/>
      </c>
      <c r="N15" s="278">
        <f>N14/N10-1</f>
        <v/>
      </c>
    </row>
    <row r="16">
      <c r="A16" s="281" t="inlineStr">
        <is>
          <t xml:space="preserve">  ▶ 4) Worst Scenario (±10%p)     [FY2027~FY2030 : (Base NSA 수량 + NSA MS -10%p 효과) ÷ 전환비율]</t>
        </is>
      </c>
      <c r="J16" s="282">
        <f>('근거_NSA수량(IQVIA기준)'!J27)/J24</f>
        <v/>
      </c>
      <c r="K16" s="282">
        <f>('근거_NSA수량(IQVIA기준)'!K27-0.1*'근거_NSA수량(IQVIA기준)'!K7)/K24</f>
        <v/>
      </c>
      <c r="L16" s="282">
        <f>('근거_NSA수량(IQVIA기준)'!L27-0.1*'근거_NSA수량(IQVIA기준)'!L7)/L24</f>
        <v/>
      </c>
      <c r="M16" s="282">
        <f>('근거_NSA수량(IQVIA기준)'!M27-0.1*'근거_NSA수량(IQVIA기준)'!M7)/M24</f>
        <v/>
      </c>
      <c r="N16" s="282">
        <f>('근거_NSA수량(IQVIA기준)'!N27-0.1*'근거_NSA수량(IQVIA기준)'!N7)/N24</f>
        <v/>
      </c>
    </row>
    <row r="17">
      <c r="A17" s="219" t="inlineStr">
        <is>
          <t xml:space="preserve">  : Model Base 기준, Ramosetron 시장 내 NSA MS -10%p 잠식 시나리오 (전 종별 동시 적용)</t>
        </is>
      </c>
      <c r="J17" s="278">
        <f>J16/J10-1</f>
        <v/>
      </c>
      <c r="K17" s="278">
        <f>K16/K10-1</f>
        <v/>
      </c>
      <c r="L17" s="278">
        <f>L16/L10-1</f>
        <v/>
      </c>
      <c r="M17" s="278">
        <f>M16/M10-1</f>
        <v/>
      </c>
      <c r="N17" s="278">
        <f>N16/N10-1</f>
        <v/>
      </c>
    </row>
    <row r="18">
      <c r="A18" s="279" t="inlineStr">
        <is>
          <t xml:space="preserve">  ▶ 5) Best Scenario (±5%p)     [FY2027~FY2030 : (Base NSA 수량 + NSA MS +5%p 효과 (MS 100% 상한 적용)) ÷ 전환비율]</t>
        </is>
      </c>
      <c r="J18" s="280">
        <f>('근거_NSA수량(IQVIA기준)'!J27)/J24</f>
        <v/>
      </c>
      <c r="K18" s="280">
        <f>(MIN('근거_NSA수량(IQVIA기준)'!K27+0.05*'근거_NSA수량(IQVIA기준)'!K7,'근거_NSA수량(IQVIA기준)'!K7))/K24</f>
        <v/>
      </c>
      <c r="L18" s="280">
        <f>(MIN('근거_NSA수량(IQVIA기준)'!L27+0.05*'근거_NSA수량(IQVIA기준)'!L7,'근거_NSA수량(IQVIA기준)'!L7))/L24</f>
        <v/>
      </c>
      <c r="M18" s="280">
        <f>(MIN('근거_NSA수량(IQVIA기준)'!M27+0.05*'근거_NSA수량(IQVIA기준)'!M7,'근거_NSA수량(IQVIA기준)'!M7))/M24</f>
        <v/>
      </c>
      <c r="N18" s="280">
        <f>(MIN('근거_NSA수량(IQVIA기준)'!N27+0.05*'근거_NSA수량(IQVIA기준)'!N7,'근거_NSA수량(IQVIA기준)'!N7))/N24</f>
        <v/>
      </c>
    </row>
    <row r="19">
      <c r="A19" s="219" t="inlineStr">
        <is>
          <t xml:space="preserve">  : Model Base 기준, Ramosetron 시장 내 NSA MS +5%p 확대 시나리오 (전 종별 동시 적용)</t>
        </is>
      </c>
      <c r="J19" s="278">
        <f>J18/J10-1</f>
        <v/>
      </c>
      <c r="K19" s="278">
        <f>K18/K10-1</f>
        <v/>
      </c>
      <c r="L19" s="278">
        <f>L18/L10-1</f>
        <v/>
      </c>
      <c r="M19" s="278">
        <f>M18/M10-1</f>
        <v/>
      </c>
      <c r="N19" s="278">
        <f>N18/N10-1</f>
        <v/>
      </c>
    </row>
    <row r="20">
      <c r="A20" s="281" t="inlineStr">
        <is>
          <t xml:space="preserve">  ▶ 6) Worst Scenario (±5%p)     [FY2027~FY2030 : (Base NSA 수량 + NSA MS -5%p 효과) ÷ 전환비율]</t>
        </is>
      </c>
      <c r="J20" s="282">
        <f>('근거_NSA수량(IQVIA기준)'!J27)/J24</f>
        <v/>
      </c>
      <c r="K20" s="282">
        <f>('근거_NSA수량(IQVIA기준)'!K27-0.05*'근거_NSA수량(IQVIA기준)'!K7)/K24</f>
        <v/>
      </c>
      <c r="L20" s="282">
        <f>('근거_NSA수량(IQVIA기준)'!L27-0.05*'근거_NSA수량(IQVIA기준)'!L7)/L24</f>
        <v/>
      </c>
      <c r="M20" s="282">
        <f>('근거_NSA수량(IQVIA기준)'!M27-0.05*'근거_NSA수량(IQVIA기준)'!M7)/M24</f>
        <v/>
      </c>
      <c r="N20" s="282">
        <f>('근거_NSA수량(IQVIA기준)'!N27-0.05*'근거_NSA수량(IQVIA기준)'!N7)/N24</f>
        <v/>
      </c>
    </row>
    <row r="21">
      <c r="A21" s="219" t="inlineStr">
        <is>
          <t xml:space="preserve">  : Model Base 기준, Ramosetron 시장 내 NSA MS -5%p 잠식 시나리오 (전 종별 동시 적용)</t>
        </is>
      </c>
      <c r="J21" s="278">
        <f>J20/J10-1</f>
        <v/>
      </c>
      <c r="K21" s="278">
        <f>K20/K10-1</f>
        <v/>
      </c>
      <c r="L21" s="278">
        <f>L20/L10-1</f>
        <v/>
      </c>
      <c r="M21" s="278">
        <f>M20/M10-1</f>
        <v/>
      </c>
      <c r="N21" s="278">
        <f>N20/N10-1</f>
        <v/>
      </c>
    </row>
    <row r="22"/>
    <row r="23">
      <c r="A23" s="272" t="inlineStr">
        <is>
          <t>■ C. 전환비율 (IQVIA 수량 ÷ SAP 매출수량)  [FY2020~2025 : 산출치 | FY2026~2030 : FY24~25 평균 (원 모델 기준 유지)]</t>
        </is>
      </c>
    </row>
    <row r="24">
      <c r="A24" s="219" t="inlineStr">
        <is>
          <t xml:space="preserve">  전환비율</t>
        </is>
      </c>
      <c r="D24" s="278">
        <f>IFERROR(D7/D10,"")</f>
        <v/>
      </c>
      <c r="E24" s="278">
        <f>IFERROR(E7/E10,"")</f>
        <v/>
      </c>
      <c r="F24" s="278">
        <f>IFERROR(F7/F10,"")</f>
        <v/>
      </c>
      <c r="G24" s="278">
        <f>IFERROR(G7/G10,"")</f>
        <v/>
      </c>
      <c r="H24" s="278">
        <f>IFERROR(H7/H10,"")</f>
        <v/>
      </c>
      <c r="I24" s="278">
        <f>IFERROR(I7/I10,"")</f>
        <v/>
      </c>
      <c r="J24" s="283">
        <f>AVERAGE(H24:I24)</f>
        <v/>
      </c>
      <c r="K24" s="283">
        <f>J24</f>
        <v/>
      </c>
      <c r="L24" s="283">
        <f>K24</f>
        <v/>
      </c>
      <c r="M24" s="283">
        <f>L24</f>
        <v/>
      </c>
      <c r="N24" s="283">
        <f>M24</f>
        <v/>
      </c>
    </row>
    <row r="25"/>
    <row r="26">
      <c r="A26" s="272" t="inlineStr">
        <is>
          <t>■ D. 단가 (원/A)                              [연도별 단가 : FY2026 목표단가(백만원/5A) ÷ 5 × 연도별 약가 배율 (인하 고시 시 28행 수정) ]</t>
        </is>
      </c>
    </row>
    <row r="27">
      <c r="A27" s="219" t="inlineStr">
        <is>
          <t>환산 단가 (원/A)</t>
        </is>
      </c>
      <c r="B27" s="379">
        <f>$B$59/5*1000000</f>
        <v/>
      </c>
      <c r="C27" s="219" t="inlineStr">
        <is>
          <t>(NASEA Inj. 0.3mg/5A FY2026 목표단가 ÷ 5 — 하단 [참고] 목표단가 참조)</t>
        </is>
      </c>
    </row>
    <row r="28">
      <c r="A28" s="219" t="inlineStr">
        <is>
          <t xml:space="preserve">   약가 배율 (%)</t>
        </is>
      </c>
      <c r="J28" s="285" t="n">
        <v>1</v>
      </c>
      <c r="K28" s="285" t="n">
        <v>1</v>
      </c>
      <c r="L28" s="285" t="n">
        <v>1</v>
      </c>
      <c r="M28" s="285" t="n">
        <v>1</v>
      </c>
      <c r="N28" s="285" t="n">
        <v>1</v>
      </c>
      <c r="O28" s="286" t="inlineStr">
        <is>
          <t>◀ 약가 인하 고시 없음 → 100% 유지 (인하 확정 시 해당 연도 배율만 수정)</t>
        </is>
      </c>
    </row>
    <row r="29">
      <c r="A29" s="287" t="inlineStr">
        <is>
          <t xml:space="preserve">  단가 (원/A) </t>
        </is>
      </c>
      <c r="J29" s="288">
        <f>$B$27*J28</f>
        <v/>
      </c>
      <c r="K29" s="288">
        <f>$B$27*K28</f>
        <v/>
      </c>
      <c r="L29" s="288">
        <f>$B$27*L28</f>
        <v/>
      </c>
      <c r="M29" s="288">
        <f>$B$27*M28</f>
        <v/>
      </c>
      <c r="N29" s="288">
        <f>$B$27*N28</f>
        <v/>
      </c>
    </row>
    <row r="30"/>
    <row r="31">
      <c r="A31" s="272" t="inlineStr">
        <is>
          <t>■ E. DSKR SAP매출액 (백만원)      [FY2020~2025 : 실측 수량 × FY2026 목표단가 | FY2026~FY2030 : DSKR 매출 수량(B) × 단가(D) ]</t>
        </is>
      </c>
    </row>
    <row r="32">
      <c r="A32" s="274" t="inlineStr">
        <is>
          <t xml:space="preserve">  ▶ 1) Model Base : (B-1) × (D)</t>
        </is>
      </c>
      <c r="B32" s="275" t="n"/>
      <c r="C32" s="275" t="n"/>
      <c r="D32" s="275" t="n">
        <v>22226.502272</v>
      </c>
      <c r="E32" s="275" t="n">
        <v>26771.837248</v>
      </c>
      <c r="F32" s="275" t="n">
        <v>25368.619328</v>
      </c>
      <c r="G32" s="275" t="n">
        <v>28112.214208</v>
      </c>
      <c r="H32" s="275" t="n">
        <v>22041.63936</v>
      </c>
      <c r="I32" s="275" t="n">
        <v>26310.474112</v>
      </c>
      <c r="J32" s="276">
        <f>J10*J29/1000000</f>
        <v/>
      </c>
      <c r="K32" s="276">
        <f>K10*K29/1000000</f>
        <v/>
      </c>
      <c r="L32" s="276">
        <f>L10*L29/1000000</f>
        <v/>
      </c>
      <c r="M32" s="276">
        <f>M10*M29/1000000</f>
        <v/>
      </c>
      <c r="N32" s="276">
        <f>N10*N29/1000000</f>
        <v/>
      </c>
    </row>
    <row r="33">
      <c r="A33" s="219" t="inlineStr">
        <is>
          <t xml:space="preserve">  YoY 증감률 </t>
        </is>
      </c>
      <c r="C33" s="289">
        <f>IFERROR(C32/B32-1,"")</f>
        <v/>
      </c>
      <c r="D33" s="289">
        <f>IFERROR(D32/C32-1,"")</f>
        <v/>
      </c>
      <c r="E33" s="289">
        <f>IFERROR(E32/D32-1,"")</f>
        <v/>
      </c>
      <c r="F33" s="289">
        <f>IFERROR(F32/E32-1,"")</f>
        <v/>
      </c>
      <c r="G33" s="289">
        <f>IFERROR(G32/F32-1,"")</f>
        <v/>
      </c>
      <c r="H33" s="289">
        <f>IFERROR(H32/G32-1,"")</f>
        <v/>
      </c>
      <c r="I33" s="289">
        <f>IFERROR(I32/H32-1,"")</f>
        <v/>
      </c>
      <c r="J33" s="289">
        <f>IFERROR(J32/I32-1,"")</f>
        <v/>
      </c>
      <c r="K33" s="289">
        <f>IFERROR(K32/J32-1,"")</f>
        <v/>
      </c>
      <c r="L33" s="289">
        <f>IFERROR(L32/K32-1,"")</f>
        <v/>
      </c>
      <c r="M33" s="289">
        <f>IFERROR(M32/L32-1,"")</f>
        <v/>
      </c>
      <c r="N33" s="289">
        <f>IFERROR(N32/M32-1,"")</f>
        <v/>
      </c>
    </row>
    <row r="34">
      <c r="A34" s="274" t="inlineStr">
        <is>
          <t xml:space="preserve">  ▶ 2) MKT Base : MKT Base(B-2) × 단가(D)</t>
        </is>
      </c>
      <c r="J34" s="276">
        <f>IF($J$12="","",J12*J29/1000000)</f>
        <v/>
      </c>
      <c r="K34" s="276">
        <f>IF($J$12="","",K12*K29/1000000)</f>
        <v/>
      </c>
      <c r="L34" s="276">
        <f>IF($J$12="","",L12*L29/1000000)</f>
        <v/>
      </c>
      <c r="M34" s="276">
        <f>IF($J$12="","",M12*M29/1000000)</f>
        <v/>
      </c>
      <c r="N34" s="276">
        <f>IF($J$12="","",N12*N29/1000000)</f>
        <v/>
      </c>
    </row>
    <row r="35">
      <c r="A35" s="279" t="inlineStr">
        <is>
          <t xml:space="preserve">  ▶ 3) Best (±10%p) : Best 수량(B-3) × 단가(D)</t>
        </is>
      </c>
      <c r="J35" s="280">
        <f>J14*J29/1000000</f>
        <v/>
      </c>
      <c r="K35" s="280">
        <f>K14*K29/1000000</f>
        <v/>
      </c>
      <c r="L35" s="280">
        <f>L14*L29/1000000</f>
        <v/>
      </c>
      <c r="M35" s="280">
        <f>M14*M29/1000000</f>
        <v/>
      </c>
      <c r="N35" s="280">
        <f>N14*N29/1000000</f>
        <v/>
      </c>
    </row>
    <row r="36">
      <c r="A36" s="281" t="inlineStr">
        <is>
          <t xml:space="preserve">  ▶ 4) Worst (±10%p) : Worst 수량(B-4) × 단가(D)</t>
        </is>
      </c>
      <c r="J36" s="282">
        <f>J16*J29/1000000</f>
        <v/>
      </c>
      <c r="K36" s="282">
        <f>K16*K29/1000000</f>
        <v/>
      </c>
      <c r="L36" s="282">
        <f>L16*L29/1000000</f>
        <v/>
      </c>
      <c r="M36" s="282">
        <f>M16*M29/1000000</f>
        <v/>
      </c>
      <c r="N36" s="282">
        <f>N16*N29/1000000</f>
        <v/>
      </c>
    </row>
    <row r="37">
      <c r="A37" s="279" t="inlineStr">
        <is>
          <t xml:space="preserve">  ▶ 5) Best (±5%p) : Best 수량(B-5) × 단가(D)</t>
        </is>
      </c>
      <c r="J37" s="280">
        <f>J18*J29/1000000</f>
        <v/>
      </c>
      <c r="K37" s="280">
        <f>K18*K29/1000000</f>
        <v/>
      </c>
      <c r="L37" s="280">
        <f>L18*L29/1000000</f>
        <v/>
      </c>
      <c r="M37" s="280">
        <f>M18*M29/1000000</f>
        <v/>
      </c>
      <c r="N37" s="280">
        <f>N18*N29/1000000</f>
        <v/>
      </c>
    </row>
    <row r="38">
      <c r="A38" s="281" t="inlineStr">
        <is>
          <t xml:space="preserve">  ▶ 6) Worst (±5%p) : Worst 수량(B-6) × 단가(D)</t>
        </is>
      </c>
      <c r="J38" s="282">
        <f>J20*J29/1000000</f>
        <v/>
      </c>
      <c r="K38" s="282">
        <f>K20*K29/1000000</f>
        <v/>
      </c>
      <c r="L38" s="282">
        <f>L20*L29/1000000</f>
        <v/>
      </c>
      <c r="M38" s="282">
        <f>M20*M29/1000000</f>
        <v/>
      </c>
      <c r="N38" s="282">
        <f>N20*N29/1000000</f>
        <v/>
      </c>
    </row>
    <row r="39"/>
    <row r="40">
      <c r="B40" s="287" t="inlineStr">
        <is>
          <t xml:space="preserve">[참고] </t>
        </is>
      </c>
    </row>
    <row r="41">
      <c r="B41" s="287" t="inlineStr">
        <is>
          <t>*시나리오 밴드 설정 및 산출 기준</t>
        </is>
      </c>
    </row>
    <row r="42">
      <c r="B42" s="287" t="inlineStr">
        <is>
          <t>· 시나리오 기준 (민감도 1위 지표: Ramosetron 시장 내 NSA MS) — ±10%p(주 밴드)·±5%p(보조 밴드) 2단계</t>
        </is>
      </c>
    </row>
    <row r="43">
      <c r="B43" s="287" t="inlineStr">
        <is>
          <t>- Best (MS 확대): 상급종합·종합병원 코드인 유지 및 병원급 확대로 NSA MS +10%p / +5%p → 매출 상단</t>
        </is>
      </c>
    </row>
    <row r="44">
      <c r="B44" s="287" t="inlineStr">
        <is>
          <t>- Worst (MS 잠식): 제네릭 저가 입찰·처방 전환으로 NSA MS -10%p / -5%p → 매출 하단</t>
        </is>
      </c>
    </row>
    <row r="45">
      <c r="B45" s="287" t="inlineStr">
        <is>
          <t>· 핵심 산출 근거: 종별 NSA MS 분기 실측(2020Q1~2026Q1, 근거_NSA수량 [참고]) 기준 가감. 시장 수량(Ramosetron)은 Base 고정</t>
        </is>
      </c>
    </row>
    <row r="46">
      <c r="B46" s="287" t="inlineStr">
        <is>
          <t xml:space="preserve">· 전략적 시사점 </t>
        </is>
      </c>
    </row>
    <row r="47">
      <c r="B47" s="290" t="inlineStr">
        <is>
          <t>- Best와 Worst 시나리오 간의 최종 매출 격차(Band 폭)는 예측 오차가 아니라, 영업·마케팅의 종별 MS 방어·확대 활동이 창출해야 할 '전략적 목표 가치(Value)'를 의미</t>
        </is>
      </c>
    </row>
    <row r="48">
      <c r="B48" s="287" t="inlineStr">
        <is>
          <t>· 모델링 전제 조건</t>
        </is>
      </c>
    </row>
    <row r="49">
      <c r="B49" s="290" t="inlineStr">
        <is>
          <t>- 핵심 변수 집중: 환자수·종별 비율 등 후순위 변수와 '약가 경로'는 기본값(Base)으로 고정하여, 가장 민감도가 높은 'NSA MS 증감'의 단일 영향력을 명확히 함.</t>
        </is>
      </c>
    </row>
    <row r="50">
      <c r="B50" s="290" t="inlineStr">
        <is>
          <t xml:space="preserve">- 예외 적용: FY2026은 시나리오 밴드 미적용 (세일즈 포캐스트 대상은 FY2027~) </t>
        </is>
      </c>
    </row>
    <row r="51"/>
    <row r="52">
      <c r="B52" s="268" t="inlineStr">
        <is>
          <t xml:space="preserve">※ 출처 : IQVIA(FY2020~2025), SAP </t>
        </is>
      </c>
    </row>
    <row r="53">
      <c r="B53" s="290" t="inlineStr">
        <is>
          <t>※ 범례</t>
        </is>
      </c>
    </row>
    <row r="54">
      <c r="B54" s="290" t="inlineStr">
        <is>
          <t>· 외부 입력 데이터: 청색(Blue) 표기</t>
        </is>
      </c>
    </row>
    <row r="55">
      <c r="B55" s="290" t="inlineStr">
        <is>
          <t>· 예측 변수(또는 예측치): 녹색(Green) 표기</t>
        </is>
      </c>
    </row>
    <row r="56">
      <c r="B56" s="290" t="inlineStr">
        <is>
          <t>· 최종 산출 결과: 황색(Yellow) 음영 행</t>
        </is>
      </c>
    </row>
    <row r="57"/>
    <row r="58">
      <c r="B58" s="272" t="inlineStr">
        <is>
          <t>[참고] FY2026 목표단가 — 환산 단가(B27)의 산출 원천</t>
        </is>
      </c>
    </row>
    <row r="59">
      <c r="A59" s="219" t="inlineStr">
        <is>
          <t xml:space="preserve">  NASEA Inj. 0.3mg/5A (백만원/5A)</t>
        </is>
      </c>
      <c r="B59" s="291" t="n">
        <v>0.06905599999999999</v>
      </c>
      <c r="C59" s="286" t="inlineStr">
        <is>
          <t>(FY26BGT 목표단가; 1 Box = 5 Ampoule)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J45"/>
  <sheetViews>
    <sheetView showGridLines="0" tabSelected="0" workbookViewId="0">
      <selection activeCell="A1" sqref="A1"/>
    </sheetView>
  </sheetViews>
  <sheetFormatPr baseColWidth="8" defaultRowHeight="15"/>
  <cols>
    <col width="30.8" customWidth="1" style="217" min="1" max="1"/>
    <col width="34.8" customWidth="1" style="217" min="2" max="2"/>
    <col width="15.8" customWidth="1" style="217" min="3" max="3"/>
    <col width="14" customWidth="1" style="217" min="4" max="4"/>
    <col width="14" customWidth="1" style="217" min="5" max="5"/>
    <col width="42.8" customWidth="1" style="217" min="6" max="6"/>
    <col width="14" customWidth="1" style="217" min="7" max="7"/>
    <col width="8.800000000000001" customWidth="1" style="217" min="8" max="8"/>
  </cols>
  <sheetData>
    <row r="1"/>
    <row r="2">
      <c r="A2" s="267" t="inlineStr">
        <is>
          <t>NSA FCST 민감도  :  변동요인별 ± 이동이 Model Base 매출에 주는 영향</t>
        </is>
      </c>
    </row>
    <row r="3"/>
    <row r="4">
      <c r="A4" s="287" t="inlineStr">
        <is>
          <t>■ A. 방법</t>
        </is>
      </c>
    </row>
    <row r="5">
      <c r="A5" s="219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6"/>
    <row r="7"/>
    <row r="8">
      <c r="A8" s="287" t="inlineStr">
        <is>
          <t>■ B. 레버 정의</t>
        </is>
      </c>
    </row>
    <row r="9">
      <c r="B9" s="292" t="inlineStr">
        <is>
          <t>모델 내 위치</t>
        </is>
      </c>
      <c r="C9" s="292" t="inlineStr">
        <is>
          <t>기준값</t>
        </is>
      </c>
      <c r="D9" s="292" t="inlineStr">
        <is>
          <t>하방조건</t>
        </is>
      </c>
      <c r="E9" s="292" t="inlineStr">
        <is>
          <t>상방조건</t>
        </is>
      </c>
      <c r="F9" s="292" t="inlineStr">
        <is>
          <t>범위설정 근거</t>
        </is>
      </c>
    </row>
    <row r="10">
      <c r="A10" s="219" t="inlineStr">
        <is>
          <t>L1 전신마취환자수</t>
        </is>
      </c>
      <c r="B10" s="219" t="inlineStr">
        <is>
          <t>근거_전신마취환자수 42행 (2026~2030 연간)</t>
        </is>
      </c>
      <c r="C10" s="219" t="inlineStr">
        <is>
          <t>연령별 회귀/평균</t>
        </is>
      </c>
      <c r="D10" s="219" t="inlineStr">
        <is>
          <t>-2%</t>
        </is>
      </c>
      <c r="E10" s="219" t="inlineStr">
        <is>
          <t>+2%</t>
        </is>
      </c>
      <c r="F10" s="219" t="inlineStr">
        <is>
          <t>동등 산포의 레벨 쇼크(±2%) 근사</t>
        </is>
      </c>
    </row>
    <row r="11">
      <c r="A11" s="219" t="inlineStr">
        <is>
          <t>L2 상급종합 환자비율 상한</t>
        </is>
      </c>
      <c r="B11" s="219" t="inlineStr">
        <is>
          <t>근거_종별전신마취환자수 C25</t>
        </is>
      </c>
      <c r="C11" s="278" t="n">
        <v>0.41</v>
      </c>
      <c r="D11" s="278" t="n">
        <v>0.38</v>
      </c>
      <c r="E11" s="278" t="n">
        <v>0.44</v>
      </c>
      <c r="F11" s="219" t="inlineStr">
        <is>
          <t>회복모형 상한 ±3%p</t>
        </is>
      </c>
    </row>
    <row r="12">
      <c r="A12" s="219" t="inlineStr">
        <is>
          <t>L3 종합병원 환자비율 하한</t>
        </is>
      </c>
      <c r="B12" s="219" t="inlineStr">
        <is>
          <t>근거_종별전신마취환자수 C26</t>
        </is>
      </c>
      <c r="C12" s="278" t="n">
        <v>0.4</v>
      </c>
      <c r="D12" s="278" t="n">
        <v>0.37</v>
      </c>
      <c r="E12" s="278" t="n">
        <v>0.43</v>
      </c>
      <c r="F12" s="219" t="inlineStr">
        <is>
          <t>회복모형 하한 ±3%p</t>
        </is>
      </c>
    </row>
    <row r="13">
      <c r="A13" s="219" t="inlineStr">
        <is>
          <t>L4 환자당 Ramo 사용량</t>
        </is>
      </c>
      <c r="B13" s="219" t="inlineStr">
        <is>
          <t>근거_Ramosetron 시장 수량 22~25행 (2026~2030)</t>
        </is>
      </c>
      <c r="C13" s="219" t="inlineStr">
        <is>
          <t>선형회귀(상한) / flat</t>
        </is>
      </c>
      <c r="D13" s="219" t="inlineStr">
        <is>
          <t>-5%</t>
        </is>
      </c>
      <c r="E13" s="219" t="inlineStr">
        <is>
          <t>+5%</t>
        </is>
      </c>
      <c r="F13" s="219" t="inlineStr">
        <is>
          <t>연간모델 표본 부족에 따른 레벨 쇼크 ±5%</t>
        </is>
      </c>
    </row>
    <row r="14">
      <c r="A14" s="219" t="inlineStr">
        <is>
          <t>L5 NSA MS 상급종합 하한</t>
        </is>
      </c>
      <c r="B14" s="219" t="inlineStr">
        <is>
          <t>근거_NSA수량 E32 (레벨보정 하한)</t>
        </is>
      </c>
      <c r="C14" s="278" t="n">
        <v>0.55</v>
      </c>
      <c r="D14" s="278" t="n">
        <v>0.52</v>
      </c>
      <c r="E14" s="278" t="n">
        <v>0.58</v>
      </c>
      <c r="F14" s="219" t="inlineStr">
        <is>
          <t>백테스트 MAPE 2.9% 기준 ±3%p</t>
        </is>
      </c>
    </row>
    <row r="15">
      <c r="A15" s="219" t="inlineStr">
        <is>
          <t>L6 NSA MS 종합병원 상한</t>
        </is>
      </c>
      <c r="B15" s="219" t="inlineStr">
        <is>
          <t>근거_NSA수량 E33 (S-curve 상한)</t>
        </is>
      </c>
      <c r="C15" s="278" t="n">
        <v>0.5600000000000001</v>
      </c>
      <c r="D15" s="278" t="n">
        <v>0.53</v>
      </c>
      <c r="E15" s="278" t="n">
        <v>0.59</v>
      </c>
      <c r="F15" s="219" t="inlineStr">
        <is>
          <t>백테스트 MAPE 3.8% 기준 ±3%p</t>
        </is>
      </c>
    </row>
    <row r="16">
      <c r="A16" s="219" t="inlineStr">
        <is>
          <t>L7 NSA MS 병원·의원</t>
        </is>
      </c>
      <c r="B16" s="219" t="inlineStr">
        <is>
          <t>근거_NSA수량 51~52행 (2026Q2~2030Q4 수량)</t>
        </is>
      </c>
      <c r="C16" s="219" t="inlineStr">
        <is>
          <t>롤링4Q / EWMA</t>
        </is>
      </c>
      <c r="D16" s="219" t="inlineStr">
        <is>
          <t>-10%</t>
        </is>
      </c>
      <c r="E16" s="219" t="inlineStr">
        <is>
          <t>+10%</t>
        </is>
      </c>
      <c r="F16" s="219" t="inlineStr">
        <is>
          <t>백테스트 MAPE 8.9~10.3% 기준 ±10%</t>
        </is>
      </c>
    </row>
    <row r="17">
      <c r="A17" s="219" t="inlineStr">
        <is>
          <t>L8 NSA MS 전체 (시나리오)</t>
        </is>
      </c>
      <c r="B17" s="219" t="inlineStr">
        <is>
          <t>근거_매출 14·16행 (NSA 수량 ± MS×시장)</t>
        </is>
      </c>
      <c r="C17" s="219" t="inlineStr">
        <is>
          <t>종별 회귀 합산</t>
        </is>
      </c>
      <c r="D17" s="219" t="inlineStr">
        <is>
          <t>MS -10%p</t>
        </is>
      </c>
      <c r="E17" s="219" t="inlineStr">
        <is>
          <t>MS +10%p</t>
        </is>
      </c>
      <c r="F17" s="219" t="inlineStr">
        <is>
          <t>MTS 밴드와 동일 정의 (라이브 수식)</t>
        </is>
      </c>
    </row>
    <row r="18">
      <c r="A18" s="219" t="inlineStr">
        <is>
          <t>L9 전환비율</t>
        </is>
      </c>
      <c r="B18" s="219" t="inlineStr">
        <is>
          <t>근거_매출 24행 (FY24~25 평균)</t>
        </is>
      </c>
      <c r="C18" s="293" t="n">
        <v>1.044</v>
      </c>
      <c r="D18" s="293" t="n">
        <v>1.047</v>
      </c>
      <c r="E18" s="293" t="n">
        <v>1.01</v>
      </c>
      <c r="F18" s="219" t="inlineStr">
        <is>
          <t>FY2023~25 실측 최소·최대</t>
        </is>
      </c>
    </row>
    <row r="19"/>
    <row r="20"/>
    <row r="21">
      <c r="A21" s="287" t="inlineStr">
        <is>
          <t>■ C. 결과 — 기준 대비 매출 변화율</t>
        </is>
      </c>
    </row>
    <row r="22">
      <c r="B22" s="272" t="inlineStr">
        <is>
          <t>FY2027하방</t>
        </is>
      </c>
      <c r="C22" s="272" t="inlineStr">
        <is>
          <t>FY2027상방</t>
        </is>
      </c>
      <c r="D22" s="272" t="inlineStr">
        <is>
          <t>FY2030하방</t>
        </is>
      </c>
      <c r="E22" s="272" t="inlineStr">
        <is>
          <t>FY2030상방</t>
        </is>
      </c>
      <c r="F22" s="272" t="inlineStr">
        <is>
          <t>FY2030 최대영향(±)</t>
        </is>
      </c>
    </row>
    <row r="23">
      <c r="A23" s="287" t="inlineStr">
        <is>
          <t>L8 NSA MS 전체 (시나리오)</t>
        </is>
      </c>
      <c r="B23" s="380">
        <f>근거_매출!K36/근거_매출!K32-1</f>
        <v/>
      </c>
      <c r="C23" s="380">
        <f>근거_매출!K35/근거_매출!K32-1</f>
        <v/>
      </c>
      <c r="D23" s="380">
        <f>근거_매출!N36/근거_매출!N32-1</f>
        <v/>
      </c>
      <c r="E23" s="380">
        <f>근거_매출!N35/근거_매출!N32-1</f>
        <v/>
      </c>
      <c r="F23" s="380">
        <f>MAX(ABS(D23),ABS(E23))</f>
        <v/>
      </c>
    </row>
    <row r="24">
      <c r="A24" s="290" t="inlineStr">
        <is>
          <t>L4 환자당 Ramo 사용량</t>
        </is>
      </c>
      <c r="B24" s="381">
        <f>-0.05237</f>
        <v/>
      </c>
      <c r="C24" s="381">
        <f>0.052672</f>
        <v/>
      </c>
      <c r="D24" s="381">
        <f>-0.054968</f>
        <v/>
      </c>
      <c r="E24" s="381">
        <f>0.056379</f>
        <v/>
      </c>
      <c r="F24" s="381">
        <f>MAX(ABS(D24),ABS(E24))</f>
        <v/>
      </c>
    </row>
    <row r="25">
      <c r="A25" s="290" t="inlineStr">
        <is>
          <t>L9 전환비율</t>
        </is>
      </c>
      <c r="B25" s="381">
        <f>-0.002857</f>
        <v/>
      </c>
      <c r="C25" s="381">
        <f>0.033672</f>
        <v/>
      </c>
      <c r="D25" s="381">
        <f>-0.002857</f>
        <v/>
      </c>
      <c r="E25" s="381">
        <f>0.033672</f>
        <v/>
      </c>
      <c r="F25" s="381">
        <f>MAX(ABS(D25),ABS(E25))</f>
        <v/>
      </c>
    </row>
    <row r="26">
      <c r="A26" s="290" t="inlineStr">
        <is>
          <t>L5 NSA MS 상급종합 하한</t>
        </is>
      </c>
      <c r="B26" s="381">
        <f>-0.000419</f>
        <v/>
      </c>
      <c r="C26" s="381">
        <f>0.020518</f>
        <v/>
      </c>
      <c r="D26" s="381">
        <f>-0.029562</f>
        <v/>
      </c>
      <c r="E26" s="381">
        <f>0.029562</f>
        <v/>
      </c>
      <c r="F26" s="381">
        <f>MAX(ABS(D26),ABS(E26))</f>
        <v/>
      </c>
    </row>
    <row r="27">
      <c r="A27" s="290" t="inlineStr">
        <is>
          <t>L6 NSA MS 종합병원 상한</t>
        </is>
      </c>
      <c r="B27" s="381">
        <f>-0.014146</f>
        <v/>
      </c>
      <c r="C27" s="381">
        <f>0.011442</f>
        <v/>
      </c>
      <c r="D27" s="381">
        <f>-0.022372</f>
        <v/>
      </c>
      <c r="E27" s="381">
        <f>0.021518</f>
        <v/>
      </c>
      <c r="F27" s="381">
        <f>MAX(ABS(D27),ABS(E27))</f>
        <v/>
      </c>
    </row>
    <row r="28">
      <c r="A28" s="290" t="inlineStr">
        <is>
          <t>L1 전신마취환자수</t>
        </is>
      </c>
      <c r="B28" s="381">
        <f>-0.02</f>
        <v/>
      </c>
      <c r="C28" s="381">
        <f>0.02</f>
        <v/>
      </c>
      <c r="D28" s="381">
        <f>-0.02</f>
        <v/>
      </c>
      <c r="E28" s="381">
        <f>0.02</f>
        <v/>
      </c>
      <c r="F28" s="381">
        <f>MAX(ABS(D28),ABS(E28))</f>
        <v/>
      </c>
    </row>
    <row r="29">
      <c r="A29" s="290" t="inlineStr">
        <is>
          <t>L2 상급종합 환자비율 상한</t>
        </is>
      </c>
      <c r="B29" s="381">
        <f>-0.009362</f>
        <v/>
      </c>
      <c r="C29" s="381">
        <f>0.000539</f>
        <v/>
      </c>
      <c r="D29" s="381">
        <f>-0.010356</f>
        <v/>
      </c>
      <c r="E29" s="381">
        <f>0.009761</f>
        <v/>
      </c>
      <c r="F29" s="381">
        <f>MAX(ABS(D29),ABS(E29))</f>
        <v/>
      </c>
    </row>
    <row r="30">
      <c r="A30" s="290" t="inlineStr">
        <is>
          <t>L7 NSA MS 병원·의원</t>
        </is>
      </c>
      <c r="B30" s="381">
        <f>-0.004034</f>
        <v/>
      </c>
      <c r="C30" s="381">
        <f>0.004034</f>
        <v/>
      </c>
      <c r="D30" s="381">
        <f>-0.002819</f>
        <v/>
      </c>
      <c r="E30" s="381">
        <f>0.002819</f>
        <v/>
      </c>
      <c r="F30" s="381">
        <f>MAX(ABS(D30),ABS(E30))</f>
        <v/>
      </c>
    </row>
    <row r="31">
      <c r="A31" s="290" t="inlineStr">
        <is>
          <t>L3 종합병원 환자비율 하한</t>
        </is>
      </c>
      <c r="B31" s="381">
        <f>-0.0025</f>
        <v/>
      </c>
      <c r="C31" s="381">
        <f>0.002361</f>
        <v/>
      </c>
      <c r="D31" s="381">
        <f>-0.00271</f>
        <v/>
      </c>
      <c r="E31" s="381">
        <f>0.002554</f>
        <v/>
      </c>
      <c r="F31" s="381">
        <f>MAX(ABS(D31),ABS(E31))</f>
        <v/>
      </c>
    </row>
    <row r="32"/>
    <row r="33">
      <c r="A33" s="296" t="inlineStr">
        <is>
          <t>· L8 NSA MS 전체는 MTS 밴드(근거_매출 35·36행, ±10%p)와 동일 정의라 수식 참조(라이브). 나머지는 사본 재계산의 정적 기록</t>
        </is>
      </c>
    </row>
    <row r="34">
      <c r="A34" s="296" t="inlineStr">
        <is>
          <t>· NSA 모델은 CY 분기 모델(2026Q1 실측 → 2026Q2~ 예측)이며 FY2026(2026Q2~2027Q1)은 전량 예측 구간 — 환자수·비율 레버도 FY2026부터 영향</t>
        </is>
      </c>
    </row>
    <row r="35">
      <c r="A35" s="296" t="inlineStr">
        <is>
          <t>· L4 환자당 사용량은 종별 4행을 동시에 이동. L7은 병원·의원 NSA 수량(=시장×MS)에 직접 적용해 롤링평균 누적효과를 배제</t>
        </is>
      </c>
    </row>
    <row r="36">
      <c r="A36" s="296" t="inlineStr">
        <is>
          <t>· 결과 수치는 산출 시점(2026-09-15)의 모델 상태 기준이며, 원자료_분기실측 갱신 시 L8 외 정적 값은 재산출 필요</t>
        </is>
      </c>
    </row>
    <row r="37"/>
    <row r="38"/>
    <row r="39">
      <c r="A39" s="296" t="inlineStr">
        <is>
          <t>■ D. 차트 소스 데이터</t>
        </is>
      </c>
    </row>
    <row r="40">
      <c r="A40" s="296" t="inlineStr">
        <is>
          <t>요인(±%)</t>
        </is>
      </c>
      <c r="B40" s="296" t="inlineStr">
        <is>
          <t>L3 종합병원 환자비율 하한</t>
        </is>
      </c>
      <c r="C40" s="296" t="inlineStr">
        <is>
          <t>L7 NSA MS 병원·의원</t>
        </is>
      </c>
      <c r="D40" s="296" t="inlineStr">
        <is>
          <t>L2 상급종합 환자비율 상한</t>
        </is>
      </c>
      <c r="E40" s="296" t="inlineStr">
        <is>
          <t>L1 전신마취환자수</t>
        </is>
      </c>
      <c r="F40" s="296" t="inlineStr">
        <is>
          <t>L6 NSA MS 종합병원 상한</t>
        </is>
      </c>
      <c r="G40" s="296" t="inlineStr">
        <is>
          <t>L5 NSA MS 상급종합 하한</t>
        </is>
      </c>
      <c r="H40" s="296" t="inlineStr">
        <is>
          <t>L9 전환비율</t>
        </is>
      </c>
      <c r="I40" s="296" t="inlineStr">
        <is>
          <t>L4 환자당 Ramo 사용량</t>
        </is>
      </c>
      <c r="J40" s="296" t="inlineStr">
        <is>
          <t>L8 NSA MS 전체 (시나리오)</t>
        </is>
      </c>
    </row>
    <row r="41">
      <c r="A41" s="296" t="inlineStr">
        <is>
          <t>영향(%)</t>
        </is>
      </c>
      <c r="B41" s="296">
        <f>ROUND(F31*100,1)</f>
        <v/>
      </c>
      <c r="C41" s="296">
        <f>ROUND(F30*100,1)</f>
        <v/>
      </c>
      <c r="D41" s="296">
        <f>ROUND(F29*100,1)</f>
        <v/>
      </c>
      <c r="E41" s="296">
        <f>ROUND(F28*100,1)</f>
        <v/>
      </c>
      <c r="F41" s="296">
        <f>ROUND(F27*100,1)</f>
        <v/>
      </c>
      <c r="G41" s="296">
        <f>ROUND(F26*100,1)</f>
        <v/>
      </c>
      <c r="H41" s="296">
        <f>ROUND(F25*100,1)</f>
        <v/>
      </c>
      <c r="I41" s="296">
        <f>ROUND(F24*100,1)</f>
        <v/>
      </c>
      <c r="J41" s="296">
        <f>ROUND(F23*100,1)</f>
        <v/>
      </c>
    </row>
    <row r="42"/>
    <row r="43">
      <c r="A43" s="296" t="inlineStr">
        <is>
          <t>FY2030(억)</t>
        </is>
      </c>
      <c r="B43" s="296" t="inlineStr">
        <is>
          <t>MS 잠식(-10%p)</t>
        </is>
      </c>
      <c r="C43" s="296" t="inlineStr">
        <is>
          <t>Base</t>
        </is>
      </c>
      <c r="D43" s="296" t="inlineStr">
        <is>
          <t>MS 확대(+10%p)</t>
        </is>
      </c>
    </row>
    <row r="44">
      <c r="A44" s="296" t="inlineStr">
        <is>
          <t>매출</t>
        </is>
      </c>
      <c r="B44" s="296">
        <f>ROUND(근거_매출!N36/100,0)</f>
        <v/>
      </c>
      <c r="C44" s="296">
        <f>ROUND(근거_매출!N32/100,0)</f>
        <v/>
      </c>
      <c r="D44" s="296">
        <f>ROUND(근거_매출!N35/100,0)</f>
        <v/>
      </c>
    </row>
    <row r="45">
      <c r="A45" s="296" t="inlineStr">
        <is>
          <t>매출 (±5%p 밴드)</t>
        </is>
      </c>
      <c r="B45" s="296">
        <f>ROUND(근거_매출!N38/100,0)</f>
        <v/>
      </c>
      <c r="C45" s="296">
        <f>ROUND(근거_매출!N32/100,0)</f>
        <v/>
      </c>
      <c r="D45" s="296">
        <f>ROUND(근거_매출!N37/100,0)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C44"/>
  <sheetViews>
    <sheetView showGridLines="0" tabSelected="0" zoomScale="112" zoomScaleNormal="112" workbookViewId="0">
      <pane xSplit="2" topLeftCell="C1" activePane="topRight" state="frozen"/>
      <selection activeCell="A18" sqref="A18"/>
      <selection pane="topRight" activeCell="A5" sqref="A5"/>
    </sheetView>
  </sheetViews>
  <sheetFormatPr baseColWidth="8" defaultColWidth="8.5" defaultRowHeight="17.6"/>
  <cols>
    <col width="10.42578125" customWidth="1" style="217" min="1" max="1"/>
    <col width="13.0703125" customWidth="1" style="217" min="2" max="2"/>
    <col width="15.5" customWidth="1" style="217" min="3" max="3"/>
    <col width="12.7109375" customWidth="1" style="217" min="4" max="4"/>
    <col width="17.42578125" customWidth="1" style="217" min="5" max="5"/>
    <col width="13.5" customWidth="1" style="217" min="6" max="6"/>
    <col width="18.0703125" customWidth="1" style="217" min="7" max="7"/>
    <col width="13.5" customWidth="1" style="217" min="8" max="8"/>
    <col width="17.42578125" customWidth="1" style="217" min="9" max="9"/>
    <col width="21.42578125" customWidth="1" style="217" min="10" max="10"/>
    <col width="18.2109375" customWidth="1" style="217" min="11" max="11"/>
    <col width="19.92578125" customWidth="1" style="217" min="12" max="12"/>
    <col width="19.5703125" customWidth="1" style="217" min="13" max="13"/>
    <col width="18.5" customWidth="1" style="217" min="14" max="14"/>
    <col width="17.0703125" customWidth="1" style="217" min="15" max="15"/>
    <col width="18.5" customWidth="1" style="217" min="16" max="16"/>
    <col width="17.0703125" customWidth="1" style="217" min="17" max="17"/>
    <col width="18.5" customWidth="1" style="217" min="18" max="18"/>
    <col width="17.0703125" customWidth="1" style="217" min="19" max="19"/>
    <col width="18.5" customWidth="1" style="217" min="20" max="20"/>
    <col width="15" customWidth="1" style="217" min="21" max="21"/>
    <col width="11.92578125" customWidth="1" style="217" min="22" max="22"/>
    <col width="13.42578125" customWidth="1" style="217" min="23" max="23"/>
    <col width="11.92578125" customWidth="1" style="217" min="24" max="24"/>
    <col width="11.92578125" customWidth="1" style="217" min="27" max="27"/>
  </cols>
  <sheetData>
    <row r="1"/>
    <row r="2" ht="17.25" customHeight="1" s="217">
      <c r="A2" s="82" t="n"/>
      <c r="B2" s="82" t="inlineStr">
        <is>
          <t>Part 1) 전신마취환자수&amp;시장 예측  [CY 기준 · 역년 1~12월] / IQVIA 처방량 예측  [FY 기준 · 회계연도 4~3월]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</row>
    <row r="3" ht="16.5" customHeight="1" s="217">
      <c r="A3" s="83" t="n"/>
      <c r="B3" s="84" t="inlineStr">
        <is>
          <t>연도</t>
        </is>
      </c>
      <c r="C3" s="84" t="inlineStr">
        <is>
          <t>전신마취환자수</t>
        </is>
      </c>
      <c r="D3" s="83" t="n"/>
      <c r="E3" s="84" t="inlineStr">
        <is>
          <t>Ramosetron 시장 수량 (IQVIA 기준)</t>
        </is>
      </c>
      <c r="F3" s="83" t="n"/>
      <c r="G3" s="83" t="n"/>
      <c r="H3" s="83" t="inlineStr">
        <is>
          <t>NSA 수량 (IQVIA기준)</t>
        </is>
      </c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</row>
    <row r="4" ht="16.5" customHeight="1" s="217">
      <c r="A4" s="84" t="inlineStr">
        <is>
          <t>전체인구수</t>
        </is>
      </c>
      <c r="B4" s="83" t="inlineStr">
        <is>
          <t>CY연도기준</t>
        </is>
      </c>
      <c r="C4" s="84" t="inlineStr">
        <is>
          <t>환자수</t>
        </is>
      </c>
      <c r="D4" s="84" t="inlineStr">
        <is>
          <t>비율</t>
        </is>
      </c>
      <c r="E4" s="84" t="inlineStr">
        <is>
          <t>Ramosetron 시장 수량</t>
        </is>
      </c>
      <c r="F4" s="83" t="inlineStr">
        <is>
          <t>환자당 연간 처방량</t>
        </is>
      </c>
      <c r="G4" s="83" t="inlineStr">
        <is>
          <t>YoY</t>
        </is>
      </c>
      <c r="H4" s="83" t="inlineStr">
        <is>
          <t>NSA 수량</t>
        </is>
      </c>
      <c r="I4" s="83" t="inlineStr">
        <is>
          <t>MS</t>
        </is>
      </c>
      <c r="J4" s="83" t="inlineStr">
        <is>
          <t>YoY</t>
        </is>
      </c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</row>
    <row r="5" ht="16.5" customHeight="1" s="217">
      <c r="A5" s="45">
        <f>'근거_전신마취환자수'!B17</f>
        <v/>
      </c>
      <c r="B5" s="219" t="n">
        <v>2010</v>
      </c>
      <c r="C5" s="45">
        <f>'근거_전신마취환자수'!B42</f>
        <v/>
      </c>
      <c r="D5" s="297">
        <f>IFERROR(C5/A5,"")</f>
        <v/>
      </c>
      <c r="E5" s="229">
        <f>'근거_Ramosetron 시장 수량'!B33</f>
        <v/>
      </c>
      <c r="F5" s="297">
        <f>IFERROR(E5/C5,"")</f>
        <v/>
      </c>
      <c r="G5" s="229" t="n"/>
      <c r="H5" s="297" t="n"/>
      <c r="I5" s="229" t="n"/>
      <c r="J5" s="297" t="n"/>
      <c r="K5" s="297" t="n"/>
      <c r="L5" s="298" t="n"/>
      <c r="M5" s="298" t="n"/>
      <c r="N5" s="297" t="n"/>
      <c r="O5" s="298" t="n"/>
      <c r="P5" s="298" t="n"/>
      <c r="Q5" s="298" t="n"/>
      <c r="R5" s="298" t="n"/>
      <c r="S5" s="298" t="n"/>
      <c r="T5" s="298" t="n"/>
      <c r="U5" s="297" t="n"/>
      <c r="W5" s="87" t="n"/>
      <c r="X5" s="297" t="n"/>
      <c r="Z5" s="87" t="n"/>
      <c r="AA5" s="297" t="n"/>
      <c r="AC5" s="87" t="n"/>
    </row>
    <row r="6" ht="16.5" customHeight="1" s="217">
      <c r="A6" s="45">
        <f>'근거_전신마취환자수'!C17</f>
        <v/>
      </c>
      <c r="B6" s="219" t="n">
        <v>2011</v>
      </c>
      <c r="C6" s="45">
        <f>'근거_전신마취환자수'!C42</f>
        <v/>
      </c>
      <c r="D6" s="297">
        <f>IFERROR(C6/A6,"")</f>
        <v/>
      </c>
      <c r="E6" s="229">
        <f>'근거_Ramosetron 시장 수량'!C33</f>
        <v/>
      </c>
      <c r="F6" s="297">
        <f>IFERROR(E6/C6,"")</f>
        <v/>
      </c>
      <c r="G6" s="299">
        <f>IFERROR(E6/E5-1,"")</f>
        <v/>
      </c>
      <c r="H6" s="297" t="n"/>
      <c r="I6" s="229" t="n"/>
      <c r="J6" s="297" t="n"/>
      <c r="K6" s="297" t="n"/>
      <c r="L6" s="298" t="n"/>
      <c r="M6" s="298" t="n"/>
      <c r="N6" s="297" t="n"/>
      <c r="O6" s="298" t="n"/>
      <c r="P6" s="298" t="n"/>
      <c r="Q6" s="298" t="n"/>
      <c r="R6" s="298" t="n"/>
      <c r="S6" s="298" t="n"/>
      <c r="T6" s="298" t="n"/>
      <c r="U6" s="297" t="n"/>
      <c r="W6" s="87" t="n"/>
      <c r="X6" s="297" t="n"/>
      <c r="Z6" s="87" t="n"/>
      <c r="AA6" s="297" t="n"/>
      <c r="AC6" s="87" t="n"/>
    </row>
    <row r="7" ht="16.5" customHeight="1" s="217">
      <c r="A7" s="45">
        <f>'근거_전신마취환자수'!D17</f>
        <v/>
      </c>
      <c r="B7" s="219" t="n">
        <v>2012</v>
      </c>
      <c r="C7" s="45">
        <f>'근거_전신마취환자수'!D42</f>
        <v/>
      </c>
      <c r="D7" s="297">
        <f>IFERROR(C7/A7,"")</f>
        <v/>
      </c>
      <c r="E7" s="229">
        <f>'근거_Ramosetron 시장 수량'!D33</f>
        <v/>
      </c>
      <c r="F7" s="297">
        <f>IFERROR(E7/C7,"")</f>
        <v/>
      </c>
      <c r="G7" s="299">
        <f>IFERROR(E7/E6-1,"")</f>
        <v/>
      </c>
      <c r="H7" s="297" t="n"/>
      <c r="I7" s="229" t="n"/>
      <c r="J7" s="297" t="n"/>
      <c r="K7" s="297" t="n"/>
      <c r="L7" s="298" t="n"/>
      <c r="M7" s="298" t="n"/>
      <c r="N7" s="297" t="n"/>
      <c r="O7" s="298" t="n"/>
      <c r="P7" s="298" t="n"/>
      <c r="Q7" s="298" t="n"/>
      <c r="R7" s="298" t="n"/>
      <c r="S7" s="298" t="n"/>
      <c r="T7" s="298" t="n"/>
      <c r="U7" s="297" t="n"/>
      <c r="W7" s="87" t="n"/>
      <c r="X7" s="297" t="n"/>
      <c r="Z7" s="87" t="n"/>
      <c r="AA7" s="297" t="n"/>
      <c r="AC7" s="87" t="n"/>
    </row>
    <row r="8" ht="16.5" customHeight="1" s="217">
      <c r="A8" s="45">
        <f>'근거_전신마취환자수'!E17</f>
        <v/>
      </c>
      <c r="B8" s="219" t="n">
        <v>2013</v>
      </c>
      <c r="C8" s="45">
        <f>'근거_전신마취환자수'!E42</f>
        <v/>
      </c>
      <c r="D8" s="297">
        <f>IFERROR(C8/A8,"")</f>
        <v/>
      </c>
      <c r="E8" s="229">
        <f>'근거_Ramosetron 시장 수량'!E33</f>
        <v/>
      </c>
      <c r="F8" s="297">
        <f>IFERROR(E8/C8,"")</f>
        <v/>
      </c>
      <c r="G8" s="299">
        <f>IFERROR(E8/E7-1,"")</f>
        <v/>
      </c>
      <c r="H8" s="297" t="n"/>
      <c r="I8" s="229" t="n"/>
      <c r="J8" s="297" t="n"/>
      <c r="K8" s="297" t="n"/>
      <c r="L8" s="298" t="n"/>
      <c r="M8" s="298" t="n"/>
      <c r="N8" s="297" t="n"/>
      <c r="O8" s="298" t="n"/>
      <c r="P8" s="298" t="n"/>
      <c r="Q8" s="298" t="n"/>
      <c r="R8" s="298" t="n"/>
      <c r="S8" s="298" t="n"/>
      <c r="T8" s="298" t="n"/>
      <c r="U8" s="297" t="n"/>
      <c r="W8" s="87" t="n"/>
      <c r="X8" s="297" t="n"/>
      <c r="Z8" s="87" t="n"/>
      <c r="AA8" s="297" t="n"/>
      <c r="AC8" s="87" t="n"/>
    </row>
    <row r="9" ht="16.5" customHeight="1" s="217">
      <c r="A9" s="45">
        <f>'근거_전신마취환자수'!F17</f>
        <v/>
      </c>
      <c r="B9" s="219" t="n">
        <v>2014</v>
      </c>
      <c r="C9" s="45">
        <f>'근거_전신마취환자수'!F42</f>
        <v/>
      </c>
      <c r="D9" s="297">
        <f>IFERROR(C9/A9,"")</f>
        <v/>
      </c>
      <c r="E9" s="229">
        <f>'근거_Ramosetron 시장 수량'!F33</f>
        <v/>
      </c>
      <c r="F9" s="297">
        <f>IFERROR(E9/C9,"")</f>
        <v/>
      </c>
      <c r="G9" s="299">
        <f>IFERROR(E9/E8-1,"")</f>
        <v/>
      </c>
      <c r="H9" s="297" t="n"/>
      <c r="I9" s="229" t="n"/>
      <c r="J9" s="297" t="n"/>
      <c r="K9" s="297" t="n"/>
      <c r="L9" s="298" t="n"/>
      <c r="M9" s="298" t="n"/>
      <c r="N9" s="297" t="n"/>
      <c r="O9" s="298" t="n"/>
      <c r="P9" s="298" t="n"/>
      <c r="Q9" s="298" t="n"/>
      <c r="R9" s="298" t="n"/>
      <c r="S9" s="298" t="n"/>
      <c r="T9" s="298" t="n"/>
      <c r="U9" s="297" t="n"/>
      <c r="W9" s="87" t="n"/>
      <c r="X9" s="297" t="n"/>
      <c r="Z9" s="87" t="n"/>
      <c r="AA9" s="297" t="n"/>
      <c r="AC9" s="87" t="n"/>
    </row>
    <row r="10" ht="16.5" customHeight="1" s="217">
      <c r="A10" s="45">
        <f>'근거_전신마취환자수'!G17</f>
        <v/>
      </c>
      <c r="B10" s="219" t="n">
        <v>2015</v>
      </c>
      <c r="C10" s="45">
        <f>'근거_전신마취환자수'!G42</f>
        <v/>
      </c>
      <c r="D10" s="297">
        <f>IFERROR(C10/A10,"")</f>
        <v/>
      </c>
      <c r="E10" s="229">
        <f>'근거_Ramosetron 시장 수량'!G33</f>
        <v/>
      </c>
      <c r="F10" s="297">
        <f>IFERROR(E10/C10,"")</f>
        <v/>
      </c>
      <c r="G10" s="299">
        <f>IFERROR(E10/E9-1,"")</f>
        <v/>
      </c>
      <c r="H10" s="297" t="n"/>
      <c r="I10" s="229" t="n"/>
      <c r="J10" s="297" t="n"/>
      <c r="K10" s="297" t="n"/>
      <c r="L10" s="298" t="n"/>
      <c r="M10" s="229" t="n"/>
      <c r="N10" s="297" t="n"/>
      <c r="O10" s="298" t="n"/>
      <c r="P10" s="298" t="n"/>
      <c r="Q10" s="298" t="n"/>
      <c r="R10" s="298" t="n"/>
      <c r="S10" s="298" t="n"/>
      <c r="T10" s="298" t="n"/>
      <c r="U10" s="297" t="n"/>
      <c r="W10" s="87" t="n"/>
      <c r="X10" s="297" t="n"/>
      <c r="Z10" s="87" t="n"/>
      <c r="AA10" s="297" t="n"/>
      <c r="AC10" s="87" t="n"/>
    </row>
    <row r="11" ht="16.5" customHeight="1" s="217">
      <c r="A11" s="45">
        <f>'근거_전신마취환자수'!H17</f>
        <v/>
      </c>
      <c r="B11" s="219" t="n">
        <v>2016</v>
      </c>
      <c r="C11" s="45">
        <f>'근거_전신마취환자수'!H42</f>
        <v/>
      </c>
      <c r="D11" s="297">
        <f>IFERROR(C11/A11,"")</f>
        <v/>
      </c>
      <c r="E11" s="229">
        <f>'근거_Ramosetron 시장 수량'!H33</f>
        <v/>
      </c>
      <c r="F11" s="297">
        <f>IFERROR(E11/C11,"")</f>
        <v/>
      </c>
      <c r="G11" s="299">
        <f>IFERROR(E11/E10-1,"")</f>
        <v/>
      </c>
      <c r="H11" s="297" t="n"/>
      <c r="I11" s="229" t="n"/>
      <c r="J11" s="297" t="n"/>
      <c r="K11" s="297" t="n"/>
      <c r="L11" s="298" t="n"/>
      <c r="M11" s="229" t="n"/>
      <c r="N11" s="297" t="n"/>
      <c r="O11" s="298" t="n"/>
      <c r="P11" s="298" t="n"/>
      <c r="Q11" s="298" t="n"/>
      <c r="R11" s="298" t="n"/>
      <c r="S11" s="298" t="n"/>
      <c r="T11" s="298" t="n"/>
      <c r="U11" s="297" t="n"/>
      <c r="W11" s="87" t="n"/>
      <c r="X11" s="297" t="n"/>
      <c r="Z11" s="87" t="n"/>
      <c r="AA11" s="297" t="n"/>
      <c r="AC11" s="87" t="n"/>
    </row>
    <row r="12" ht="16.5" customHeight="1" s="217">
      <c r="A12" s="45">
        <f>'근거_전신마취환자수'!I17</f>
        <v/>
      </c>
      <c r="B12" s="219" t="n">
        <v>2017</v>
      </c>
      <c r="C12" s="45">
        <f>'근거_전신마취환자수'!I42</f>
        <v/>
      </c>
      <c r="D12" s="297">
        <f>IFERROR(C12/A12,"")</f>
        <v/>
      </c>
      <c r="E12" s="229">
        <f>'근거_Ramosetron 시장 수량'!I33</f>
        <v/>
      </c>
      <c r="F12" s="297">
        <f>IFERROR(E12/C12,"")</f>
        <v/>
      </c>
      <c r="G12" s="299">
        <f>IFERROR(E12/E11-1,"")</f>
        <v/>
      </c>
      <c r="H12" s="297" t="n"/>
      <c r="I12" s="229" t="n"/>
      <c r="J12" s="297" t="n"/>
      <c r="K12" s="297" t="n"/>
      <c r="L12" s="298" t="n"/>
      <c r="M12" s="229" t="n"/>
      <c r="N12" s="297" t="n"/>
      <c r="O12" s="298" t="n"/>
      <c r="P12" s="298" t="n"/>
      <c r="Q12" s="298" t="n"/>
      <c r="R12" s="298" t="n"/>
      <c r="S12" s="298" t="n"/>
      <c r="T12" s="298" t="n"/>
      <c r="U12" s="297" t="n"/>
      <c r="W12" s="87" t="n"/>
      <c r="X12" s="297" t="n"/>
      <c r="Z12" s="87" t="n"/>
      <c r="AA12" s="297" t="n"/>
      <c r="AC12" s="87" t="n"/>
    </row>
    <row r="13" ht="16.5" customHeight="1" s="217">
      <c r="A13" s="45">
        <f>'근거_전신마취환자수'!J17</f>
        <v/>
      </c>
      <c r="B13" s="219" t="n">
        <v>2018</v>
      </c>
      <c r="C13" s="45">
        <f>'근거_전신마취환자수'!J42</f>
        <v/>
      </c>
      <c r="D13" s="297">
        <f>IFERROR(C13/A13,"")</f>
        <v/>
      </c>
      <c r="E13" s="229">
        <f>'근거_Ramosetron 시장 수량'!J33</f>
        <v/>
      </c>
      <c r="F13" s="297">
        <f>IFERROR(E13/C13,"")</f>
        <v/>
      </c>
      <c r="G13" s="299">
        <f>IFERROR(E13/E12-1,"")</f>
        <v/>
      </c>
      <c r="H13" s="300" t="n">
        <v>0</v>
      </c>
      <c r="I13" s="229" t="n"/>
      <c r="J13" s="297" t="n"/>
      <c r="K13" s="297" t="n"/>
      <c r="L13" s="298" t="n"/>
      <c r="M13" s="229" t="n"/>
      <c r="N13" s="297" t="n"/>
      <c r="O13" s="229" t="n"/>
      <c r="P13" s="297" t="n"/>
      <c r="Q13" s="229" t="n"/>
      <c r="R13" s="297" t="n"/>
      <c r="S13" s="229" t="n"/>
      <c r="T13" s="297" t="n"/>
      <c r="U13" s="301" t="n"/>
      <c r="V13" s="297" t="n"/>
      <c r="W13" s="87" t="n"/>
      <c r="X13" s="301" t="n"/>
      <c r="Y13" s="297" t="n"/>
      <c r="Z13" s="87" t="n"/>
      <c r="AA13" s="301" t="n"/>
      <c r="AB13" s="297" t="n"/>
      <c r="AC13" s="87" t="n"/>
    </row>
    <row r="14" ht="16.5" customHeight="1" s="217">
      <c r="A14" s="45">
        <f>'근거_전신마취환자수'!K17</f>
        <v/>
      </c>
      <c r="B14" s="219" t="n">
        <v>2019</v>
      </c>
      <c r="C14" s="45">
        <f>'근거_전신마취환자수'!K42</f>
        <v/>
      </c>
      <c r="D14" s="297">
        <f>IFERROR(C14/A14,"")</f>
        <v/>
      </c>
      <c r="E14" s="229">
        <f>'근거_Ramosetron 시장 수량'!K33</f>
        <v/>
      </c>
      <c r="F14" s="297">
        <f>IFERROR(E14/C14,"")</f>
        <v/>
      </c>
      <c r="G14" s="299">
        <f>IFERROR(E14/E13-1,"")</f>
        <v/>
      </c>
      <c r="H14" s="300" t="n">
        <v>0</v>
      </c>
      <c r="I14" s="229" t="n"/>
      <c r="J14" s="297" t="n"/>
      <c r="K14" s="297" t="n"/>
      <c r="L14" s="298" t="n"/>
      <c r="M14" s="229" t="n"/>
      <c r="N14" s="297" t="n"/>
      <c r="O14" s="229" t="n"/>
      <c r="P14" s="297" t="n"/>
      <c r="Q14" s="229" t="n"/>
      <c r="R14" s="297" t="n"/>
      <c r="S14" s="229" t="n"/>
      <c r="T14" s="297" t="n"/>
      <c r="U14" s="301" t="n"/>
      <c r="V14" s="297" t="n"/>
      <c r="W14" s="299" t="n"/>
      <c r="X14" s="301" t="n"/>
      <c r="Y14" s="297" t="n"/>
      <c r="Z14" s="299" t="n"/>
      <c r="AA14" s="301" t="n"/>
      <c r="AB14" s="297" t="n"/>
      <c r="AC14" s="299" t="n"/>
    </row>
    <row r="15" ht="16.5" customHeight="1" s="217">
      <c r="A15" s="45">
        <f>'근거_전신마취환자수'!L17</f>
        <v/>
      </c>
      <c r="B15" s="219" t="n">
        <v>2020</v>
      </c>
      <c r="C15" s="45">
        <f>'근거_전신마취환자수'!L42</f>
        <v/>
      </c>
      <c r="D15" s="297">
        <f>IFERROR(C15/A15,"")</f>
        <v/>
      </c>
      <c r="E15" s="229">
        <f>'근거_Ramosetron 시장 수량'!L33</f>
        <v/>
      </c>
      <c r="F15" s="297">
        <f>IFERROR(E15/C15,"")</f>
        <v/>
      </c>
      <c r="G15" s="299">
        <f>IFERROR(E15/E14-1,"")</f>
        <v/>
      </c>
      <c r="H15" s="300">
        <f>'근거_NSA수량(IQVIA기준)'!D27</f>
        <v/>
      </c>
      <c r="I15" s="299">
        <f>IFERROR(H15/E15,"")</f>
        <v/>
      </c>
      <c r="J15" s="297" t="n"/>
      <c r="K15" s="297" t="n"/>
      <c r="L15" s="298" t="n"/>
      <c r="M15" s="229" t="n"/>
      <c r="N15" s="297" t="n"/>
      <c r="O15" s="229" t="n"/>
      <c r="P15" s="297" t="n"/>
      <c r="Q15" s="229" t="n"/>
      <c r="R15" s="297" t="n"/>
      <c r="S15" s="229" t="n"/>
      <c r="T15" s="297" t="n"/>
      <c r="U15" s="301" t="n"/>
      <c r="V15" s="297" t="n"/>
      <c r="W15" s="299" t="n"/>
      <c r="X15" s="301" t="n"/>
      <c r="Y15" s="297" t="n"/>
      <c r="Z15" s="299" t="n"/>
      <c r="AA15" s="301" t="n"/>
      <c r="AB15" s="297" t="n"/>
      <c r="AC15" s="299" t="n"/>
    </row>
    <row r="16" ht="16.5" customHeight="1" s="217">
      <c r="A16" s="45">
        <f>'근거_전신마취환자수'!M17</f>
        <v/>
      </c>
      <c r="B16" s="219" t="n">
        <v>2021</v>
      </c>
      <c r="C16" s="45">
        <f>'근거_전신마취환자수'!M42</f>
        <v/>
      </c>
      <c r="D16" s="297">
        <f>IFERROR(C16/A16,"")</f>
        <v/>
      </c>
      <c r="E16" s="229">
        <f>'근거_Ramosetron 시장 수량'!M33</f>
        <v/>
      </c>
      <c r="F16" s="297">
        <f>IFERROR(E16/C16,"")</f>
        <v/>
      </c>
      <c r="G16" s="299">
        <f>IFERROR(E16/E15-1,"")</f>
        <v/>
      </c>
      <c r="H16" s="300">
        <f>'근거_NSA수량(IQVIA기준)'!E27</f>
        <v/>
      </c>
      <c r="I16" s="299">
        <f>IFERROR(H16/E16,"")</f>
        <v/>
      </c>
      <c r="J16" s="299">
        <f>IFERROR(H16/H15-1,"")</f>
        <v/>
      </c>
      <c r="K16" s="297" t="n"/>
      <c r="L16" s="298" t="n"/>
      <c r="M16" s="229" t="n"/>
      <c r="N16" s="297" t="n"/>
      <c r="O16" s="229" t="n"/>
      <c r="P16" s="297" t="n"/>
      <c r="Q16" s="229" t="n"/>
      <c r="R16" s="297" t="n"/>
      <c r="S16" s="229" t="n"/>
      <c r="T16" s="297" t="n"/>
      <c r="U16" s="301" t="n"/>
      <c r="V16" s="297" t="n"/>
      <c r="W16" s="299" t="n"/>
      <c r="X16" s="301" t="n"/>
      <c r="Y16" s="297" t="n"/>
      <c r="Z16" s="299" t="n"/>
      <c r="AA16" s="301" t="n"/>
      <c r="AB16" s="297" t="n"/>
      <c r="AC16" s="299" t="n"/>
    </row>
    <row r="17" ht="16.5" customHeight="1" s="217">
      <c r="A17" s="45">
        <f>'근거_전신마취환자수'!N17</f>
        <v/>
      </c>
      <c r="B17" s="219" t="n">
        <v>2022</v>
      </c>
      <c r="C17" s="45">
        <f>'근거_전신마취환자수'!N42</f>
        <v/>
      </c>
      <c r="D17" s="297">
        <f>IFERROR(C17/A17,"")</f>
        <v/>
      </c>
      <c r="E17" s="229">
        <f>'근거_Ramosetron 시장 수량'!N33</f>
        <v/>
      </c>
      <c r="F17" s="297">
        <f>IFERROR(E17/C17,"")</f>
        <v/>
      </c>
      <c r="G17" s="299">
        <f>IFERROR(E17/E16-1,"")</f>
        <v/>
      </c>
      <c r="H17" s="300">
        <f>'근거_NSA수량(IQVIA기준)'!F27</f>
        <v/>
      </c>
      <c r="I17" s="299">
        <f>IFERROR(H17/E17,"")</f>
        <v/>
      </c>
      <c r="J17" s="299">
        <f>IFERROR(H17/H16-1,"")</f>
        <v/>
      </c>
      <c r="K17" s="297" t="n"/>
      <c r="L17" s="298" t="n"/>
      <c r="M17" s="229" t="n"/>
      <c r="N17" s="297" t="n"/>
      <c r="O17" s="229" t="n"/>
      <c r="P17" s="297" t="n"/>
      <c r="Q17" s="229" t="n"/>
      <c r="R17" s="297" t="n"/>
      <c r="S17" s="229" t="n"/>
      <c r="T17" s="297" t="n"/>
      <c r="U17" s="301" t="n"/>
      <c r="V17" s="297" t="n"/>
      <c r="W17" s="299" t="n"/>
      <c r="X17" s="301" t="n"/>
      <c r="Y17" s="297" t="n"/>
      <c r="Z17" s="299" t="n"/>
      <c r="AA17" s="301" t="n"/>
      <c r="AB17" s="297" t="n"/>
      <c r="AC17" s="299" t="n"/>
    </row>
    <row r="18" ht="16.5" customHeight="1" s="217">
      <c r="A18" s="45">
        <f>'근거_전신마취환자수'!O17</f>
        <v/>
      </c>
      <c r="B18" s="219" t="n">
        <v>2023</v>
      </c>
      <c r="C18" s="45">
        <f>'근거_전신마취환자수'!O42</f>
        <v/>
      </c>
      <c r="D18" s="297">
        <f>IFERROR(C18/A18,"")</f>
        <v/>
      </c>
      <c r="E18" s="229">
        <f>'근거_Ramosetron 시장 수량'!O33</f>
        <v/>
      </c>
      <c r="F18" s="297">
        <f>IFERROR(E18/C18,"")</f>
        <v/>
      </c>
      <c r="G18" s="299">
        <f>IFERROR(E18/E17-1,"")</f>
        <v/>
      </c>
      <c r="H18" s="300">
        <f>'근거_NSA수량(IQVIA기준)'!G27</f>
        <v/>
      </c>
      <c r="I18" s="299">
        <f>IFERROR(H18/E18,"")</f>
        <v/>
      </c>
      <c r="J18" s="299">
        <f>IFERROR(H18/H17-1,"")</f>
        <v/>
      </c>
      <c r="K18" s="297" t="n"/>
      <c r="L18" s="298" t="n"/>
      <c r="M18" s="229" t="n"/>
      <c r="N18" s="297" t="n"/>
      <c r="O18" s="229" t="n"/>
      <c r="P18" s="297" t="n"/>
      <c r="Q18" s="229" t="n"/>
      <c r="R18" s="297" t="n"/>
      <c r="S18" s="229" t="n"/>
      <c r="T18" s="297" t="n"/>
      <c r="U18" s="301" t="n"/>
      <c r="V18" s="297" t="n"/>
      <c r="W18" s="299" t="n"/>
      <c r="X18" s="301" t="n"/>
      <c r="Y18" s="297" t="n"/>
      <c r="Z18" s="299" t="n"/>
      <c r="AA18" s="301" t="n"/>
      <c r="AB18" s="297" t="n"/>
      <c r="AC18" s="299" t="n"/>
    </row>
    <row r="19" ht="16.5" customHeight="1" s="217">
      <c r="A19" s="45">
        <f>'근거_전신마취환자수'!P17</f>
        <v/>
      </c>
      <c r="B19" s="219" t="n">
        <v>2024</v>
      </c>
      <c r="C19" s="45">
        <f>'근거_전신마취환자수'!P42</f>
        <v/>
      </c>
      <c r="D19" s="297">
        <f>IFERROR(C19/A19,"")</f>
        <v/>
      </c>
      <c r="E19" s="229">
        <f>'근거_Ramosetron 시장 수량'!P33</f>
        <v/>
      </c>
      <c r="F19" s="297">
        <f>IFERROR(E19/C19,"")</f>
        <v/>
      </c>
      <c r="G19" s="299">
        <f>IFERROR(E19/E18-1,"")</f>
        <v/>
      </c>
      <c r="H19" s="300">
        <f>'근거_NSA수량(IQVIA기준)'!H27</f>
        <v/>
      </c>
      <c r="I19" s="299">
        <f>IFERROR(H19/E19,"")</f>
        <v/>
      </c>
      <c r="J19" s="299">
        <f>IFERROR(H19/H18-1,"")</f>
        <v/>
      </c>
      <c r="K19" s="297" t="n"/>
      <c r="L19" s="298" t="n"/>
      <c r="M19" s="229" t="n"/>
      <c r="N19" s="297" t="n"/>
      <c r="O19" s="302" t="n"/>
      <c r="P19" s="297" t="n"/>
      <c r="Q19" s="229" t="n"/>
      <c r="R19" s="297" t="n"/>
      <c r="S19" s="229" t="n"/>
      <c r="T19" s="297" t="n"/>
      <c r="U19" s="301" t="n"/>
      <c r="V19" s="297" t="n"/>
      <c r="W19" s="299" t="n"/>
      <c r="X19" s="301" t="n"/>
      <c r="Y19" s="297" t="n"/>
      <c r="Z19" s="299" t="n"/>
      <c r="AA19" s="301" t="n"/>
      <c r="AB19" s="297" t="n"/>
      <c r="AC19" s="299" t="n"/>
    </row>
    <row r="20" ht="16.5" customHeight="1" s="217">
      <c r="A20" s="45">
        <f>'근거_전신마취환자수'!Q17</f>
        <v/>
      </c>
      <c r="B20" s="219" t="n">
        <v>2025</v>
      </c>
      <c r="C20" s="45">
        <f>'근거_전신마취환자수'!Q42</f>
        <v/>
      </c>
      <c r="D20" s="297">
        <f>IFERROR(C20/A20,"")</f>
        <v/>
      </c>
      <c r="E20" s="229">
        <f>'근거_Ramosetron 시장 수량'!Q33</f>
        <v/>
      </c>
      <c r="F20" s="297">
        <f>IFERROR(E20/C20,"")</f>
        <v/>
      </c>
      <c r="G20" s="299">
        <f>IFERROR(E20/E19-1,"")</f>
        <v/>
      </c>
      <c r="H20" s="300">
        <f>'근거_NSA수량(IQVIA기준)'!I27</f>
        <v/>
      </c>
      <c r="I20" s="299">
        <f>IFERROR(H20/E20,"")</f>
        <v/>
      </c>
      <c r="J20" s="299">
        <f>IFERROR(H20/H19-1,"")</f>
        <v/>
      </c>
      <c r="K20" s="297" t="n"/>
      <c r="L20" s="298" t="n"/>
      <c r="M20" s="229" t="n"/>
      <c r="N20" s="297" t="n"/>
      <c r="O20" s="302" t="n"/>
      <c r="P20" s="297" t="n"/>
      <c r="Q20" s="229" t="n"/>
      <c r="R20" s="297" t="n"/>
      <c r="S20" s="229" t="n"/>
      <c r="T20" s="297" t="n"/>
      <c r="U20" s="301" t="n"/>
      <c r="V20" s="297" t="n"/>
      <c r="W20" s="299" t="n"/>
      <c r="X20" s="301" t="n"/>
      <c r="Y20" s="297" t="n"/>
      <c r="Z20" s="299" t="n"/>
      <c r="AA20" s="301" t="n"/>
      <c r="AB20" s="297" t="n"/>
      <c r="AC20" s="299" t="n"/>
    </row>
    <row r="21" ht="16.5" customHeight="1" s="217">
      <c r="A21" s="45">
        <f>'근거_전신마취환자수'!R17</f>
        <v/>
      </c>
      <c r="B21" s="219" t="n">
        <v>2026</v>
      </c>
      <c r="C21" s="45">
        <f>'근거_전신마취환자수'!R42</f>
        <v/>
      </c>
      <c r="D21" s="297">
        <f>IFERROR(C21/A21,"")</f>
        <v/>
      </c>
      <c r="E21" s="229">
        <f>'근거_Ramosetron 시장 수량'!R33</f>
        <v/>
      </c>
      <c r="F21" s="297">
        <f>IFERROR(E21/C21,"")</f>
        <v/>
      </c>
      <c r="G21" s="299">
        <f>IFERROR(E21/E20-1,"")</f>
        <v/>
      </c>
      <c r="H21" s="300">
        <f>'근거_NSA수량(IQVIA기준)'!J27</f>
        <v/>
      </c>
      <c r="I21" s="299">
        <f>IFERROR(H21/E21,"")</f>
        <v/>
      </c>
      <c r="J21" s="299">
        <f>IFERROR(H21/H20-1,"")</f>
        <v/>
      </c>
      <c r="K21" s="297" t="n"/>
      <c r="L21" s="298" t="n"/>
      <c r="M21" s="229" t="n"/>
      <c r="N21" s="297" t="n"/>
      <c r="O21" s="302" t="n"/>
      <c r="P21" s="297" t="n"/>
      <c r="Q21" s="229" t="n"/>
      <c r="R21" s="297" t="n"/>
      <c r="S21" s="229" t="n"/>
      <c r="T21" s="297" t="n"/>
      <c r="U21" s="301" t="n"/>
      <c r="V21" s="297" t="n"/>
      <c r="W21" s="299" t="n"/>
      <c r="X21" s="301" t="n"/>
      <c r="Y21" s="297" t="n"/>
      <c r="Z21" s="299" t="n"/>
      <c r="AA21" s="301" t="n"/>
      <c r="AB21" s="297" t="n"/>
      <c r="AC21" s="299" t="n"/>
    </row>
    <row r="22" ht="16.5" customHeight="1" s="217">
      <c r="A22" s="45">
        <f>'근거_전신마취환자수'!S17</f>
        <v/>
      </c>
      <c r="B22" s="219" t="n">
        <v>2027</v>
      </c>
      <c r="C22" s="45">
        <f>'근거_전신마취환자수'!S42</f>
        <v/>
      </c>
      <c r="D22" s="297">
        <f>IFERROR(C22/A22,"")</f>
        <v/>
      </c>
      <c r="E22" s="229">
        <f>'근거_Ramosetron 시장 수량'!S33</f>
        <v/>
      </c>
      <c r="F22" s="297">
        <f>IFERROR(E22/C22,"")</f>
        <v/>
      </c>
      <c r="G22" s="299">
        <f>IFERROR(E22/E21-1,"")</f>
        <v/>
      </c>
      <c r="H22" s="300">
        <f>'근거_NSA수량(IQVIA기준)'!K27</f>
        <v/>
      </c>
      <c r="I22" s="299">
        <f>IFERROR(H22/E22,"")</f>
        <v/>
      </c>
      <c r="J22" s="299">
        <f>IFERROR(H22/H21-1,"")</f>
        <v/>
      </c>
      <c r="K22" s="297" t="n"/>
      <c r="L22" s="298" t="n"/>
      <c r="M22" s="229" t="n"/>
      <c r="N22" s="297" t="n"/>
      <c r="O22" s="302" t="n"/>
      <c r="P22" s="297" t="n"/>
      <c r="Q22" s="229" t="n"/>
      <c r="R22" s="297" t="n"/>
      <c r="S22" s="229" t="n"/>
      <c r="T22" s="297" t="n"/>
      <c r="U22" s="301" t="n"/>
      <c r="V22" s="297" t="n"/>
      <c r="W22" s="299" t="n"/>
      <c r="X22" s="301" t="n"/>
      <c r="Y22" s="297" t="n"/>
      <c r="Z22" s="299" t="n"/>
      <c r="AA22" s="301" t="n"/>
      <c r="AB22" s="297" t="n"/>
      <c r="AC22" s="299" t="n"/>
    </row>
    <row r="23" ht="16.5" customHeight="1" s="217">
      <c r="A23" s="45">
        <f>'근거_전신마취환자수'!T17</f>
        <v/>
      </c>
      <c r="B23" s="219" t="n">
        <v>2028</v>
      </c>
      <c r="C23" s="45">
        <f>'근거_전신마취환자수'!T42</f>
        <v/>
      </c>
      <c r="D23" s="297">
        <f>IFERROR(C23/A23,"")</f>
        <v/>
      </c>
      <c r="E23" s="229">
        <f>'근거_Ramosetron 시장 수량'!T33</f>
        <v/>
      </c>
      <c r="F23" s="297">
        <f>IFERROR(E23/C23,"")</f>
        <v/>
      </c>
      <c r="G23" s="299">
        <f>IFERROR(E23/E22-1,"")</f>
        <v/>
      </c>
      <c r="H23" s="300">
        <f>'근거_NSA수량(IQVIA기준)'!L27</f>
        <v/>
      </c>
      <c r="I23" s="299">
        <f>IFERROR(H23/E23,"")</f>
        <v/>
      </c>
      <c r="J23" s="299">
        <f>IFERROR(H23/H22-1,"")</f>
        <v/>
      </c>
      <c r="K23" s="297" t="n"/>
      <c r="L23" s="298" t="n"/>
      <c r="M23" s="229" t="n"/>
      <c r="N23" s="297" t="n"/>
      <c r="O23" s="302" t="n"/>
      <c r="P23" s="297" t="n"/>
      <c r="Q23" s="229" t="n"/>
      <c r="R23" s="297" t="n"/>
      <c r="S23" s="229" t="n"/>
      <c r="T23" s="297" t="n"/>
      <c r="U23" s="301" t="n"/>
      <c r="V23" s="297" t="n"/>
      <c r="W23" s="299" t="n"/>
      <c r="X23" s="301" t="n"/>
      <c r="Y23" s="297" t="n"/>
      <c r="Z23" s="299" t="n"/>
      <c r="AA23" s="301" t="n"/>
      <c r="AB23" s="297" t="n"/>
      <c r="AC23" s="299" t="n"/>
    </row>
    <row r="24" ht="16.5" customHeight="1" s="217">
      <c r="A24" s="45">
        <f>'근거_전신마취환자수'!U17</f>
        <v/>
      </c>
      <c r="B24" s="219" t="n">
        <v>2029</v>
      </c>
      <c r="C24" s="45">
        <f>'근거_전신마취환자수'!U42</f>
        <v/>
      </c>
      <c r="D24" s="297">
        <f>IFERROR(C24/A24,"")</f>
        <v/>
      </c>
      <c r="E24" s="229">
        <f>'근거_Ramosetron 시장 수량'!U33</f>
        <v/>
      </c>
      <c r="F24" s="297">
        <f>IFERROR(E24/C24,"")</f>
        <v/>
      </c>
      <c r="G24" s="299">
        <f>IFERROR(E24/E23-1,"")</f>
        <v/>
      </c>
      <c r="H24" s="300">
        <f>'근거_NSA수량(IQVIA기준)'!M27</f>
        <v/>
      </c>
      <c r="I24" s="299">
        <f>IFERROR(H24/E24,"")</f>
        <v/>
      </c>
      <c r="J24" s="299">
        <f>IFERROR(H24/H23-1,"")</f>
        <v/>
      </c>
      <c r="K24" s="297" t="n"/>
      <c r="L24" s="298" t="n"/>
      <c r="M24" s="229" t="n"/>
      <c r="N24" s="297" t="n"/>
      <c r="O24" s="302" t="n"/>
      <c r="P24" s="297" t="n"/>
      <c r="Q24" s="229" t="n"/>
      <c r="R24" s="297" t="n"/>
      <c r="S24" s="229" t="n"/>
      <c r="T24" s="297" t="n"/>
      <c r="U24" s="301" t="n"/>
      <c r="V24" s="297" t="n"/>
      <c r="W24" s="299" t="n"/>
      <c r="X24" s="301" t="n"/>
      <c r="Y24" s="297" t="n"/>
      <c r="Z24" s="299" t="n"/>
      <c r="AA24" s="301" t="n"/>
      <c r="AB24" s="297" t="n"/>
      <c r="AC24" s="299" t="n"/>
    </row>
    <row r="25" ht="16.5" customHeight="1" s="217">
      <c r="A25" s="45">
        <f>'근거_전신마취환자수'!V17</f>
        <v/>
      </c>
      <c r="B25" s="219" t="n">
        <v>2030</v>
      </c>
      <c r="C25" s="45">
        <f>'근거_전신마취환자수'!V42</f>
        <v/>
      </c>
      <c r="D25" s="297">
        <f>IFERROR(C25/A25,"")</f>
        <v/>
      </c>
      <c r="E25" s="229">
        <f>'근거_Ramosetron 시장 수량'!V33</f>
        <v/>
      </c>
      <c r="F25" s="297">
        <f>IFERROR(E25/C25,"")</f>
        <v/>
      </c>
      <c r="G25" s="299">
        <f>IFERROR(E25/E24-1,"")</f>
        <v/>
      </c>
      <c r="H25" s="300">
        <f>'근거_NSA수량(IQVIA기준)'!N27</f>
        <v/>
      </c>
      <c r="I25" s="299">
        <f>IFERROR(H25/E25,"")</f>
        <v/>
      </c>
      <c r="J25" s="299">
        <f>IFERROR(H25/H24-1,"")</f>
        <v/>
      </c>
      <c r="K25" s="297" t="n"/>
      <c r="L25" s="298" t="n"/>
      <c r="M25" s="229" t="n"/>
      <c r="N25" s="297" t="n"/>
      <c r="O25" s="302" t="n"/>
      <c r="P25" s="297" t="n"/>
      <c r="Q25" s="229" t="n"/>
      <c r="R25" s="297" t="n"/>
      <c r="S25" s="229" t="n"/>
      <c r="T25" s="297" t="n"/>
      <c r="U25" s="301" t="n"/>
      <c r="V25" s="297" t="n"/>
      <c r="W25" s="299" t="n"/>
      <c r="X25" s="301" t="n"/>
      <c r="Y25" s="297" t="n"/>
      <c r="Z25" s="299" t="n"/>
      <c r="AA25" s="301" t="n"/>
      <c r="AB25" s="297" t="n"/>
      <c r="AC25" s="299" t="n"/>
    </row>
    <row r="26"/>
    <row r="27" ht="17.25" customHeight="1" s="217">
      <c r="A27" s="91" t="n"/>
      <c r="B27" s="91" t="inlineStr">
        <is>
          <t>Part 2) NSA SAP매출 예측  [FY 기준 · 회계연도 4~3월]</t>
        </is>
      </c>
      <c r="C27" s="91" t="n"/>
      <c r="D27" s="91" t="n"/>
      <c r="E27" s="91" t="n"/>
      <c r="F27" s="91" t="n"/>
      <c r="G27" s="91" t="n"/>
      <c r="H27" s="91" t="n"/>
      <c r="I27" s="91" t="n"/>
      <c r="J27" s="91" t="n"/>
      <c r="K27" s="92" t="inlineStr">
        <is>
          <t>확정FY(ACT) ▶</t>
        </is>
      </c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</row>
    <row r="28" ht="16.5" customHeight="1" s="217">
      <c r="A28" s="83" t="n"/>
      <c r="B28" s="84" t="inlineStr">
        <is>
          <t>연도</t>
        </is>
      </c>
      <c r="C28" s="83" t="inlineStr">
        <is>
          <t>NSA 수량 (IQVIA 기준)</t>
        </is>
      </c>
      <c r="D28" s="83" t="n"/>
      <c r="E28" s="83" t="inlineStr">
        <is>
          <t>DSKR NSA SAP 매출</t>
        </is>
      </c>
      <c r="F28" s="83" t="n"/>
      <c r="G28" s="83" t="inlineStr">
        <is>
          <t>IQVIA vs.시장매출</t>
        </is>
      </c>
      <c r="H28" s="83" t="inlineStr">
        <is>
          <t>DSKR NSA SAP매출금액 (FY2026 목표단가 반영)</t>
        </is>
      </c>
      <c r="I28" s="83" t="n"/>
      <c r="J28" s="83" t="n"/>
      <c r="K28" s="93" t="n">
        <v>2025</v>
      </c>
      <c r="L28" s="83" t="n"/>
      <c r="M28" s="83" t="n"/>
      <c r="N28" s="303" t="inlineStr">
        <is>
          <t>탑다운 검증 (참고, 억원)</t>
        </is>
      </c>
      <c r="O28" s="83" t="n"/>
      <c r="P28" s="83" t="n"/>
      <c r="Q28" s="83" t="n"/>
      <c r="R28" s="83" t="n"/>
      <c r="S28" s="83" t="n"/>
      <c r="T28" s="83" t="n"/>
      <c r="U28" s="93" t="n"/>
      <c r="V28" s="83" t="n"/>
      <c r="W28" s="83" t="n"/>
      <c r="X28" s="83" t="n"/>
      <c r="Y28" s="83" t="n"/>
      <c r="Z28" s="83" t="n"/>
      <c r="AA28" s="83" t="n"/>
      <c r="AB28" s="83" t="n"/>
      <c r="AC28" s="83" t="n"/>
    </row>
    <row r="29" ht="16.5" customHeight="1" s="217">
      <c r="A29" s="83" t="n"/>
      <c r="B29" s="84" t="inlineStr">
        <is>
          <t>회계연도기준</t>
        </is>
      </c>
      <c r="C29" s="101" t="inlineStr">
        <is>
          <t>수량(A)</t>
        </is>
      </c>
      <c r="D29" s="83" t="inlineStr">
        <is>
          <t>YoY</t>
        </is>
      </c>
      <c r="E29" s="101" t="inlineStr">
        <is>
          <t>수량(A)</t>
        </is>
      </c>
      <c r="F29" s="83" t="inlineStr">
        <is>
          <t>YoY</t>
        </is>
      </c>
      <c r="G29" s="84" t="inlineStr">
        <is>
          <t>처방량÷시장매출</t>
        </is>
      </c>
      <c r="H29" s="84" t="inlineStr">
        <is>
          <t>백만원</t>
        </is>
      </c>
      <c r="I29" s="83" t="n"/>
      <c r="J29" s="83" t="n"/>
      <c r="K29" s="84" t="inlineStr">
        <is>
          <t>◀ 매년 실적확정 시 이 값을 +1 (예: FY2026 확정되면 2026). 표지 태그·EST/ACT 플래그가 자동 갱신.</t>
        </is>
      </c>
      <c r="L29" s="84" t="inlineStr">
        <is>
          <t>상태</t>
        </is>
      </c>
      <c r="M29" s="83" t="n"/>
      <c r="N29" s="303" t="inlineStr">
        <is>
          <t>억원(탑다운)</t>
        </is>
      </c>
      <c r="O29" s="304" t="inlineStr">
        <is>
          <t>◀ 원본_NSA_연간예측(고정비율 k) 탑다운 트랙 — FY2026만 독립 대조</t>
        </is>
      </c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  <c r="AA29" s="83" t="n"/>
      <c r="AB29" s="83" t="n"/>
      <c r="AC29" s="83" t="n"/>
    </row>
    <row r="30" ht="16.5" customHeight="1" s="217">
      <c r="B30" s="219" t="inlineStr">
        <is>
          <t>FY2018</t>
        </is>
      </c>
      <c r="C30" s="229" t="n"/>
      <c r="D30" s="87" t="n"/>
      <c r="E30" s="229">
        <f>IF(근거_매출!B10="","",근거_매출!B10)</f>
        <v/>
      </c>
      <c r="F30" s="87" t="n"/>
      <c r="G30" s="305">
        <f>IFERROR(C30/E30,"")</f>
        <v/>
      </c>
      <c r="H30" s="229">
        <f>IF(근거_매출!B32="","",근거_매출!B32)</f>
        <v/>
      </c>
      <c r="I30" s="306">
        <f>IFERROR(H30/E30,"")</f>
        <v/>
      </c>
      <c r="L30" s="96">
        <f>IF(VALUE(MID(B30,3,4))&lt;=$K$28,"ACT","EST")</f>
        <v/>
      </c>
      <c r="V30" s="96" t="n"/>
    </row>
    <row r="31" ht="16.5" customHeight="1" s="217">
      <c r="B31" s="219" t="inlineStr">
        <is>
          <t>FY2019</t>
        </is>
      </c>
      <c r="C31" s="229" t="n"/>
      <c r="D31" s="299">
        <f>IFERROR(C31/C30-1,"")</f>
        <v/>
      </c>
      <c r="E31" s="229">
        <f>IF(근거_매출!C10="","",근거_매출!C10)</f>
        <v/>
      </c>
      <c r="F31" s="299">
        <f>IFERROR(E31/E30-1,"")</f>
        <v/>
      </c>
      <c r="G31" s="305">
        <f>IFERROR(C31/E31,"")</f>
        <v/>
      </c>
      <c r="H31" s="229">
        <f>IF(근거_매출!C32="","",근거_매출!C32)</f>
        <v/>
      </c>
      <c r="I31" s="306">
        <f>IFERROR(H31/E31,"")</f>
        <v/>
      </c>
      <c r="L31" s="96">
        <f>IF(VALUE(MID(B31,3,4))&lt;=$K$28,"ACT","EST")</f>
        <v/>
      </c>
      <c r="V31" s="96" t="n"/>
    </row>
    <row r="32" ht="16.5" customHeight="1" s="217">
      <c r="B32" s="219" t="inlineStr">
        <is>
          <t>FY2020</t>
        </is>
      </c>
      <c r="C32" s="229">
        <f>'근거_NSA수량(IQVIA기준)'!D27</f>
        <v/>
      </c>
      <c r="D32" s="299">
        <f>IFERROR(C32/C31-1,"")</f>
        <v/>
      </c>
      <c r="E32" s="229">
        <f>IF(근거_매출!D10="","",근거_매출!D10)</f>
        <v/>
      </c>
      <c r="F32" s="299">
        <f>IFERROR(E32/E31-1,"")</f>
        <v/>
      </c>
      <c r="G32" s="305">
        <f>IFERROR(C32/E32,"")</f>
        <v/>
      </c>
      <c r="H32" s="229">
        <f>IF(근거_매출!D32="","",근거_매출!D32)</f>
        <v/>
      </c>
      <c r="I32" s="306">
        <f>IFERROR(H32/E32,"")</f>
        <v/>
      </c>
      <c r="L32" s="96">
        <f>IF(VALUE(MID(B32,3,4))&lt;=$K$28,"ACT","EST")</f>
        <v/>
      </c>
      <c r="V32" s="96" t="n"/>
    </row>
    <row r="33" ht="16.5" customHeight="1" s="217">
      <c r="B33" s="219" t="inlineStr">
        <is>
          <t>FY2021</t>
        </is>
      </c>
      <c r="C33" s="229">
        <f>'근거_NSA수량(IQVIA기준)'!E27</f>
        <v/>
      </c>
      <c r="D33" s="299">
        <f>IFERROR(C33/C32-1,"")</f>
        <v/>
      </c>
      <c r="E33" s="229">
        <f>IF(근거_매출!E10="","",근거_매출!E10)</f>
        <v/>
      </c>
      <c r="F33" s="299">
        <f>IFERROR(E33/E32-1,"")</f>
        <v/>
      </c>
      <c r="G33" s="305">
        <f>IFERROR(C33/E33,"")</f>
        <v/>
      </c>
      <c r="H33" s="229">
        <f>IF(근거_매출!E32="","",근거_매출!E32)</f>
        <v/>
      </c>
      <c r="I33" s="306">
        <f>IFERROR(H33/E33,"")</f>
        <v/>
      </c>
      <c r="L33" s="96">
        <f>IF(VALUE(MID(B33,3,4))&lt;=$K$28,"ACT","EST")</f>
        <v/>
      </c>
      <c r="V33" s="96" t="n"/>
    </row>
    <row r="34" ht="16.5" customHeight="1" s="217">
      <c r="B34" s="219" t="inlineStr">
        <is>
          <t>FY2022</t>
        </is>
      </c>
      <c r="C34" s="229">
        <f>'근거_NSA수량(IQVIA기준)'!F27</f>
        <v/>
      </c>
      <c r="D34" s="299">
        <f>IFERROR(C34/C33-1,"")</f>
        <v/>
      </c>
      <c r="E34" s="229">
        <f>IF(근거_매출!F10="","",근거_매출!F10)</f>
        <v/>
      </c>
      <c r="F34" s="299">
        <f>IFERROR(E34/E33-1,"")</f>
        <v/>
      </c>
      <c r="G34" s="305">
        <f>IFERROR(C34/E34,"")</f>
        <v/>
      </c>
      <c r="H34" s="229">
        <f>IF(근거_매출!F32="","",근거_매출!F32)</f>
        <v/>
      </c>
      <c r="I34" s="306">
        <f>IFERROR(H34/E34,"")</f>
        <v/>
      </c>
      <c r="L34" s="96">
        <f>IF(VALUE(MID(B34,3,4))&lt;=$K$28,"ACT","EST")</f>
        <v/>
      </c>
      <c r="V34" s="96" t="n"/>
    </row>
    <row r="35" ht="16.5" customHeight="1" s="217">
      <c r="B35" s="219" t="inlineStr">
        <is>
          <t>FY2023</t>
        </is>
      </c>
      <c r="C35" s="229">
        <f>'근거_NSA수량(IQVIA기준)'!G27</f>
        <v/>
      </c>
      <c r="D35" s="299">
        <f>IFERROR(C35/C34-1,"")</f>
        <v/>
      </c>
      <c r="E35" s="229">
        <f>IF(근거_매출!G10="","",근거_매출!G10)</f>
        <v/>
      </c>
      <c r="F35" s="299">
        <f>IFERROR(E35/E34-1,"")</f>
        <v/>
      </c>
      <c r="G35" s="305">
        <f>IFERROR(C35/E35,"")</f>
        <v/>
      </c>
      <c r="H35" s="229">
        <f>IF(근거_매출!G32="","",근거_매출!G32)</f>
        <v/>
      </c>
      <c r="I35" s="306">
        <f>IFERROR(H35/E35,"")</f>
        <v/>
      </c>
      <c r="L35" s="96">
        <f>IF(VALUE(MID(B35,3,4))&lt;=$K$28,"ACT","EST")</f>
        <v/>
      </c>
      <c r="V35" s="96" t="n"/>
    </row>
    <row r="36" ht="16.5" customHeight="1" s="217">
      <c r="B36" s="219" t="inlineStr">
        <is>
          <t>FY2024</t>
        </is>
      </c>
      <c r="C36" s="229">
        <f>'근거_NSA수량(IQVIA기준)'!H27</f>
        <v/>
      </c>
      <c r="D36" s="299">
        <f>IFERROR(C36/C35-1,"")</f>
        <v/>
      </c>
      <c r="E36" s="229">
        <f>IF(근거_매출!H10="","",근거_매출!H10)</f>
        <v/>
      </c>
      <c r="F36" s="299">
        <f>IFERROR(E36/E35-1,"")</f>
        <v/>
      </c>
      <c r="G36" s="305">
        <f>IFERROR(C36/E36,"")</f>
        <v/>
      </c>
      <c r="H36" s="229">
        <f>IF(근거_매출!H32="","",근거_매출!H32)</f>
        <v/>
      </c>
      <c r="I36" s="306">
        <f>IFERROR(H36/E36,"")</f>
        <v/>
      </c>
      <c r="L36" s="96">
        <f>IF(VALUE(MID(B36,3,4))&lt;=$K$28,"ACT","EST")</f>
        <v/>
      </c>
      <c r="V36" s="96" t="n"/>
    </row>
    <row r="37" ht="16.5" customHeight="1" s="217">
      <c r="B37" s="219" t="inlineStr">
        <is>
          <t>FY2025</t>
        </is>
      </c>
      <c r="C37" s="229">
        <f>'근거_NSA수량(IQVIA기준)'!I27</f>
        <v/>
      </c>
      <c r="D37" s="299">
        <f>IFERROR(C37/C36-1,"")</f>
        <v/>
      </c>
      <c r="E37" s="229">
        <f>IF(근거_매출!I10="","",근거_매출!I10)</f>
        <v/>
      </c>
      <c r="F37" s="299">
        <f>IFERROR(E37/E36-1,"")</f>
        <v/>
      </c>
      <c r="G37" s="305">
        <f>IFERROR(C37/E37,"")</f>
        <v/>
      </c>
      <c r="H37" s="229">
        <f>IF(근거_매출!I32="","",근거_매출!I32)</f>
        <v/>
      </c>
      <c r="I37" s="306">
        <f>IFERROR(H37/E37,"")</f>
        <v/>
      </c>
      <c r="L37" s="96">
        <f>IF(VALUE(MID(B37,3,4))&lt;=$K$28,"ACT","EST")</f>
        <v/>
      </c>
      <c r="V37" s="96" t="n"/>
    </row>
    <row r="38" ht="16.5" customHeight="1" s="217">
      <c r="B38" s="219" t="inlineStr">
        <is>
          <t>FY2026</t>
        </is>
      </c>
      <c r="C38" s="229">
        <f>'근거_NSA수량(IQVIA기준)'!J27</f>
        <v/>
      </c>
      <c r="D38" s="299">
        <f>IFERROR(C38/C37-1,"")</f>
        <v/>
      </c>
      <c r="E38" s="302">
        <f>근거_매출!J10</f>
        <v/>
      </c>
      <c r="F38" s="299">
        <f>IFERROR(E38/E37-1,"")</f>
        <v/>
      </c>
      <c r="G38" s="307">
        <f>IFERROR(C38/E38,"")</f>
        <v/>
      </c>
      <c r="H38" s="302">
        <f>E38*I38</f>
        <v/>
      </c>
      <c r="I38" s="308">
        <f>근거_매출!J29/1000000</f>
        <v/>
      </c>
      <c r="J38" s="219" t="inlineStr">
        <is>
          <t>◀ 단가(I열)는 근거_매출 연도별 단가행(29행) 참조 — 약가 배율 변경 시 자동 반영</t>
        </is>
      </c>
      <c r="L38" s="96">
        <f>IF(VALUE(MID(B38,3,4))&lt;=$K$28,"ACT","EST")</f>
        <v/>
      </c>
      <c r="N38" s="309">
        <f>원본_NSA_연간예측!B25*근거_매출!J29/1000000/100</f>
        <v/>
      </c>
      <c r="O38" s="310">
        <f>IFERROR(N38/(H38/100)-1,"")</f>
        <v/>
      </c>
      <c r="Q38" s="311" t="n"/>
      <c r="S38" s="311" t="n"/>
      <c r="V38" s="96" t="n"/>
    </row>
    <row r="39" ht="16.5" customHeight="1" s="217">
      <c r="B39" s="219" t="inlineStr">
        <is>
          <t>FY2027</t>
        </is>
      </c>
      <c r="C39" s="229">
        <f>'근거_NSA수량(IQVIA기준)'!K27</f>
        <v/>
      </c>
      <c r="D39" s="299">
        <f>IFERROR(C39/C38-1,"")</f>
        <v/>
      </c>
      <c r="E39" s="302">
        <f>근거_매출!K10</f>
        <v/>
      </c>
      <c r="F39" s="299">
        <f>IFERROR(E39/E38-1,"")</f>
        <v/>
      </c>
      <c r="G39" s="312">
        <f>IFERROR(C39/E39,"")</f>
        <v/>
      </c>
      <c r="H39" s="302">
        <f>E39*I39</f>
        <v/>
      </c>
      <c r="I39" s="313">
        <f>근거_매출!K29/1000000</f>
        <v/>
      </c>
      <c r="L39" s="96">
        <f>IF(VALUE(MID(B39,3,4))&lt;=$K$28,"ACT","EST")</f>
        <v/>
      </c>
      <c r="V39" s="96" t="n"/>
    </row>
    <row r="40" ht="16.5" customHeight="1" s="217">
      <c r="B40" s="219" t="inlineStr">
        <is>
          <t>FY2028</t>
        </is>
      </c>
      <c r="C40" s="229">
        <f>'근거_NSA수량(IQVIA기준)'!L27</f>
        <v/>
      </c>
      <c r="D40" s="299">
        <f>IFERROR(C40/C39-1,"")</f>
        <v/>
      </c>
      <c r="E40" s="302">
        <f>근거_매출!L10</f>
        <v/>
      </c>
      <c r="F40" s="299">
        <f>IFERROR(E40/E39-1,"")</f>
        <v/>
      </c>
      <c r="G40" s="312">
        <f>IFERROR(C40/E40,"")</f>
        <v/>
      </c>
      <c r="H40" s="302">
        <f>E40*I40</f>
        <v/>
      </c>
      <c r="I40" s="313">
        <f>근거_매출!L29/1000000</f>
        <v/>
      </c>
      <c r="L40" s="96">
        <f>IF(VALUE(MID(B40,3,4))&lt;=$K$28,"ACT","EST")</f>
        <v/>
      </c>
      <c r="V40" s="96" t="n"/>
    </row>
    <row r="41" ht="16.5" customHeight="1" s="217">
      <c r="B41" s="219" t="inlineStr">
        <is>
          <t>FY2029</t>
        </is>
      </c>
      <c r="C41" s="229">
        <f>'근거_NSA수량(IQVIA기준)'!M27</f>
        <v/>
      </c>
      <c r="D41" s="299">
        <f>IFERROR(C41/C40-1,"")</f>
        <v/>
      </c>
      <c r="E41" s="302">
        <f>근거_매출!M10</f>
        <v/>
      </c>
      <c r="F41" s="299">
        <f>IFERROR(E41/E40-1,"")</f>
        <v/>
      </c>
      <c r="G41" s="312">
        <f>IFERROR(C41/E41,"")</f>
        <v/>
      </c>
      <c r="H41" s="302">
        <f>E41*I41</f>
        <v/>
      </c>
      <c r="I41" s="313">
        <f>근거_매출!M29/1000000</f>
        <v/>
      </c>
      <c r="L41" s="96">
        <f>IF(VALUE(MID(B41,3,4))&lt;=$K$28,"ACT","EST")</f>
        <v/>
      </c>
      <c r="V41" s="96" t="n"/>
    </row>
    <row r="42" ht="16.5" customHeight="1" s="217">
      <c r="B42" s="219" t="inlineStr">
        <is>
          <t>FY2030</t>
        </is>
      </c>
      <c r="C42" s="229">
        <f>'근거_NSA수량(IQVIA기준)'!N27</f>
        <v/>
      </c>
      <c r="D42" s="299">
        <f>IFERROR(C42/C41-1,"")</f>
        <v/>
      </c>
      <c r="E42" s="302">
        <f>근거_매출!N10</f>
        <v/>
      </c>
      <c r="F42" s="299">
        <f>IFERROR(E42/E41-1,"")</f>
        <v/>
      </c>
      <c r="G42" s="312">
        <f>IFERROR(C42/E42,"")</f>
        <v/>
      </c>
      <c r="H42" s="302">
        <f>E42*I42</f>
        <v/>
      </c>
      <c r="I42" s="313">
        <f>근거_매출!N29/1000000</f>
        <v/>
      </c>
      <c r="L42" s="96">
        <f>IF(VALUE(MID(B42,3,4))&lt;=$K$28,"ACT","EST")</f>
        <v/>
      </c>
      <c r="V42" s="96" t="n"/>
    </row>
    <row r="43" ht="16.5" customHeight="1" s="217">
      <c r="L43" s="96" t="n"/>
    </row>
    <row r="44" ht="16.5" customHeight="1" s="217">
      <c r="B44" s="44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009AA0A8"/>
    <outlinePr summaryBelow="1" summaryRight="1"/>
    <pageSetUpPr/>
  </sheetPr>
  <dimension ref="A1:H44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8" customWidth="1" style="217" min="2" max="2"/>
    <col width="18" customWidth="1" style="217" min="3" max="3"/>
    <col width="18" customWidth="1" style="217" min="4" max="4"/>
    <col width="14" customWidth="1" style="217" min="5" max="5"/>
    <col width="20" customWidth="1" style="217" min="6" max="6"/>
    <col width="12" customWidth="1" style="217" min="7" max="7"/>
    <col width="30" customWidth="1" style="217" min="8" max="8"/>
  </cols>
  <sheetData>
    <row r="1"/>
    <row r="2">
      <c r="A2" s="267" t="inlineStr">
        <is>
          <t>NSA SAP매출 연간 예측 모델  —  고정비율 기반  (SAP 수량 = IQVIA ÷ k)</t>
        </is>
      </c>
    </row>
    <row r="3"/>
    <row r="4">
      <c r="A4" s="287" t="inlineStr">
        <is>
          <t>① 고정비율 파라미터  (FY2020~FY2025, 6개년 평균)</t>
        </is>
      </c>
    </row>
    <row r="5">
      <c r="A5" s="272" t="inlineStr">
        <is>
          <t>항목</t>
        </is>
      </c>
      <c r="B5" s="272" t="inlineStr">
        <is>
          <t>값</t>
        </is>
      </c>
      <c r="C5" s="272" t="inlineStr">
        <is>
          <t>설명</t>
        </is>
      </c>
    </row>
    <row r="6">
      <c r="A6" s="219" t="inlineStr">
        <is>
          <t>고정비율 k  (IQVIA/SAP)</t>
        </is>
      </c>
      <c r="B6" s="314">
        <f>AVERAGE(D14:D19)</f>
        <v/>
      </c>
      <c r="C6" s="219" t="inlineStr">
        <is>
          <t xml:space="preserve"> FY2020~FY2025 평균 IQVIA/SAP 비율  ← 산출 자동</t>
        </is>
      </c>
    </row>
    <row r="7">
      <c r="A7" s="219" t="inlineStr">
        <is>
          <t>예측 공식</t>
        </is>
      </c>
      <c r="B7" s="219" t="inlineStr">
        <is>
          <t>SAP 매출 예측 수량  =  FY2026 IQVIA 예측수량  ÷  k</t>
        </is>
      </c>
    </row>
    <row r="8">
      <c r="A8" s="219" t="inlineStr">
        <is>
          <t>검증 MAPE</t>
        </is>
      </c>
      <c r="B8" s="219">
        <f>TEXT(AVERAGE(ABS(G17),ABS(G18),ABS(G19)),"0.00%")&amp;"  (FY2023~FY2025 평균 절대오차)"</f>
        <v/>
      </c>
    </row>
    <row r="9"/>
    <row r="10">
      <c r="A10" s="287" t="inlineStr">
        <is>
          <t>② 과거 실적 데이터  (FY2020~FY2025)</t>
        </is>
      </c>
    </row>
    <row r="11">
      <c r="A11" s="292" t="inlineStr">
        <is>
          <t>회계연도</t>
        </is>
      </c>
      <c r="B11" s="292" t="inlineStr">
        <is>
          <t>IQVIA 수량 (A)</t>
        </is>
      </c>
      <c r="C11" s="292" t="inlineStr">
        <is>
          <t>SAP 매출수량 (A)</t>
        </is>
      </c>
      <c r="D11" s="292" t="inlineStr">
        <is>
          <t>IQVIA/SAP 비율</t>
        </is>
      </c>
      <c r="E11" s="292" t="inlineStr">
        <is>
          <t>평균 대비</t>
        </is>
      </c>
      <c r="F11" s="292" t="inlineStr">
        <is>
          <t>고정비율 예측 SAP</t>
        </is>
      </c>
      <c r="G11" s="292" t="inlineStr">
        <is>
          <t>예측 오차</t>
        </is>
      </c>
      <c r="H11" s="292" t="inlineStr">
        <is>
          <t>비고</t>
        </is>
      </c>
    </row>
    <row r="12">
      <c r="A12" s="219" t="inlineStr">
        <is>
          <t>FY2018</t>
        </is>
      </c>
      <c r="B12" s="273">
        <f>근거_매출!B7</f>
        <v/>
      </c>
      <c r="C12" s="273">
        <f>근거_매출!B10</f>
        <v/>
      </c>
      <c r="D12" s="315">
        <f>IFERROR(B12/C12,"")</f>
        <v/>
      </c>
      <c r="E12" s="382">
        <f>IFERROR(D12-$B$6,"")</f>
        <v/>
      </c>
      <c r="F12" s="273">
        <f>IFERROR(B12/$B$6,"")</f>
        <v/>
      </c>
      <c r="G12" s="289">
        <f>IFERROR(F12/C12-1,"")</f>
        <v/>
      </c>
    </row>
    <row r="13">
      <c r="A13" s="219" t="inlineStr">
        <is>
          <t>FY2019</t>
        </is>
      </c>
      <c r="B13" s="273">
        <f>근거_매출!C7</f>
        <v/>
      </c>
      <c r="C13" s="273">
        <f>근거_매출!C10</f>
        <v/>
      </c>
      <c r="D13" s="315">
        <f>IFERROR(B13/C13,"")</f>
        <v/>
      </c>
      <c r="E13" s="382">
        <f>IFERROR(D13-$B$6,"")</f>
        <v/>
      </c>
      <c r="F13" s="273">
        <f>IFERROR(B13/$B$6,"")</f>
        <v/>
      </c>
      <c r="G13" s="289">
        <f>IFERROR(F13/C13-1,"")</f>
        <v/>
      </c>
    </row>
    <row r="14">
      <c r="A14" s="219" t="inlineStr">
        <is>
          <t>FY2020</t>
        </is>
      </c>
      <c r="B14" s="273">
        <f>근거_매출!D7</f>
        <v/>
      </c>
      <c r="C14" s="273">
        <f>근거_매출!D10</f>
        <v/>
      </c>
      <c r="D14" s="315">
        <f>IFERROR(B14/C14,"")</f>
        <v/>
      </c>
      <c r="E14" s="382">
        <f>IFERROR(D14-$B$6,"")</f>
        <v/>
      </c>
      <c r="F14" s="273">
        <f>IFERROR(B14/$B$6,"")</f>
        <v/>
      </c>
      <c r="G14" s="289">
        <f>IFERROR(F14/C14-1,"")</f>
        <v/>
      </c>
    </row>
    <row r="15">
      <c r="A15" s="219" t="inlineStr">
        <is>
          <t>FY2021</t>
        </is>
      </c>
      <c r="B15" s="273">
        <f>근거_매출!E7</f>
        <v/>
      </c>
      <c r="C15" s="273">
        <f>근거_매출!E10</f>
        <v/>
      </c>
      <c r="D15" s="315">
        <f>IFERROR(B15/C15,"")</f>
        <v/>
      </c>
      <c r="E15" s="382">
        <f>IFERROR(D15-$B$6,"")</f>
        <v/>
      </c>
      <c r="F15" s="273">
        <f>IFERROR(B15/$B$6,"")</f>
        <v/>
      </c>
      <c r="G15" s="289">
        <f>IFERROR(F15/C15-1,"")</f>
        <v/>
      </c>
    </row>
    <row r="16">
      <c r="A16" s="219" t="inlineStr">
        <is>
          <t>FY2022</t>
        </is>
      </c>
      <c r="B16" s="273">
        <f>근거_매출!F7</f>
        <v/>
      </c>
      <c r="C16" s="273">
        <f>근거_매출!F10</f>
        <v/>
      </c>
      <c r="D16" s="315">
        <f>IFERROR(B16/C16,"")</f>
        <v/>
      </c>
      <c r="E16" s="382">
        <f>IFERROR(D16-$B$6,"")</f>
        <v/>
      </c>
      <c r="F16" s="273">
        <f>IFERROR(B16/$B$6,"")</f>
        <v/>
      </c>
      <c r="G16" s="289">
        <f>IFERROR(F16/C16-1,"")</f>
        <v/>
      </c>
      <c r="H16" s="286" t="inlineStr">
        <is>
          <t>FY2022 비율 1.14 (SAP 대비 IQVIA 과대) — 재고 조정 영향 추정</t>
        </is>
      </c>
    </row>
    <row r="17">
      <c r="A17" s="219" t="inlineStr">
        <is>
          <t>FY2023</t>
        </is>
      </c>
      <c r="B17" s="273">
        <f>근거_매출!G7</f>
        <v/>
      </c>
      <c r="C17" s="273">
        <f>근거_매출!G10</f>
        <v/>
      </c>
      <c r="D17" s="315">
        <f>IFERROR(B17/C17,"")</f>
        <v/>
      </c>
      <c r="E17" s="382">
        <f>IFERROR(D17-$B$6,"")</f>
        <v/>
      </c>
      <c r="F17" s="273">
        <f>IFERROR(B17/$B$6,"")</f>
        <v/>
      </c>
      <c r="G17" s="289">
        <f>IFERROR(F17/C17-1,"")</f>
        <v/>
      </c>
    </row>
    <row r="18">
      <c r="A18" s="219" t="inlineStr">
        <is>
          <t>FY2024</t>
        </is>
      </c>
      <c r="B18" s="273">
        <f>근거_매출!H7</f>
        <v/>
      </c>
      <c r="C18" s="273">
        <f>근거_매출!H10</f>
        <v/>
      </c>
      <c r="D18" s="315">
        <f>IFERROR(B18/C18,"")</f>
        <v/>
      </c>
      <c r="E18" s="382">
        <f>IFERROR(D18-$B$6,"")</f>
        <v/>
      </c>
      <c r="F18" s="273">
        <f>IFERROR(B18/$B$6,"")</f>
        <v/>
      </c>
      <c r="G18" s="289">
        <f>IFERROR(F18/C18-1,"")</f>
        <v/>
      </c>
    </row>
    <row r="19">
      <c r="A19" s="219" t="inlineStr">
        <is>
          <t>FY2025</t>
        </is>
      </c>
      <c r="B19" s="273">
        <f>근거_매출!I7</f>
        <v/>
      </c>
      <c r="C19" s="273">
        <f>근거_매출!I10</f>
        <v/>
      </c>
      <c r="D19" s="315">
        <f>IFERROR(B19/C19,"")</f>
        <v/>
      </c>
      <c r="E19" s="382">
        <f>IFERROR(D19-$B$6,"")</f>
        <v/>
      </c>
      <c r="F19" s="273">
        <f>IFERROR(B19/$B$6,"")</f>
        <v/>
      </c>
      <c r="G19" s="289">
        <f>IFERROR(F19/C19-1,"")</f>
        <v/>
      </c>
    </row>
    <row r="20">
      <c r="A20" s="287" t="inlineStr">
        <is>
          <t>평균</t>
        </is>
      </c>
      <c r="D20" s="315">
        <f>AVERAGE(D14:D19)</f>
        <v/>
      </c>
      <c r="G20" s="383">
        <f>AVERAGE(G14:G19)</f>
        <v/>
      </c>
    </row>
    <row r="21"/>
    <row r="22">
      <c r="A22" s="287" t="inlineStr">
        <is>
          <t>③ FY2026 연간 예측  —  유일한 수동 입력: IQVIA 예측 수량</t>
        </is>
      </c>
    </row>
    <row r="23">
      <c r="A23" s="219" t="inlineStr">
        <is>
          <t>FY2026 IQVIA 예측수량 (A)</t>
        </is>
      </c>
      <c r="B23" s="318">
        <f>'근거_NSA수량(IQVIA기준)'!J27</f>
        <v/>
      </c>
      <c r="C23" s="219" t="inlineStr">
        <is>
          <t>← 유일한 수동 입력 (현재 바텀업 모델 FY2026 수량 연동; 독립 대조 시 값으로 덮어쓰기)</t>
        </is>
      </c>
    </row>
    <row r="24">
      <c r="A24" s="219" t="inlineStr">
        <is>
          <t>고정비율 k</t>
        </is>
      </c>
      <c r="B24" s="315">
        <f>B6</f>
        <v/>
      </c>
    </row>
    <row r="25">
      <c r="A25" s="287" t="inlineStr">
        <is>
          <t>★ FY2026 연간 예측 (A)</t>
        </is>
      </c>
      <c r="B25" s="319">
        <f>B23/B24</f>
        <v/>
      </c>
    </row>
    <row r="26">
      <c r="A26" s="219" t="inlineStr">
        <is>
          <t>예측 성장률 (YoY)</t>
        </is>
      </c>
      <c r="B26" s="289">
        <f>B25/C19-1</f>
        <v/>
      </c>
    </row>
    <row r="27"/>
    <row r="28">
      <c r="A28" s="287" t="inlineStr">
        <is>
          <t>④ 민감도 분석  —  IQVIA 예측수량 시나리오별</t>
        </is>
      </c>
    </row>
    <row r="29">
      <c r="A29" s="292" t="inlineStr">
        <is>
          <t>IQVIA 예측 (A)</t>
        </is>
      </c>
      <c r="B29" s="292" t="inlineStr">
        <is>
          <t>IQVIA YoY</t>
        </is>
      </c>
      <c r="C29" s="292" t="inlineStr">
        <is>
          <t>예측 SAP 수량 (A)</t>
        </is>
      </c>
      <c r="D29" s="292" t="inlineStr">
        <is>
          <t>SAP YoY</t>
        </is>
      </c>
      <c r="E29" s="292" t="inlineStr">
        <is>
          <t>FY2025 대비 증감</t>
        </is>
      </c>
      <c r="F29" s="292" t="inlineStr">
        <is>
          <t>비고</t>
        </is>
      </c>
    </row>
    <row r="30">
      <c r="A30" s="320" t="n">
        <v>2000000</v>
      </c>
      <c r="B30" s="289">
        <f>A30/B19-1</f>
        <v/>
      </c>
      <c r="C30" s="273">
        <f>A30/$B$6</f>
        <v/>
      </c>
      <c r="D30" s="289">
        <f>C30/C19-1</f>
        <v/>
      </c>
      <c r="E30" s="273">
        <f>C30-C19</f>
        <v/>
      </c>
      <c r="F30" s="219">
        <f>"보수: IQVIA "&amp;TEXT(B30,"+0.0%;-0.0%")</f>
        <v/>
      </c>
    </row>
    <row r="31">
      <c r="A31" s="320" t="n">
        <v>2100000</v>
      </c>
      <c r="B31" s="289">
        <f>A31/B19-1</f>
        <v/>
      </c>
      <c r="C31" s="273">
        <f>A31/$B$6</f>
        <v/>
      </c>
      <c r="D31" s="289">
        <f>C31/C19-1</f>
        <v/>
      </c>
      <c r="E31" s="273">
        <f>C31-C19</f>
        <v/>
      </c>
      <c r="F31" s="219">
        <f>"보수: IQVIA "&amp;TEXT(B31,"+0.0%;-0.0%")</f>
        <v/>
      </c>
    </row>
    <row r="32">
      <c r="A32" s="320" t="n">
        <v>2200000</v>
      </c>
      <c r="B32" s="289">
        <f>A32/B19-1</f>
        <v/>
      </c>
      <c r="C32" s="273">
        <f>A32/$B$6</f>
        <v/>
      </c>
      <c r="D32" s="289">
        <f>C32/C19-1</f>
        <v/>
      </c>
      <c r="E32" s="273">
        <f>C32-C19</f>
        <v/>
      </c>
      <c r="F32" s="219" t="inlineStr">
        <is>
          <t>기준−</t>
        </is>
      </c>
    </row>
    <row r="33">
      <c r="A33" s="321">
        <f>B23</f>
        <v/>
      </c>
      <c r="B33" s="289">
        <f>A33/B19-1</f>
        <v/>
      </c>
      <c r="C33" s="273">
        <f>A33/$B$6</f>
        <v/>
      </c>
      <c r="D33" s="289">
        <f>C33/C19-1</f>
        <v/>
      </c>
      <c r="E33" s="273">
        <f>C33-C19</f>
        <v/>
      </c>
      <c r="F33" s="219" t="inlineStr">
        <is>
          <t>← 연초 입력값</t>
        </is>
      </c>
    </row>
    <row r="34">
      <c r="A34" s="320" t="n">
        <v>2450000</v>
      </c>
      <c r="B34" s="289">
        <f>A34/B19-1</f>
        <v/>
      </c>
      <c r="C34" s="273">
        <f>A34/$B$6</f>
        <v/>
      </c>
      <c r="D34" s="289">
        <f>C34/C19-1</f>
        <v/>
      </c>
      <c r="E34" s="273">
        <f>C34-C19</f>
        <v/>
      </c>
      <c r="F34" s="219" t="inlineStr">
        <is>
          <t>기준+</t>
        </is>
      </c>
    </row>
    <row r="35">
      <c r="A35" s="320" t="n">
        <v>2600000</v>
      </c>
      <c r="B35" s="289">
        <f>A35/B19-1</f>
        <v/>
      </c>
      <c r="C35" s="273">
        <f>A35/$B$6</f>
        <v/>
      </c>
      <c r="D35" s="289">
        <f>C35/C19-1</f>
        <v/>
      </c>
      <c r="E35" s="273">
        <f>C35-C19</f>
        <v/>
      </c>
      <c r="F35" s="219">
        <f>"낙관: IQVIA "&amp;TEXT(B35,"+0.0%;-0.0%")</f>
        <v/>
      </c>
    </row>
    <row r="36">
      <c r="A36" s="320" t="n">
        <v>2800000</v>
      </c>
      <c r="B36" s="289">
        <f>A36/B19-1</f>
        <v/>
      </c>
      <c r="C36" s="273">
        <f>A36/$B$6</f>
        <v/>
      </c>
      <c r="D36" s="289">
        <f>C36/C19-1</f>
        <v/>
      </c>
      <c r="E36" s="273">
        <f>C36-C19</f>
        <v/>
      </c>
      <c r="F36" s="219">
        <f>"낙관: IQVIA "&amp;TEXT(B36,"+0.0%;-0.0%")</f>
        <v/>
      </c>
    </row>
    <row r="37"/>
    <row r="38">
      <c r="A38" s="287" t="inlineStr">
        <is>
          <t>⑤ 모니터링 기준</t>
        </is>
      </c>
    </row>
    <row r="39">
      <c r="A39" s="219" t="inlineStr">
        <is>
          <t>고정비율 k 업데이트</t>
        </is>
      </c>
      <c r="B39" s="219" t="inlineStr">
        <is>
          <t>매 FY 종료 후 → 실적 추가하여 평균 재산출</t>
        </is>
      </c>
    </row>
    <row r="40">
      <c r="A40" s="219" t="inlineStr">
        <is>
          <t>비율 이상치 기준</t>
        </is>
      </c>
      <c r="B40" s="219" t="inlineStr">
        <is>
          <t>IQVIA/SAP 비율이 k ± 0.05 초과 시 → 원인 파악 필요 (재고·입찰 시점)</t>
        </is>
      </c>
    </row>
    <row r="41">
      <c r="A41" s="219" t="inlineStr">
        <is>
          <t>검증 MAPE</t>
        </is>
      </c>
      <c r="B41" s="219" t="inlineStr">
        <is>
          <t>FY2023~FY2025 기준 평균 절대오차 (B8 참조)</t>
        </is>
      </c>
    </row>
    <row r="42">
      <c r="A42" s="219" t="inlineStr">
        <is>
          <t>Rolling 갱신</t>
        </is>
      </c>
      <c r="B42" s="219" t="inlineStr">
        <is>
          <t>분기 실적 확정 시 원자료_분기실측 갱신 → 자동 재계산</t>
        </is>
      </c>
    </row>
    <row r="43"/>
    <row r="44">
      <c r="A44" s="322" t="inlineStr">
        <is>
          <t>[ 범례 ]  파란 글씨/노랑: 수동 입력  │  검정: 자동 계산  │  초록: 예측 결과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1:Q36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2" customWidth="1" style="217" min="2" max="2"/>
    <col width="14" customWidth="1" style="217" min="3" max="3"/>
    <col width="12" customWidth="1" style="217" min="4" max="4"/>
    <col width="12" customWidth="1" style="217" min="5" max="5"/>
    <col width="12" customWidth="1" style="217" min="6" max="6"/>
    <col width="12" customWidth="1" style="217" min="7" max="7"/>
    <col width="10" customWidth="1" style="217" min="8" max="8"/>
    <col width="12" customWidth="1" style="217" min="9" max="9"/>
    <col width="12" customWidth="1" style="217" min="10" max="10"/>
    <col width="10" customWidth="1" style="217" min="11" max="11"/>
    <col width="12" customWidth="1" style="217" min="12" max="12"/>
    <col width="12" customWidth="1" style="217" min="13" max="13"/>
    <col width="10" customWidth="1" style="217" min="14" max="14"/>
    <col width="12" customWidth="1" style="217" min="15" max="15"/>
    <col width="12" customWidth="1" style="217" min="16" max="16"/>
    <col width="10" customWidth="1" style="217" min="17" max="17"/>
  </cols>
  <sheetData>
    <row r="1"/>
    <row r="2">
      <c r="A2" s="267" t="inlineStr">
        <is>
          <t>모니터링_분기별 — 종별 NSA MS 이탈 감시</t>
        </is>
      </c>
    </row>
    <row r="3">
      <c r="A3" s="322" t="inlineStr">
        <is>
          <t>예측을 갱신하는 시트가 아닙니다. 분기 실측(원자료_분기실측)이 모델 예측(근거_NSA수량 43~46행)에서 벗어났는지 판정합니다. 경보가 뜰 때만 예측 가정을 손댑니다</t>
        </is>
      </c>
    </row>
    <row r="4"/>
    <row r="5">
      <c r="A5" s="287" t="inlineStr">
        <is>
          <t>■ 파라미터</t>
        </is>
      </c>
    </row>
    <row r="6">
      <c r="A6" s="219" t="inlineStr">
        <is>
          <t xml:space="preserve">  상급종합 임계 (MAPE, %p)</t>
        </is>
      </c>
      <c r="B6" s="323" t="n">
        <v>0.029</v>
      </c>
      <c r="C6" s="286" t="inlineStr">
        <is>
          <t>백테스트 MAPE 2.92%</t>
        </is>
      </c>
    </row>
    <row r="7">
      <c r="A7" s="219" t="inlineStr">
        <is>
          <t xml:space="preserve">  종합병원 임계</t>
        </is>
      </c>
      <c r="B7" s="323" t="n">
        <v>0.038</v>
      </c>
      <c r="C7" s="286" t="inlineStr">
        <is>
          <t>백테스트 MAPE 3.83%</t>
        </is>
      </c>
    </row>
    <row r="8">
      <c r="A8" s="219" t="inlineStr">
        <is>
          <t xml:space="preserve">  병원 임계</t>
        </is>
      </c>
      <c r="B8" s="323" t="n">
        <v>0.089</v>
      </c>
      <c r="C8" s="286" t="inlineStr">
        <is>
          <t>백테스트 MAPE 8.89%</t>
        </is>
      </c>
    </row>
    <row r="9">
      <c r="A9" s="219" t="inlineStr">
        <is>
          <t xml:space="preserve">  의원 임계</t>
        </is>
      </c>
      <c r="B9" s="323" t="n">
        <v>0.103</v>
      </c>
      <c r="C9" s="286" t="inlineStr">
        <is>
          <t>백테스트 MAPE 10.30%</t>
        </is>
      </c>
    </row>
    <row r="10">
      <c r="A10" s="219" t="inlineStr">
        <is>
          <t xml:space="preserve">  경보 임계 (배수)</t>
        </is>
      </c>
      <c r="B10" s="324" t="n">
        <v>1.5</v>
      </c>
      <c r="C10" s="286" t="inlineStr">
        <is>
          <t>이탈률이 MAPE × 배수를 넘고</t>
        </is>
      </c>
    </row>
    <row r="11">
      <c r="A11" s="219" t="inlineStr">
        <is>
          <t xml:space="preserve">  경보 연속 분기</t>
        </is>
      </c>
      <c r="B11" s="324" t="n">
        <v>2</v>
      </c>
      <c r="C11" s="286" t="inlineStr">
        <is>
          <t>연속 이 분기 이상이면 경보</t>
        </is>
      </c>
    </row>
    <row r="12"/>
    <row r="13">
      <c r="A13" s="287" t="inlineStr">
        <is>
          <t>■ 분기 감시표 (실측 열이 채워진 분기만 판정 · 원자료_분기실측 갱신 시 자동)</t>
        </is>
      </c>
    </row>
    <row r="14">
      <c r="A14" s="325" t="inlineStr">
        <is>
          <t>CY분기</t>
        </is>
      </c>
      <c r="B14" s="325" t="inlineStr">
        <is>
          <t>Ramo 시장 실측</t>
        </is>
      </c>
      <c r="C14" s="325" t="inlineStr">
        <is>
          <t>NSA 실측</t>
        </is>
      </c>
      <c r="D14" s="325" t="inlineStr">
        <is>
          <t>전체 MS 실측</t>
        </is>
      </c>
      <c r="E14" s="325" t="inlineStr">
        <is>
          <t>전체 MS 모델</t>
        </is>
      </c>
      <c r="F14" s="325" t="inlineStr">
        <is>
          <t>이탈</t>
        </is>
      </c>
      <c r="G14" s="325" t="inlineStr">
        <is>
          <t>상급 MS 실측</t>
        </is>
      </c>
      <c r="H14" s="325" t="inlineStr">
        <is>
          <t>상급 모델</t>
        </is>
      </c>
      <c r="I14" s="325" t="inlineStr">
        <is>
          <t>이탈률</t>
        </is>
      </c>
      <c r="J14" s="325" t="inlineStr">
        <is>
          <t>신호</t>
        </is>
      </c>
      <c r="K14" s="325" t="inlineStr">
        <is>
          <t>종합 MS 실측</t>
        </is>
      </c>
      <c r="L14" s="325" t="inlineStr">
        <is>
          <t>종합 모델</t>
        </is>
      </c>
      <c r="M14" s="325" t="inlineStr">
        <is>
          <t>이탈률</t>
        </is>
      </c>
      <c r="N14" s="325" t="inlineStr">
        <is>
          <t>신호</t>
        </is>
      </c>
      <c r="O14" s="325" t="inlineStr">
        <is>
          <t>병원 MS 실측</t>
        </is>
      </c>
      <c r="P14" s="325" t="inlineStr">
        <is>
          <t>병원 모델</t>
        </is>
      </c>
      <c r="Q14" s="325" t="inlineStr">
        <is>
          <t>이탈률</t>
        </is>
      </c>
    </row>
    <row r="15">
      <c r="A15" s="219" t="inlineStr">
        <is>
          <t>2025Q1</t>
        </is>
      </c>
      <c r="B15" s="273">
        <f>IF(원자료_분기실측!V41="","",원자료_분기실측!V41)</f>
        <v/>
      </c>
      <c r="C15" s="273">
        <f>IF(원자료_분기실측!V42="","",원자료_분기실측!V42)</f>
        <v/>
      </c>
      <c r="D15" s="278">
        <f>IFERROR(IF(OR(B15="",C15=""),"",C15/B15),"")</f>
        <v/>
      </c>
      <c r="E15" s="278">
        <f>IFERROR('근거_NSA수량(IQVIA기준)'!V53/'근거_Ramosetron 시장 수량'!V57,"")</f>
        <v/>
      </c>
      <c r="F15" s="384">
        <f>IF(OR(D15="",E15=""),"",D15-E15)</f>
        <v/>
      </c>
      <c r="G15" s="278">
        <f>IFERROR(IF(원자료_분기실측!V46=0,"",원자료_분기실측!V46),"")</f>
        <v/>
      </c>
      <c r="H15" s="278">
        <f>IFERROR('근거_NSA수량(IQVIA기준)'!V43,"")</f>
        <v/>
      </c>
      <c r="I15" s="384">
        <f>IFERROR(IF(OR(G15="",H15=""),"",G15/H15-1),"")</f>
        <v/>
      </c>
      <c r="J15" s="219">
        <f>IF(I15="","",IF(ABS(I15)&gt;$B$6*$B$10,IF(IF(ISNUMBER(I14),ABS(I14)&gt;$B$6*$B$10,FALSE),"경보","주의"),"정상"))</f>
        <v/>
      </c>
      <c r="K15" s="278">
        <f>IFERROR(IF(원자료_분기실측!V47=0,"",원자료_분기실측!V47),"")</f>
        <v/>
      </c>
      <c r="L15" s="278">
        <f>IFERROR('근거_NSA수량(IQVIA기준)'!V44,"")</f>
        <v/>
      </c>
      <c r="M15" s="384">
        <f>IFERROR(IF(OR(K15="",L15=""),"",K15/L15-1),"")</f>
        <v/>
      </c>
      <c r="N15" s="219">
        <f>IF(M15="","",IF(ABS(M15)&gt;$B$7*$B$10,IF(IF(ISNUMBER(M14),ABS(M14)&gt;$B$7*$B$10,FALSE),"경보","주의"),"정상"))</f>
        <v/>
      </c>
      <c r="O15" s="278">
        <f>IFERROR(IF(원자료_분기실측!V48=0,"",원자료_분기실측!V48),"")</f>
        <v/>
      </c>
      <c r="P15" s="278">
        <f>IFERROR('근거_NSA수량(IQVIA기준)'!V45,"")</f>
        <v/>
      </c>
      <c r="Q15" s="384">
        <f>IFERROR(IF(OR(O15="",P15=""),"",O15/P15-1),"")</f>
        <v/>
      </c>
    </row>
    <row r="16">
      <c r="A16" s="219" t="inlineStr">
        <is>
          <t>2025Q2</t>
        </is>
      </c>
      <c r="B16" s="273">
        <f>IF(원자료_분기실측!W41="","",원자료_분기실측!W41)</f>
        <v/>
      </c>
      <c r="C16" s="273">
        <f>IF(원자료_분기실측!W42="","",원자료_분기실측!W42)</f>
        <v/>
      </c>
      <c r="D16" s="278">
        <f>IFERROR(IF(OR(B16="",C16=""),"",C16/B16),"")</f>
        <v/>
      </c>
      <c r="E16" s="278">
        <f>IFERROR('근거_NSA수량(IQVIA기준)'!W53/'근거_Ramosetron 시장 수량'!W57,"")</f>
        <v/>
      </c>
      <c r="F16" s="384">
        <f>IF(OR(D16="",E16=""),"",D16-E16)</f>
        <v/>
      </c>
      <c r="G16" s="278">
        <f>IFERROR(IF(원자료_분기실측!W46=0,"",원자료_분기실측!W46),"")</f>
        <v/>
      </c>
      <c r="H16" s="278">
        <f>IFERROR('근거_NSA수량(IQVIA기준)'!W43,"")</f>
        <v/>
      </c>
      <c r="I16" s="384">
        <f>IFERROR(IF(OR(G16="",H16=""),"",G16/H16-1),"")</f>
        <v/>
      </c>
      <c r="J16" s="219">
        <f>IF(I16="","",IF(ABS(I16)&gt;$B$6*$B$10,IF(IF(ISNUMBER(I15),ABS(I15)&gt;$B$6*$B$10,FALSE),"경보","주의"),"정상"))</f>
        <v/>
      </c>
      <c r="K16" s="278">
        <f>IFERROR(IF(원자료_분기실측!W47=0,"",원자료_분기실측!W47),"")</f>
        <v/>
      </c>
      <c r="L16" s="278">
        <f>IFERROR('근거_NSA수량(IQVIA기준)'!W44,"")</f>
        <v/>
      </c>
      <c r="M16" s="384">
        <f>IFERROR(IF(OR(K16="",L16=""),"",K16/L16-1),"")</f>
        <v/>
      </c>
      <c r="N16" s="219">
        <f>IF(M16="","",IF(ABS(M16)&gt;$B$7*$B$10,IF(IF(ISNUMBER(M15),ABS(M15)&gt;$B$7*$B$10,FALSE),"경보","주의"),"정상"))</f>
        <v/>
      </c>
      <c r="O16" s="278">
        <f>IFERROR(IF(원자료_분기실측!W48=0,"",원자료_분기실측!W48),"")</f>
        <v/>
      </c>
      <c r="P16" s="278">
        <f>IFERROR('근거_NSA수량(IQVIA기준)'!W45,"")</f>
        <v/>
      </c>
      <c r="Q16" s="384">
        <f>IFERROR(IF(OR(O16="",P16=""),"",O16/P16-1),"")</f>
        <v/>
      </c>
    </row>
    <row r="17">
      <c r="A17" s="219" t="inlineStr">
        <is>
          <t>2025Q3</t>
        </is>
      </c>
      <c r="B17" s="273">
        <f>IF(원자료_분기실측!X41="","",원자료_분기실측!X41)</f>
        <v/>
      </c>
      <c r="C17" s="273">
        <f>IF(원자료_분기실측!X42="","",원자료_분기실측!X42)</f>
        <v/>
      </c>
      <c r="D17" s="278">
        <f>IFERROR(IF(OR(B17="",C17=""),"",C17/B17),"")</f>
        <v/>
      </c>
      <c r="E17" s="278">
        <f>IFERROR('근거_NSA수량(IQVIA기준)'!X53/'근거_Ramosetron 시장 수량'!X57,"")</f>
        <v/>
      </c>
      <c r="F17" s="384">
        <f>IF(OR(D17="",E17=""),"",D17-E17)</f>
        <v/>
      </c>
      <c r="G17" s="278">
        <f>IFERROR(IF(원자료_분기실측!X46=0,"",원자료_분기실측!X46),"")</f>
        <v/>
      </c>
      <c r="H17" s="278">
        <f>IFERROR('근거_NSA수량(IQVIA기준)'!X43,"")</f>
        <v/>
      </c>
      <c r="I17" s="384">
        <f>IFERROR(IF(OR(G17="",H17=""),"",G17/H17-1),"")</f>
        <v/>
      </c>
      <c r="J17" s="219">
        <f>IF(I17="","",IF(ABS(I17)&gt;$B$6*$B$10,IF(IF(ISNUMBER(I16),ABS(I16)&gt;$B$6*$B$10,FALSE),"경보","주의"),"정상"))</f>
        <v/>
      </c>
      <c r="K17" s="278">
        <f>IFERROR(IF(원자료_분기실측!X47=0,"",원자료_분기실측!X47),"")</f>
        <v/>
      </c>
      <c r="L17" s="278">
        <f>IFERROR('근거_NSA수량(IQVIA기준)'!X44,"")</f>
        <v/>
      </c>
      <c r="M17" s="384">
        <f>IFERROR(IF(OR(K17="",L17=""),"",K17/L17-1),"")</f>
        <v/>
      </c>
      <c r="N17" s="219">
        <f>IF(M17="","",IF(ABS(M17)&gt;$B$7*$B$10,IF(IF(ISNUMBER(M16),ABS(M16)&gt;$B$7*$B$10,FALSE),"경보","주의"),"정상"))</f>
        <v/>
      </c>
      <c r="O17" s="278">
        <f>IFERROR(IF(원자료_분기실측!X48=0,"",원자료_분기실측!X48),"")</f>
        <v/>
      </c>
      <c r="P17" s="278">
        <f>IFERROR('근거_NSA수량(IQVIA기준)'!X45,"")</f>
        <v/>
      </c>
      <c r="Q17" s="384">
        <f>IFERROR(IF(OR(O17="",P17=""),"",O17/P17-1),"")</f>
        <v/>
      </c>
    </row>
    <row r="18">
      <c r="A18" s="219" t="inlineStr">
        <is>
          <t>2025Q4</t>
        </is>
      </c>
      <c r="B18" s="273">
        <f>IF(원자료_분기실측!Y41="","",원자료_분기실측!Y41)</f>
        <v/>
      </c>
      <c r="C18" s="273">
        <f>IF(원자료_분기실측!Y42="","",원자료_분기실측!Y42)</f>
        <v/>
      </c>
      <c r="D18" s="278">
        <f>IFERROR(IF(OR(B18="",C18=""),"",C18/B18),"")</f>
        <v/>
      </c>
      <c r="E18" s="278">
        <f>IFERROR('근거_NSA수량(IQVIA기준)'!Y53/'근거_Ramosetron 시장 수량'!Y57,"")</f>
        <v/>
      </c>
      <c r="F18" s="384">
        <f>IF(OR(D18="",E18=""),"",D18-E18)</f>
        <v/>
      </c>
      <c r="G18" s="278">
        <f>IFERROR(IF(원자료_분기실측!Y46=0,"",원자료_분기실측!Y46),"")</f>
        <v/>
      </c>
      <c r="H18" s="278">
        <f>IFERROR('근거_NSA수량(IQVIA기준)'!Y43,"")</f>
        <v/>
      </c>
      <c r="I18" s="384">
        <f>IFERROR(IF(OR(G18="",H18=""),"",G18/H18-1),"")</f>
        <v/>
      </c>
      <c r="J18" s="219">
        <f>IF(I18="","",IF(ABS(I18)&gt;$B$6*$B$10,IF(IF(ISNUMBER(I17),ABS(I17)&gt;$B$6*$B$10,FALSE),"경보","주의"),"정상"))</f>
        <v/>
      </c>
      <c r="K18" s="278">
        <f>IFERROR(IF(원자료_분기실측!Y47=0,"",원자료_분기실측!Y47),"")</f>
        <v/>
      </c>
      <c r="L18" s="278">
        <f>IFERROR('근거_NSA수량(IQVIA기준)'!Y44,"")</f>
        <v/>
      </c>
      <c r="M18" s="384">
        <f>IFERROR(IF(OR(K18="",L18=""),"",K18/L18-1),"")</f>
        <v/>
      </c>
      <c r="N18" s="219">
        <f>IF(M18="","",IF(ABS(M18)&gt;$B$7*$B$10,IF(IF(ISNUMBER(M17),ABS(M17)&gt;$B$7*$B$10,FALSE),"경보","주의"),"정상"))</f>
        <v/>
      </c>
      <c r="O18" s="278">
        <f>IFERROR(IF(원자료_분기실측!Y48=0,"",원자료_분기실측!Y48),"")</f>
        <v/>
      </c>
      <c r="P18" s="278">
        <f>IFERROR('근거_NSA수량(IQVIA기준)'!Y45,"")</f>
        <v/>
      </c>
      <c r="Q18" s="384">
        <f>IFERROR(IF(OR(O18="",P18=""),"",O18/P18-1),"")</f>
        <v/>
      </c>
    </row>
    <row r="19">
      <c r="A19" s="219" t="inlineStr">
        <is>
          <t>2026Q1</t>
        </is>
      </c>
      <c r="B19" s="273">
        <f>IF(원자료_분기실측!Z41="","",원자료_분기실측!Z41)</f>
        <v/>
      </c>
      <c r="C19" s="273">
        <f>IF(원자료_분기실측!Z42="","",원자료_분기실측!Z42)</f>
        <v/>
      </c>
      <c r="D19" s="278">
        <f>IFERROR(IF(OR(B19="",C19=""),"",C19/B19),"")</f>
        <v/>
      </c>
      <c r="E19" s="278">
        <f>IFERROR('근거_NSA수량(IQVIA기준)'!Z53/'근거_Ramosetron 시장 수량'!Z57,"")</f>
        <v/>
      </c>
      <c r="F19" s="384">
        <f>IF(OR(D19="",E19=""),"",D19-E19)</f>
        <v/>
      </c>
      <c r="G19" s="278">
        <f>IFERROR(IF(원자료_분기실측!Z46=0,"",원자료_분기실측!Z46),"")</f>
        <v/>
      </c>
      <c r="H19" s="278">
        <f>IFERROR('근거_NSA수량(IQVIA기준)'!Z43,"")</f>
        <v/>
      </c>
      <c r="I19" s="384">
        <f>IFERROR(IF(OR(G19="",H19=""),"",G19/H19-1),"")</f>
        <v/>
      </c>
      <c r="J19" s="219">
        <f>IF(I19="","",IF(ABS(I19)&gt;$B$6*$B$10,IF(IF(ISNUMBER(I18),ABS(I18)&gt;$B$6*$B$10,FALSE),"경보","주의"),"정상"))</f>
        <v/>
      </c>
      <c r="K19" s="278">
        <f>IFERROR(IF(원자료_분기실측!Z47=0,"",원자료_분기실측!Z47),"")</f>
        <v/>
      </c>
      <c r="L19" s="278">
        <f>IFERROR('근거_NSA수량(IQVIA기준)'!Z44,"")</f>
        <v/>
      </c>
      <c r="M19" s="384">
        <f>IFERROR(IF(OR(K19="",L19=""),"",K19/L19-1),"")</f>
        <v/>
      </c>
      <c r="N19" s="219">
        <f>IF(M19="","",IF(ABS(M19)&gt;$B$7*$B$10,IF(IF(ISNUMBER(M18),ABS(M18)&gt;$B$7*$B$10,FALSE),"경보","주의"),"정상"))</f>
        <v/>
      </c>
      <c r="O19" s="278">
        <f>IFERROR(IF(원자료_분기실측!Z48=0,"",원자료_분기실측!Z48),"")</f>
        <v/>
      </c>
      <c r="P19" s="278">
        <f>IFERROR('근거_NSA수량(IQVIA기준)'!Z45,"")</f>
        <v/>
      </c>
      <c r="Q19" s="384">
        <f>IFERROR(IF(OR(O19="",P19=""),"",O19/P19-1),"")</f>
        <v/>
      </c>
    </row>
    <row r="20">
      <c r="A20" s="219" t="inlineStr">
        <is>
          <t>2026Q2</t>
        </is>
      </c>
      <c r="B20" s="273">
        <f>IF(원자료_분기실측!AA41="","",원자료_분기실측!AA41)</f>
        <v/>
      </c>
      <c r="C20" s="273">
        <f>IF(원자료_분기실측!AA42="","",원자료_분기실측!AA42)</f>
        <v/>
      </c>
      <c r="D20" s="278">
        <f>IFERROR(IF(OR(B20="",C20=""),"",C20/B20),"")</f>
        <v/>
      </c>
      <c r="E20" s="278">
        <f>IFERROR('근거_NSA수량(IQVIA기준)'!AA53/'근거_Ramosetron 시장 수량'!AA57,"")</f>
        <v/>
      </c>
      <c r="F20" s="384">
        <f>IF(OR(D20="",E20=""),"",D20-E20)</f>
        <v/>
      </c>
      <c r="G20" s="278">
        <f>IFERROR(IF(원자료_분기실측!AA46=0,"",원자료_분기실측!AA46),"")</f>
        <v/>
      </c>
      <c r="H20" s="278">
        <f>IFERROR('근거_NSA수량(IQVIA기준)'!AA43,"")</f>
        <v/>
      </c>
      <c r="I20" s="384">
        <f>IFERROR(IF(OR(G20="",H20=""),"",G20/H20-1),"")</f>
        <v/>
      </c>
      <c r="J20" s="219">
        <f>IF(I20="","",IF(ABS(I20)&gt;$B$6*$B$10,IF(IF(ISNUMBER(I19),ABS(I19)&gt;$B$6*$B$10,FALSE),"경보","주의"),"정상"))</f>
        <v/>
      </c>
      <c r="K20" s="278">
        <f>IFERROR(IF(원자료_분기실측!AA47=0,"",원자료_분기실측!AA47),"")</f>
        <v/>
      </c>
      <c r="L20" s="278">
        <f>IFERROR('근거_NSA수량(IQVIA기준)'!AA44,"")</f>
        <v/>
      </c>
      <c r="M20" s="384">
        <f>IFERROR(IF(OR(K20="",L20=""),"",K20/L20-1),"")</f>
        <v/>
      </c>
      <c r="N20" s="219">
        <f>IF(M20="","",IF(ABS(M20)&gt;$B$7*$B$10,IF(IF(ISNUMBER(M19),ABS(M19)&gt;$B$7*$B$10,FALSE),"경보","주의"),"정상"))</f>
        <v/>
      </c>
      <c r="O20" s="278">
        <f>IFERROR(IF(원자료_분기실측!AA48=0,"",원자료_분기실측!AA48),"")</f>
        <v/>
      </c>
      <c r="P20" s="278">
        <f>IFERROR('근거_NSA수량(IQVIA기준)'!AA45,"")</f>
        <v/>
      </c>
      <c r="Q20" s="384">
        <f>IFERROR(IF(OR(O20="",P20=""),"",O20/P20-1),"")</f>
        <v/>
      </c>
    </row>
    <row r="21">
      <c r="A21" s="219" t="inlineStr">
        <is>
          <t>2026Q3</t>
        </is>
      </c>
      <c r="B21" s="273">
        <f>IF(원자료_분기실측!AB41="","",원자료_분기실측!AB41)</f>
        <v/>
      </c>
      <c r="C21" s="273">
        <f>IF(원자료_분기실측!AB42="","",원자료_분기실측!AB42)</f>
        <v/>
      </c>
      <c r="D21" s="278">
        <f>IFERROR(IF(OR(B21="",C21=""),"",C21/B21),"")</f>
        <v/>
      </c>
      <c r="E21" s="278">
        <f>IFERROR('근거_NSA수량(IQVIA기준)'!AB53/'근거_Ramosetron 시장 수량'!AB57,"")</f>
        <v/>
      </c>
      <c r="F21" s="384">
        <f>IF(OR(D21="",E21=""),"",D21-E21)</f>
        <v/>
      </c>
      <c r="G21" s="278">
        <f>IFERROR(IF(원자료_분기실측!AB46=0,"",원자료_분기실측!AB46),"")</f>
        <v/>
      </c>
      <c r="H21" s="278">
        <f>IFERROR('근거_NSA수량(IQVIA기준)'!AB43,"")</f>
        <v/>
      </c>
      <c r="I21" s="384">
        <f>IFERROR(IF(OR(G21="",H21=""),"",G21/H21-1),"")</f>
        <v/>
      </c>
      <c r="J21" s="219">
        <f>IF(I21="","",IF(ABS(I21)&gt;$B$6*$B$10,IF(IF(ISNUMBER(I20),ABS(I20)&gt;$B$6*$B$10,FALSE),"경보","주의"),"정상"))</f>
        <v/>
      </c>
      <c r="K21" s="278">
        <f>IFERROR(IF(원자료_분기실측!AB47=0,"",원자료_분기실측!AB47),"")</f>
        <v/>
      </c>
      <c r="L21" s="278">
        <f>IFERROR('근거_NSA수량(IQVIA기준)'!AB44,"")</f>
        <v/>
      </c>
      <c r="M21" s="384">
        <f>IFERROR(IF(OR(K21="",L21=""),"",K21/L21-1),"")</f>
        <v/>
      </c>
      <c r="N21" s="219">
        <f>IF(M21="","",IF(ABS(M21)&gt;$B$7*$B$10,IF(IF(ISNUMBER(M20),ABS(M20)&gt;$B$7*$B$10,FALSE),"경보","주의"),"정상"))</f>
        <v/>
      </c>
      <c r="O21" s="278">
        <f>IFERROR(IF(원자료_분기실측!AB48=0,"",원자료_분기실측!AB48),"")</f>
        <v/>
      </c>
      <c r="P21" s="278">
        <f>IFERROR('근거_NSA수량(IQVIA기준)'!AB45,"")</f>
        <v/>
      </c>
      <c r="Q21" s="384">
        <f>IFERROR(IF(OR(O21="",P21=""),"",O21/P21-1),"")</f>
        <v/>
      </c>
    </row>
    <row r="22">
      <c r="A22" s="219" t="inlineStr">
        <is>
          <t>2026Q4</t>
        </is>
      </c>
      <c r="B22" s="273">
        <f>IF(원자료_분기실측!AC41="","",원자료_분기실측!AC41)</f>
        <v/>
      </c>
      <c r="C22" s="273">
        <f>IF(원자료_분기실측!AC42="","",원자료_분기실측!AC42)</f>
        <v/>
      </c>
      <c r="D22" s="278">
        <f>IFERROR(IF(OR(B22="",C22=""),"",C22/B22),"")</f>
        <v/>
      </c>
      <c r="E22" s="278">
        <f>IFERROR('근거_NSA수량(IQVIA기준)'!AC53/'근거_Ramosetron 시장 수량'!AC57,"")</f>
        <v/>
      </c>
      <c r="F22" s="384">
        <f>IF(OR(D22="",E22=""),"",D22-E22)</f>
        <v/>
      </c>
      <c r="G22" s="278">
        <f>IFERROR(IF(원자료_분기실측!AC46=0,"",원자료_분기실측!AC46),"")</f>
        <v/>
      </c>
      <c r="H22" s="278">
        <f>IFERROR('근거_NSA수량(IQVIA기준)'!AC43,"")</f>
        <v/>
      </c>
      <c r="I22" s="384">
        <f>IFERROR(IF(OR(G22="",H22=""),"",G22/H22-1),"")</f>
        <v/>
      </c>
      <c r="J22" s="219">
        <f>IF(I22="","",IF(ABS(I22)&gt;$B$6*$B$10,IF(IF(ISNUMBER(I21),ABS(I21)&gt;$B$6*$B$10,FALSE),"경보","주의"),"정상"))</f>
        <v/>
      </c>
      <c r="K22" s="278">
        <f>IFERROR(IF(원자료_분기실측!AC47=0,"",원자료_분기실측!AC47),"")</f>
        <v/>
      </c>
      <c r="L22" s="278">
        <f>IFERROR('근거_NSA수량(IQVIA기준)'!AC44,"")</f>
        <v/>
      </c>
      <c r="M22" s="384">
        <f>IFERROR(IF(OR(K22="",L22=""),"",K22/L22-1),"")</f>
        <v/>
      </c>
      <c r="N22" s="219">
        <f>IF(M22="","",IF(ABS(M22)&gt;$B$7*$B$10,IF(IF(ISNUMBER(M21),ABS(M21)&gt;$B$7*$B$10,FALSE),"경보","주의"),"정상"))</f>
        <v/>
      </c>
      <c r="O22" s="278">
        <f>IFERROR(IF(원자료_분기실측!AC48=0,"",원자료_분기실측!AC48),"")</f>
        <v/>
      </c>
      <c r="P22" s="278">
        <f>IFERROR('근거_NSA수량(IQVIA기준)'!AC45,"")</f>
        <v/>
      </c>
      <c r="Q22" s="384">
        <f>IFERROR(IF(OR(O22="",P22=""),"",O22/P22-1),"")</f>
        <v/>
      </c>
    </row>
    <row r="23">
      <c r="A23" s="219" t="inlineStr">
        <is>
          <t>2027Q1</t>
        </is>
      </c>
      <c r="B23" s="273">
        <f>IF(원자료_분기실측!AD41="","",원자료_분기실측!AD41)</f>
        <v/>
      </c>
      <c r="C23" s="273">
        <f>IF(원자료_분기실측!AD42="","",원자료_분기실측!AD42)</f>
        <v/>
      </c>
      <c r="D23" s="278">
        <f>IFERROR(IF(OR(B23="",C23=""),"",C23/B23),"")</f>
        <v/>
      </c>
      <c r="E23" s="278">
        <f>IFERROR('근거_NSA수량(IQVIA기준)'!AD53/'근거_Ramosetron 시장 수량'!AD57,"")</f>
        <v/>
      </c>
      <c r="F23" s="384">
        <f>IF(OR(D23="",E23=""),"",D23-E23)</f>
        <v/>
      </c>
      <c r="G23" s="278">
        <f>IFERROR(IF(원자료_분기실측!AD46=0,"",원자료_분기실측!AD46),"")</f>
        <v/>
      </c>
      <c r="H23" s="278">
        <f>IFERROR('근거_NSA수량(IQVIA기준)'!AD43,"")</f>
        <v/>
      </c>
      <c r="I23" s="384">
        <f>IFERROR(IF(OR(G23="",H23=""),"",G23/H23-1),"")</f>
        <v/>
      </c>
      <c r="J23" s="219">
        <f>IF(I23="","",IF(ABS(I23)&gt;$B$6*$B$10,IF(IF(ISNUMBER(I22),ABS(I22)&gt;$B$6*$B$10,FALSE),"경보","주의"),"정상"))</f>
        <v/>
      </c>
      <c r="K23" s="278">
        <f>IFERROR(IF(원자료_분기실측!AD47=0,"",원자료_분기실측!AD47),"")</f>
        <v/>
      </c>
      <c r="L23" s="278">
        <f>IFERROR('근거_NSA수량(IQVIA기준)'!AD44,"")</f>
        <v/>
      </c>
      <c r="M23" s="384">
        <f>IFERROR(IF(OR(K23="",L23=""),"",K23/L23-1),"")</f>
        <v/>
      </c>
      <c r="N23" s="219">
        <f>IF(M23="","",IF(ABS(M23)&gt;$B$7*$B$10,IF(IF(ISNUMBER(M22),ABS(M22)&gt;$B$7*$B$10,FALSE),"경보","주의"),"정상"))</f>
        <v/>
      </c>
      <c r="O23" s="278">
        <f>IFERROR(IF(원자료_분기실측!AD48=0,"",원자료_분기실측!AD48),"")</f>
        <v/>
      </c>
      <c r="P23" s="278">
        <f>IFERROR('근거_NSA수량(IQVIA기준)'!AD45,"")</f>
        <v/>
      </c>
      <c r="Q23" s="384">
        <f>IFERROR(IF(OR(O23="",P23=""),"",O23/P23-1),"")</f>
        <v/>
      </c>
    </row>
    <row r="24">
      <c r="A24" s="219" t="inlineStr">
        <is>
          <t>2027Q2</t>
        </is>
      </c>
      <c r="B24" s="273">
        <f>IF(원자료_분기실측!AE41="","",원자료_분기실측!AE41)</f>
        <v/>
      </c>
      <c r="C24" s="273">
        <f>IF(원자료_분기실측!AE42="","",원자료_분기실측!AE42)</f>
        <v/>
      </c>
      <c r="D24" s="278">
        <f>IFERROR(IF(OR(B24="",C24=""),"",C24/B24),"")</f>
        <v/>
      </c>
      <c r="E24" s="278">
        <f>IFERROR('근거_NSA수량(IQVIA기준)'!AE53/'근거_Ramosetron 시장 수량'!AE57,"")</f>
        <v/>
      </c>
      <c r="F24" s="384">
        <f>IF(OR(D24="",E24=""),"",D24-E24)</f>
        <v/>
      </c>
      <c r="G24" s="278">
        <f>IFERROR(IF(원자료_분기실측!AE46=0,"",원자료_분기실측!AE46),"")</f>
        <v/>
      </c>
      <c r="H24" s="278">
        <f>IFERROR('근거_NSA수량(IQVIA기준)'!AE43,"")</f>
        <v/>
      </c>
      <c r="I24" s="384">
        <f>IFERROR(IF(OR(G24="",H24=""),"",G24/H24-1),"")</f>
        <v/>
      </c>
      <c r="J24" s="219">
        <f>IF(I24="","",IF(ABS(I24)&gt;$B$6*$B$10,IF(IF(ISNUMBER(I23),ABS(I23)&gt;$B$6*$B$10,FALSE),"경보","주의"),"정상"))</f>
        <v/>
      </c>
      <c r="K24" s="278">
        <f>IFERROR(IF(원자료_분기실측!AE47=0,"",원자료_분기실측!AE47),"")</f>
        <v/>
      </c>
      <c r="L24" s="278">
        <f>IFERROR('근거_NSA수량(IQVIA기준)'!AE44,"")</f>
        <v/>
      </c>
      <c r="M24" s="384">
        <f>IFERROR(IF(OR(K24="",L24=""),"",K24/L24-1),"")</f>
        <v/>
      </c>
      <c r="N24" s="219">
        <f>IF(M24="","",IF(ABS(M24)&gt;$B$7*$B$10,IF(IF(ISNUMBER(M23),ABS(M23)&gt;$B$7*$B$10,FALSE),"경보","주의"),"정상"))</f>
        <v/>
      </c>
      <c r="O24" s="278">
        <f>IFERROR(IF(원자료_분기실측!AE48=0,"",원자료_분기실측!AE48),"")</f>
        <v/>
      </c>
      <c r="P24" s="278">
        <f>IFERROR('근거_NSA수량(IQVIA기준)'!AE45,"")</f>
        <v/>
      </c>
      <c r="Q24" s="384">
        <f>IFERROR(IF(OR(O24="",P24=""),"",O24/P24-1),"")</f>
        <v/>
      </c>
    </row>
    <row r="25">
      <c r="A25" s="219" t="inlineStr">
        <is>
          <t>2027Q3</t>
        </is>
      </c>
      <c r="B25" s="273">
        <f>IF(원자료_분기실측!AF41="","",원자료_분기실측!AF41)</f>
        <v/>
      </c>
      <c r="C25" s="273">
        <f>IF(원자료_분기실측!AF42="","",원자료_분기실측!AF42)</f>
        <v/>
      </c>
      <c r="D25" s="278">
        <f>IFERROR(IF(OR(B25="",C25=""),"",C25/B25),"")</f>
        <v/>
      </c>
      <c r="E25" s="278">
        <f>IFERROR('근거_NSA수량(IQVIA기준)'!AF53/'근거_Ramosetron 시장 수량'!AF57,"")</f>
        <v/>
      </c>
      <c r="F25" s="384">
        <f>IF(OR(D25="",E25=""),"",D25-E25)</f>
        <v/>
      </c>
      <c r="G25" s="278">
        <f>IFERROR(IF(원자료_분기실측!AF46=0,"",원자료_분기실측!AF46),"")</f>
        <v/>
      </c>
      <c r="H25" s="278">
        <f>IFERROR('근거_NSA수량(IQVIA기준)'!AF43,"")</f>
        <v/>
      </c>
      <c r="I25" s="384">
        <f>IFERROR(IF(OR(G25="",H25=""),"",G25/H25-1),"")</f>
        <v/>
      </c>
      <c r="J25" s="219">
        <f>IF(I25="","",IF(ABS(I25)&gt;$B$6*$B$10,IF(IF(ISNUMBER(I24),ABS(I24)&gt;$B$6*$B$10,FALSE),"경보","주의"),"정상"))</f>
        <v/>
      </c>
      <c r="K25" s="278">
        <f>IFERROR(IF(원자료_분기실측!AF47=0,"",원자료_분기실측!AF47),"")</f>
        <v/>
      </c>
      <c r="L25" s="278">
        <f>IFERROR('근거_NSA수량(IQVIA기준)'!AF44,"")</f>
        <v/>
      </c>
      <c r="M25" s="384">
        <f>IFERROR(IF(OR(K25="",L25=""),"",K25/L25-1),"")</f>
        <v/>
      </c>
      <c r="N25" s="219">
        <f>IF(M25="","",IF(ABS(M25)&gt;$B$7*$B$10,IF(IF(ISNUMBER(M24),ABS(M24)&gt;$B$7*$B$10,FALSE),"경보","주의"),"정상"))</f>
        <v/>
      </c>
      <c r="O25" s="278">
        <f>IFERROR(IF(원자료_분기실측!AF48=0,"",원자료_분기실측!AF48),"")</f>
        <v/>
      </c>
      <c r="P25" s="278">
        <f>IFERROR('근거_NSA수량(IQVIA기준)'!AF45,"")</f>
        <v/>
      </c>
      <c r="Q25" s="384">
        <f>IFERROR(IF(OR(O25="",P25=""),"",O25/P25-1),"")</f>
        <v/>
      </c>
    </row>
    <row r="26">
      <c r="A26" s="219" t="inlineStr">
        <is>
          <t>2027Q4</t>
        </is>
      </c>
      <c r="B26" s="273">
        <f>IF(원자료_분기실측!AG41="","",원자료_분기실측!AG41)</f>
        <v/>
      </c>
      <c r="C26" s="273">
        <f>IF(원자료_분기실측!AG42="","",원자료_분기실측!AG42)</f>
        <v/>
      </c>
      <c r="D26" s="278">
        <f>IFERROR(IF(OR(B26="",C26=""),"",C26/B26),"")</f>
        <v/>
      </c>
      <c r="E26" s="278">
        <f>IFERROR('근거_NSA수량(IQVIA기준)'!AG53/'근거_Ramosetron 시장 수량'!AG57,"")</f>
        <v/>
      </c>
      <c r="F26" s="384">
        <f>IF(OR(D26="",E26=""),"",D26-E26)</f>
        <v/>
      </c>
      <c r="G26" s="278">
        <f>IFERROR(IF(원자료_분기실측!AG46=0,"",원자료_분기실측!AG46),"")</f>
        <v/>
      </c>
      <c r="H26" s="278">
        <f>IFERROR('근거_NSA수량(IQVIA기준)'!AG43,"")</f>
        <v/>
      </c>
      <c r="I26" s="384">
        <f>IFERROR(IF(OR(G26="",H26=""),"",G26/H26-1),"")</f>
        <v/>
      </c>
      <c r="J26" s="219">
        <f>IF(I26="","",IF(ABS(I26)&gt;$B$6*$B$10,IF(IF(ISNUMBER(I25),ABS(I25)&gt;$B$6*$B$10,FALSE),"경보","주의"),"정상"))</f>
        <v/>
      </c>
      <c r="K26" s="278">
        <f>IFERROR(IF(원자료_분기실측!AG47=0,"",원자료_분기실측!AG47),"")</f>
        <v/>
      </c>
      <c r="L26" s="278">
        <f>IFERROR('근거_NSA수량(IQVIA기준)'!AG44,"")</f>
        <v/>
      </c>
      <c r="M26" s="384">
        <f>IFERROR(IF(OR(K26="",L26=""),"",K26/L26-1),"")</f>
        <v/>
      </c>
      <c r="N26" s="219">
        <f>IF(M26="","",IF(ABS(M26)&gt;$B$7*$B$10,IF(IF(ISNUMBER(M25),ABS(M25)&gt;$B$7*$B$10,FALSE),"경보","주의"),"정상"))</f>
        <v/>
      </c>
      <c r="O26" s="278">
        <f>IFERROR(IF(원자료_분기실측!AG48=0,"",원자료_분기실측!AG48),"")</f>
        <v/>
      </c>
      <c r="P26" s="278">
        <f>IFERROR('근거_NSA수량(IQVIA기준)'!AG45,"")</f>
        <v/>
      </c>
      <c r="Q26" s="384">
        <f>IFERROR(IF(OR(O26="",P26=""),"",O26/P26-1),"")</f>
        <v/>
      </c>
    </row>
    <row r="27"/>
    <row r="28">
      <c r="A28" s="287" t="inlineStr">
        <is>
          <t>※ 읽는 법</t>
        </is>
      </c>
    </row>
    <row r="29">
      <c r="A29" s="322" t="inlineStr">
        <is>
          <t xml:space="preserve">  · 모델 = 근거_NSA수량 43~46행의 종별 MS 예측(실측 분기는 실측과 동일하므로 이탈 0). 새 분기 실측이 들어오면 그 분기의 예측식과 비교하려면 근거_NSA수량의 해당 분기 열 수식을 예측 수식으로 유지한 사본과 대조</t>
        </is>
      </c>
    </row>
    <row r="30">
      <c r="A30" s="322" t="inlineStr">
        <is>
          <t xml:space="preserve">  · 신호 = |이탈률| &gt; 백테스트 MAPE × 임계배수 이면 '주의', 직전 분기도 초과하면 '경보'</t>
        </is>
      </c>
    </row>
    <row r="31">
      <c r="A31" s="322" t="inlineStr">
        <is>
          <t xml:space="preserve">  · 경보가 뜨면 해당 종별 MS 예측 방식(레벨보정 하한·S-curve 상한·롤링 구간)을 재검토합니다</t>
        </is>
      </c>
    </row>
    <row r="32"/>
    <row r="33">
      <c r="A33" s="327" t="inlineStr">
        <is>
          <t>※ 청구 범위 변화 점검 (포괄수가·신포괄수가 확대)</t>
        </is>
      </c>
    </row>
    <row r="34">
      <c r="A34" s="322" t="inlineStr">
        <is>
          <t xml:space="preserve">  · 근거_전신마취환자수의 환자수가 급감하는데 IQVIA Ramosetron 수량은 유지되면 → 실제 시장 축소가 아니라 행위별 청구 범위 변화(신포괄수가 참여기관 확대, 포괄수가 질병군 추가)를 먼저 의심합니다</t>
        </is>
      </c>
    </row>
    <row r="35">
      <c r="A35" s="322" t="inlineStr">
        <is>
          <t xml:space="preserve">  · 이 경우 환자수 시트를 수정하지 말고, 근거_Ramosetron 시장 수량 D(종별 환자당 사용량)를 변화 시점 이후 데이터로 재산정하여 환자수 × 사용량이 IQVIA 수량과 다시 일치하도록 보정합니다</t>
        </is>
      </c>
    </row>
    <row r="36">
      <c r="A36" s="322" t="inlineStr">
        <is>
          <t xml:space="preserve">  · 선례: 2012.7 / 2013.7 포괄수가 의무화로 2013~2014년 환자수 -14% (근거_전신마취환자수 하단 유의사항 ①~⑤)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="81" workbookViewId="0">
      <selection activeCell="F20" sqref="F20"/>
    </sheetView>
  </sheetViews>
  <sheetFormatPr baseColWidth="8" defaultRowHeight="17.6"/>
  <cols>
    <col width="42" customWidth="1" style="217" min="1" max="1"/>
    <col width="9.0703125" bestFit="1" customWidth="1" style="217" min="2" max="6"/>
    <col width="9.2109375" bestFit="1" customWidth="1" style="217" min="7" max="8"/>
    <col width="10.2109375" bestFit="1" customWidth="1" style="217" min="9" max="26"/>
    <col width="9.0703125" bestFit="1" customWidth="1" style="217" min="27" max="27"/>
    <col width="9.7109375" bestFit="1" customWidth="1" style="217" min="29" max="29"/>
  </cols>
  <sheetData>
    <row r="1">
      <c r="A1" s="219" t="inlineStr">
        <is>
          <t>■ 원자료 실측 통합 시트 (IQVIA / SS-Chart / 흡입마취제 / SAP), CY역년분기 기준 — 계산된 값으로 고정</t>
        </is>
      </c>
    </row>
    <row r="2">
      <c r="A2" s="219" t="n"/>
    </row>
    <row r="3">
      <c r="A3" s="38" t="inlineStr">
        <is>
          <t>구분 / CY분기 ▶</t>
        </is>
      </c>
      <c r="B3" s="38" t="inlineStr">
        <is>
          <t>2020Q1</t>
        </is>
      </c>
      <c r="C3" s="38" t="inlineStr">
        <is>
          <t>2020Q2</t>
        </is>
      </c>
      <c r="D3" s="38" t="inlineStr">
        <is>
          <t>2020Q3</t>
        </is>
      </c>
      <c r="E3" s="38" t="inlineStr">
        <is>
          <t>2020Q4</t>
        </is>
      </c>
      <c r="F3" s="38" t="inlineStr">
        <is>
          <t>2021Q1</t>
        </is>
      </c>
      <c r="G3" s="38" t="inlineStr">
        <is>
          <t>2021Q2</t>
        </is>
      </c>
      <c r="H3" s="38" t="inlineStr">
        <is>
          <t>2021Q3</t>
        </is>
      </c>
      <c r="I3" s="38" t="inlineStr">
        <is>
          <t>2021Q4</t>
        </is>
      </c>
      <c r="J3" s="38" t="inlineStr">
        <is>
          <t>2022Q1</t>
        </is>
      </c>
      <c r="K3" s="38" t="inlineStr">
        <is>
          <t>2022Q2</t>
        </is>
      </c>
      <c r="L3" s="38" t="inlineStr">
        <is>
          <t>2022Q3</t>
        </is>
      </c>
      <c r="M3" s="38" t="inlineStr">
        <is>
          <t>2022Q4</t>
        </is>
      </c>
      <c r="N3" s="38" t="inlineStr">
        <is>
          <t>2023Q1</t>
        </is>
      </c>
      <c r="O3" s="38" t="inlineStr">
        <is>
          <t>2023Q2</t>
        </is>
      </c>
      <c r="P3" s="38" t="inlineStr">
        <is>
          <t>2023Q3</t>
        </is>
      </c>
      <c r="Q3" s="38" t="inlineStr">
        <is>
          <t>2023Q4</t>
        </is>
      </c>
      <c r="R3" s="38" t="inlineStr">
        <is>
          <t>2024Q1</t>
        </is>
      </c>
      <c r="S3" s="38" t="inlineStr">
        <is>
          <t>2024Q2</t>
        </is>
      </c>
      <c r="T3" s="38" t="inlineStr">
        <is>
          <t>2024Q3</t>
        </is>
      </c>
      <c r="U3" s="38" t="inlineStr">
        <is>
          <t>2024Q4</t>
        </is>
      </c>
      <c r="V3" s="38" t="inlineStr">
        <is>
          <t>2025Q1</t>
        </is>
      </c>
      <c r="W3" s="38" t="inlineStr">
        <is>
          <t>2025Q2</t>
        </is>
      </c>
      <c r="X3" s="38" t="inlineStr">
        <is>
          <t>2025Q3</t>
        </is>
      </c>
      <c r="Y3" s="38" t="inlineStr">
        <is>
          <t>2025Q4</t>
        </is>
      </c>
      <c r="Z3" s="38" t="inlineStr">
        <is>
          <t>2026Q1</t>
        </is>
      </c>
      <c r="AA3" s="111" t="inlineStr">
        <is>
          <t>2026Q2</t>
        </is>
      </c>
      <c r="AB3" s="111" t="inlineStr">
        <is>
          <t>2026Q3</t>
        </is>
      </c>
      <c r="AC3" s="111" t="inlineStr">
        <is>
          <t>2026Q4</t>
        </is>
      </c>
      <c r="AD3" s="111" t="inlineStr">
        <is>
          <t>2027Q1</t>
        </is>
      </c>
      <c r="AE3" s="111" t="inlineStr">
        <is>
          <t>2027Q2</t>
        </is>
      </c>
      <c r="AF3" s="111" t="inlineStr">
        <is>
          <t>2027Q3</t>
        </is>
      </c>
      <c r="AG3" s="111" t="inlineStr">
        <is>
          <t>2027Q4</t>
        </is>
      </c>
      <c r="AH3" s="111" t="inlineStr">
        <is>
          <t>2028Q1</t>
        </is>
      </c>
      <c r="AI3" s="111" t="inlineStr">
        <is>
          <t>2028Q2</t>
        </is>
      </c>
      <c r="AJ3" s="111" t="inlineStr">
        <is>
          <t>2028Q3</t>
        </is>
      </c>
      <c r="AK3" s="111" t="inlineStr">
        <is>
          <t>2028Q4</t>
        </is>
      </c>
      <c r="AL3" s="111" t="inlineStr">
        <is>
          <t>2029Q1</t>
        </is>
      </c>
      <c r="AM3" s="111" t="inlineStr">
        <is>
          <t>2029Q2</t>
        </is>
      </c>
      <c r="AN3" s="111" t="inlineStr">
        <is>
          <t>2029Q3</t>
        </is>
      </c>
      <c r="AO3" s="111" t="inlineStr">
        <is>
          <t>2029Q4</t>
        </is>
      </c>
      <c r="AP3" s="111" t="inlineStr">
        <is>
          <t>2030Q1</t>
        </is>
      </c>
      <c r="AQ3" s="111" t="inlineStr">
        <is>
          <t>2030Q2</t>
        </is>
      </c>
      <c r="AR3" s="111" t="inlineStr">
        <is>
          <t>2030Q3</t>
        </is>
      </c>
      <c r="AS3" s="111" t="inlineStr">
        <is>
          <t>2030Q4</t>
        </is>
      </c>
      <c r="AT3" s="111" t="inlineStr">
        <is>
          <t>2031Q1</t>
        </is>
      </c>
    </row>
    <row r="4">
      <c r="A4" s="41" t="inlineStr">
        <is>
          <t>■ A. HIRA 기준 종별 전신마취환자수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219" t="inlineStr">
        <is>
          <t>[HIRA] 상급종합병원 전신마취환자수(월별집계)</t>
        </is>
      </c>
      <c r="B5" s="208" t="n">
        <v>121507</v>
      </c>
      <c r="C5" s="208" t="n">
        <v>112359</v>
      </c>
      <c r="D5" s="208" t="n">
        <v>107807</v>
      </c>
      <c r="E5" s="208" t="n">
        <v>118209</v>
      </c>
      <c r="F5" s="208" t="n">
        <v>129569</v>
      </c>
      <c r="G5" s="208" t="n">
        <v>129001</v>
      </c>
      <c r="H5" s="208" t="n">
        <v>129209</v>
      </c>
      <c r="I5" s="208" t="n">
        <v>129391</v>
      </c>
      <c r="J5" s="208" t="n">
        <v>125360</v>
      </c>
      <c r="K5" s="208" t="n">
        <v>128630</v>
      </c>
      <c r="L5" s="208" t="n">
        <v>131431</v>
      </c>
      <c r="M5" s="208" t="n">
        <v>130441</v>
      </c>
      <c r="N5" s="208" t="n">
        <v>138940</v>
      </c>
      <c r="O5" s="208" t="n">
        <v>129917</v>
      </c>
      <c r="P5" s="208" t="n">
        <v>131225</v>
      </c>
      <c r="Q5" s="208" t="n">
        <v>129772</v>
      </c>
      <c r="R5" s="208" t="n">
        <v>114383</v>
      </c>
      <c r="S5" s="208" t="n">
        <v>88246</v>
      </c>
      <c r="T5" s="208" t="n">
        <v>97292</v>
      </c>
      <c r="U5" s="208" t="n">
        <v>98980</v>
      </c>
      <c r="V5" s="208" t="n">
        <v>104763</v>
      </c>
      <c r="W5" s="208" t="n">
        <v>105161</v>
      </c>
      <c r="X5" s="208" t="n">
        <v>119497</v>
      </c>
      <c r="Y5" s="208" t="n">
        <v>116712</v>
      </c>
    </row>
    <row r="6">
      <c r="A6" s="219" t="inlineStr">
        <is>
          <t>[HIRA] 종합병원 전신마취환자수(월별집계)</t>
        </is>
      </c>
      <c r="B6" s="208" t="n">
        <v>103896</v>
      </c>
      <c r="C6" s="208" t="n">
        <v>100040</v>
      </c>
      <c r="D6" s="208" t="n">
        <v>105905</v>
      </c>
      <c r="E6" s="208" t="n">
        <v>104829</v>
      </c>
      <c r="F6" s="208" t="n">
        <v>104324</v>
      </c>
      <c r="G6" s="208" t="n">
        <v>104109</v>
      </c>
      <c r="H6" s="208" t="n">
        <v>107883</v>
      </c>
      <c r="I6" s="208" t="n">
        <v>107619</v>
      </c>
      <c r="J6" s="208" t="n">
        <v>103354</v>
      </c>
      <c r="K6" s="208" t="n">
        <v>109928</v>
      </c>
      <c r="L6" s="208" t="n">
        <v>114627</v>
      </c>
      <c r="M6" s="208" t="n">
        <v>112868</v>
      </c>
      <c r="N6" s="208" t="n">
        <v>120284</v>
      </c>
      <c r="O6" s="208" t="n">
        <v>114749</v>
      </c>
      <c r="P6" s="208" t="n">
        <v>118829</v>
      </c>
      <c r="Q6" s="208" t="n">
        <v>116672</v>
      </c>
      <c r="R6" s="208" t="n">
        <v>120108</v>
      </c>
      <c r="S6" s="208" t="n">
        <v>118081</v>
      </c>
      <c r="T6" s="208" t="n">
        <v>124776</v>
      </c>
      <c r="U6" s="208" t="n">
        <v>124617</v>
      </c>
      <c r="V6" s="208" t="n">
        <v>129463</v>
      </c>
      <c r="W6" s="208" t="n">
        <v>125450</v>
      </c>
      <c r="X6" s="208" t="n">
        <v>137121</v>
      </c>
      <c r="Y6" s="208" t="n">
        <v>123702</v>
      </c>
    </row>
    <row r="7">
      <c r="A7" s="219" t="inlineStr">
        <is>
          <t>[HIRA] 병원급 전신마취환자수(월별집계)</t>
        </is>
      </c>
      <c r="B7" s="208" t="n">
        <v>61444</v>
      </c>
      <c r="C7" s="208" t="n">
        <v>60731</v>
      </c>
      <c r="D7" s="208" t="n">
        <v>61660</v>
      </c>
      <c r="E7" s="208" t="n">
        <v>62416</v>
      </c>
      <c r="F7" s="208" t="n">
        <v>66795</v>
      </c>
      <c r="G7" s="208" t="n">
        <v>62144</v>
      </c>
      <c r="H7" s="208" t="n">
        <v>60967</v>
      </c>
      <c r="I7" s="208" t="n">
        <v>63172</v>
      </c>
      <c r="J7" s="208" t="n">
        <v>61126</v>
      </c>
      <c r="K7" s="208" t="n">
        <v>61179</v>
      </c>
      <c r="L7" s="208" t="n">
        <v>59287</v>
      </c>
      <c r="M7" s="208" t="n">
        <v>61187</v>
      </c>
      <c r="N7" s="208" t="n">
        <v>66259</v>
      </c>
      <c r="O7" s="208" t="n">
        <v>60123</v>
      </c>
      <c r="P7" s="208" t="n">
        <v>58694</v>
      </c>
      <c r="Q7" s="208" t="n">
        <v>59386</v>
      </c>
      <c r="R7" s="208" t="n">
        <v>66016</v>
      </c>
      <c r="S7" s="208" t="n">
        <v>65517</v>
      </c>
      <c r="T7" s="208" t="n">
        <v>65429</v>
      </c>
      <c r="U7" s="208" t="n">
        <v>67114</v>
      </c>
      <c r="V7" s="208" t="n">
        <v>70846</v>
      </c>
      <c r="W7" s="208" t="n">
        <v>67736</v>
      </c>
      <c r="X7" s="208" t="n">
        <v>68514</v>
      </c>
      <c r="Y7" s="208" t="n">
        <v>64912</v>
      </c>
    </row>
    <row r="8">
      <c r="A8" s="219" t="inlineStr">
        <is>
          <t>[HIRA] 의원급 전신마취환자수(월별집계)</t>
        </is>
      </c>
      <c r="B8" s="208" t="n">
        <v>11210</v>
      </c>
      <c r="C8" s="208" t="n">
        <v>11118</v>
      </c>
      <c r="D8" s="208" t="n">
        <v>12076</v>
      </c>
      <c r="E8" s="208" t="n">
        <v>12920</v>
      </c>
      <c r="F8" s="208" t="n">
        <v>14274</v>
      </c>
      <c r="G8" s="208" t="n">
        <v>13577</v>
      </c>
      <c r="H8" s="208" t="n">
        <v>13403</v>
      </c>
      <c r="I8" s="208" t="n">
        <v>14203</v>
      </c>
      <c r="J8" s="208" t="n">
        <v>14514</v>
      </c>
      <c r="K8" s="208" t="n">
        <v>15038</v>
      </c>
      <c r="L8" s="208" t="n">
        <v>15648</v>
      </c>
      <c r="M8" s="208" t="n">
        <v>15929</v>
      </c>
      <c r="N8" s="208" t="n">
        <v>17218</v>
      </c>
      <c r="O8" s="208" t="n">
        <v>16789</v>
      </c>
      <c r="P8" s="208" t="n">
        <v>16833</v>
      </c>
      <c r="Q8" s="208" t="n">
        <v>17360</v>
      </c>
      <c r="R8" s="208" t="n">
        <v>19907</v>
      </c>
      <c r="S8" s="208" t="n">
        <v>19853</v>
      </c>
      <c r="T8" s="208" t="n">
        <v>20622</v>
      </c>
      <c r="U8" s="208" t="n">
        <v>22158</v>
      </c>
      <c r="V8" s="208" t="n">
        <v>23936</v>
      </c>
      <c r="W8" s="208" t="n">
        <v>24213</v>
      </c>
      <c r="X8" s="208" t="n">
        <v>25626</v>
      </c>
      <c r="Y8" s="208" t="n">
        <v>25008</v>
      </c>
    </row>
    <row r="9">
      <c r="A9" s="219" t="inlineStr">
        <is>
          <t>[HIRA] 의원급 전신마취환자수 합계</t>
        </is>
      </c>
      <c r="B9" s="152">
        <f>SUM(B5:B8)</f>
        <v/>
      </c>
      <c r="C9" s="152">
        <f>SUM(C5:C8)</f>
        <v/>
      </c>
      <c r="D9" s="152">
        <f>SUM(D5:D8)</f>
        <v/>
      </c>
      <c r="E9" s="152">
        <f>SUM(E5:E8)</f>
        <v/>
      </c>
      <c r="F9" s="152">
        <f>SUM(F5:F8)</f>
        <v/>
      </c>
      <c r="G9" s="152">
        <f>SUM(G5:G8)</f>
        <v/>
      </c>
      <c r="H9" s="152">
        <f>SUM(H5:H8)</f>
        <v/>
      </c>
      <c r="I9" s="152">
        <f>SUM(I5:I8)</f>
        <v/>
      </c>
      <c r="J9" s="152">
        <f>SUM(J5:J8)</f>
        <v/>
      </c>
      <c r="K9" s="152">
        <f>SUM(K5:K8)</f>
        <v/>
      </c>
      <c r="L9" s="152">
        <f>SUM(L5:L8)</f>
        <v/>
      </c>
      <c r="M9" s="152">
        <f>SUM(M5:M8)</f>
        <v/>
      </c>
      <c r="N9" s="152">
        <f>SUM(N5:N8)</f>
        <v/>
      </c>
      <c r="O9" s="152">
        <f>SUM(O5:O8)</f>
        <v/>
      </c>
      <c r="P9" s="152">
        <f>SUM(P5:P8)</f>
        <v/>
      </c>
      <c r="Q9" s="152">
        <f>SUM(Q5:Q8)</f>
        <v/>
      </c>
      <c r="R9" s="152">
        <f>SUM(R5:R8)</f>
        <v/>
      </c>
      <c r="S9" s="152">
        <f>SUM(S5:S8)</f>
        <v/>
      </c>
      <c r="T9" s="152">
        <f>SUM(T5:T8)</f>
        <v/>
      </c>
      <c r="U9" s="152">
        <f>SUM(U5:U8)</f>
        <v/>
      </c>
      <c r="V9" s="152">
        <f>SUM(V5:V8)</f>
        <v/>
      </c>
      <c r="W9" s="152">
        <f>SUM(W5:W8)</f>
        <v/>
      </c>
      <c r="X9" s="152">
        <f>SUM(X5:X8)</f>
        <v/>
      </c>
      <c r="Y9" s="152">
        <f>SUM(Y5:Y8)</f>
        <v/>
      </c>
    </row>
    <row r="10"/>
    <row r="11">
      <c r="A11" s="219" t="inlineStr">
        <is>
          <t>[전신마취환자수] 상급종합병원 비율</t>
        </is>
      </c>
      <c r="B11" s="118">
        <f>B5/B$9</f>
        <v/>
      </c>
      <c r="C11" s="118">
        <f>C5/C$9</f>
        <v/>
      </c>
      <c r="D11" s="118">
        <f>D5/D$9</f>
        <v/>
      </c>
      <c r="E11" s="118">
        <f>E5/E$9</f>
        <v/>
      </c>
      <c r="F11" s="118">
        <f>F5/F$9</f>
        <v/>
      </c>
      <c r="G11" s="118">
        <f>G5/G$9</f>
        <v/>
      </c>
      <c r="H11" s="118">
        <f>H5/H$9</f>
        <v/>
      </c>
      <c r="I11" s="118">
        <f>I5/I$9</f>
        <v/>
      </c>
      <c r="J11" s="118">
        <f>J5/J$9</f>
        <v/>
      </c>
      <c r="K11" s="118">
        <f>K5/K$9</f>
        <v/>
      </c>
      <c r="L11" s="118">
        <f>L5/L$9</f>
        <v/>
      </c>
      <c r="M11" s="118">
        <f>M5/M$9</f>
        <v/>
      </c>
      <c r="N11" s="118">
        <f>N5/N$9</f>
        <v/>
      </c>
      <c r="O11" s="118">
        <f>O5/O$9</f>
        <v/>
      </c>
      <c r="P11" s="118">
        <f>P5/P$9</f>
        <v/>
      </c>
      <c r="Q11" s="118">
        <f>Q5/Q$9</f>
        <v/>
      </c>
      <c r="R11" s="118">
        <f>R5/R$9</f>
        <v/>
      </c>
      <c r="S11" s="153">
        <f>S5/S$9</f>
        <v/>
      </c>
      <c r="T11" s="118">
        <f>T5/T$9</f>
        <v/>
      </c>
      <c r="U11" s="118">
        <f>U5/U$9</f>
        <v/>
      </c>
      <c r="V11" s="118">
        <f>V5/V$9</f>
        <v/>
      </c>
      <c r="W11" s="118">
        <f>W5/W$9</f>
        <v/>
      </c>
      <c r="X11" s="118">
        <f>X5/X$9</f>
        <v/>
      </c>
      <c r="Y11" s="118">
        <f>Y5/Y$9</f>
        <v/>
      </c>
      <c r="Z11" s="113" t="n"/>
    </row>
    <row r="12">
      <c r="A12" s="219" t="inlineStr">
        <is>
          <t>[전신마취환자수] 종합병원 비율</t>
        </is>
      </c>
      <c r="B12" s="118">
        <f>B6/B$9</f>
        <v/>
      </c>
      <c r="C12" s="118">
        <f>C6/C$9</f>
        <v/>
      </c>
      <c r="D12" s="118">
        <f>D6/D$9</f>
        <v/>
      </c>
      <c r="E12" s="118">
        <f>E6/E$9</f>
        <v/>
      </c>
      <c r="F12" s="118">
        <f>F6/F$9</f>
        <v/>
      </c>
      <c r="G12" s="118">
        <f>G6/G$9</f>
        <v/>
      </c>
      <c r="H12" s="118">
        <f>H6/H$9</f>
        <v/>
      </c>
      <c r="I12" s="118">
        <f>I6/I$9</f>
        <v/>
      </c>
      <c r="J12" s="118">
        <f>J6/J$9</f>
        <v/>
      </c>
      <c r="K12" s="118">
        <f>K6/K$9</f>
        <v/>
      </c>
      <c r="L12" s="118">
        <f>L6/L$9</f>
        <v/>
      </c>
      <c r="M12" s="118">
        <f>M6/M$9</f>
        <v/>
      </c>
      <c r="N12" s="118">
        <f>N6/N$9</f>
        <v/>
      </c>
      <c r="O12" s="118">
        <f>O6/O$9</f>
        <v/>
      </c>
      <c r="P12" s="118">
        <f>P6/P$9</f>
        <v/>
      </c>
      <c r="Q12" s="118">
        <f>Q6/Q$9</f>
        <v/>
      </c>
      <c r="R12" s="118">
        <f>R6/R$9</f>
        <v/>
      </c>
      <c r="S12" s="118">
        <f>S6/S$9</f>
        <v/>
      </c>
      <c r="T12" s="118">
        <f>T6/T$9</f>
        <v/>
      </c>
      <c r="U12" s="118">
        <f>U6/U$9</f>
        <v/>
      </c>
      <c r="V12" s="118">
        <f>V6/V$9</f>
        <v/>
      </c>
      <c r="W12" s="118">
        <f>W6/W$9</f>
        <v/>
      </c>
      <c r="X12" s="118">
        <f>X6/X$9</f>
        <v/>
      </c>
      <c r="Y12" s="118">
        <f>Y6/Y$9</f>
        <v/>
      </c>
      <c r="Z12" s="113" t="n"/>
    </row>
    <row r="13">
      <c r="A13" s="219" t="inlineStr">
        <is>
          <t>[전신마취환자수] 병원 비율</t>
        </is>
      </c>
      <c r="B13" s="118">
        <f>B7/B$9</f>
        <v/>
      </c>
      <c r="C13" s="118">
        <f>C7/C$9</f>
        <v/>
      </c>
      <c r="D13" s="118">
        <f>D7/D$9</f>
        <v/>
      </c>
      <c r="E13" s="118">
        <f>E7/E$9</f>
        <v/>
      </c>
      <c r="F13" s="118">
        <f>F7/F$9</f>
        <v/>
      </c>
      <c r="G13" s="118">
        <f>G7/G$9</f>
        <v/>
      </c>
      <c r="H13" s="118">
        <f>H7/H$9</f>
        <v/>
      </c>
      <c r="I13" s="118">
        <f>I7/I$9</f>
        <v/>
      </c>
      <c r="J13" s="118">
        <f>J7/J$9</f>
        <v/>
      </c>
      <c r="K13" s="118">
        <f>K7/K$9</f>
        <v/>
      </c>
      <c r="L13" s="118">
        <f>L7/L$9</f>
        <v/>
      </c>
      <c r="M13" s="118">
        <f>M7/M$9</f>
        <v/>
      </c>
      <c r="N13" s="118">
        <f>N7/N$9</f>
        <v/>
      </c>
      <c r="O13" s="118">
        <f>O7/O$9</f>
        <v/>
      </c>
      <c r="P13" s="118">
        <f>P7/P$9</f>
        <v/>
      </c>
      <c r="Q13" s="118">
        <f>Q7/Q$9</f>
        <v/>
      </c>
      <c r="R13" s="118">
        <f>R7/R$9</f>
        <v/>
      </c>
      <c r="S13" s="118">
        <f>S7/S$9</f>
        <v/>
      </c>
      <c r="T13" s="118">
        <f>T7/T$9</f>
        <v/>
      </c>
      <c r="U13" s="118">
        <f>U7/U$9</f>
        <v/>
      </c>
      <c r="V13" s="118">
        <f>V7/V$9</f>
        <v/>
      </c>
      <c r="W13" s="118">
        <f>W7/W$9</f>
        <v/>
      </c>
      <c r="X13" s="118">
        <f>X7/X$9</f>
        <v/>
      </c>
      <c r="Y13" s="118">
        <f>Y7/Y$9</f>
        <v/>
      </c>
      <c r="Z13" s="113" t="n"/>
    </row>
    <row r="14">
      <c r="A14" s="219" t="inlineStr">
        <is>
          <t>[전신마취환자수] 의원 비율</t>
        </is>
      </c>
      <c r="B14" s="118">
        <f>B8/B$9</f>
        <v/>
      </c>
      <c r="C14" s="118">
        <f>C8/C$9</f>
        <v/>
      </c>
      <c r="D14" s="118">
        <f>D8/D$9</f>
        <v/>
      </c>
      <c r="E14" s="118">
        <f>E8/E$9</f>
        <v/>
      </c>
      <c r="F14" s="118">
        <f>F8/F$9</f>
        <v/>
      </c>
      <c r="G14" s="118">
        <f>G8/G$9</f>
        <v/>
      </c>
      <c r="H14" s="118">
        <f>H8/H$9</f>
        <v/>
      </c>
      <c r="I14" s="118">
        <f>I8/I$9</f>
        <v/>
      </c>
      <c r="J14" s="118">
        <f>J8/J$9</f>
        <v/>
      </c>
      <c r="K14" s="118">
        <f>K8/K$9</f>
        <v/>
      </c>
      <c r="L14" s="118">
        <f>L8/L$9</f>
        <v/>
      </c>
      <c r="M14" s="118">
        <f>M8/M$9</f>
        <v/>
      </c>
      <c r="N14" s="118">
        <f>N8/N$9</f>
        <v/>
      </c>
      <c r="O14" s="118">
        <f>O8/O$9</f>
        <v/>
      </c>
      <c r="P14" s="118">
        <f>P8/P$9</f>
        <v/>
      </c>
      <c r="Q14" s="118">
        <f>Q8/Q$9</f>
        <v/>
      </c>
      <c r="R14" s="118">
        <f>R8/R$9</f>
        <v/>
      </c>
      <c r="S14" s="118">
        <f>S8/S$9</f>
        <v/>
      </c>
      <c r="T14" s="118">
        <f>T8/T$9</f>
        <v/>
      </c>
      <c r="U14" s="118">
        <f>U8/U$9</f>
        <v/>
      </c>
      <c r="V14" s="118">
        <f>V8/V$9</f>
        <v/>
      </c>
      <c r="W14" s="118">
        <f>W8/W$9</f>
        <v/>
      </c>
      <c r="X14" s="118">
        <f>X8/X$9</f>
        <v/>
      </c>
      <c r="Y14" s="118">
        <f>Y8/Y$9</f>
        <v/>
      </c>
      <c r="Z14" s="113" t="n"/>
    </row>
    <row r="15"/>
    <row r="16">
      <c r="A16" s="41" t="inlineStr">
        <is>
          <t>■ B. HIRA 기준 흡입마취제 사용량의 종별 비율 (%)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219" t="inlineStr">
        <is>
          <t>[흡입마취제] 상급종합병원 수량</t>
        </is>
      </c>
      <c r="B17" s="208" t="n">
        <v>34272</v>
      </c>
      <c r="C17" s="208" t="n">
        <v>32171</v>
      </c>
      <c r="D17" s="208" t="n">
        <v>30099</v>
      </c>
      <c r="E17" s="208" t="n">
        <v>33777</v>
      </c>
      <c r="F17" s="208" t="n">
        <v>36985</v>
      </c>
      <c r="G17" s="208" t="n">
        <v>36942</v>
      </c>
      <c r="H17" s="208" t="n">
        <v>44976</v>
      </c>
      <c r="I17" s="208" t="n">
        <v>82973</v>
      </c>
      <c r="J17" s="208" t="n">
        <v>78885</v>
      </c>
      <c r="K17" s="208" t="n">
        <v>76764</v>
      </c>
      <c r="L17" s="208" t="n">
        <v>88250</v>
      </c>
      <c r="M17" s="208" t="n">
        <v>84781</v>
      </c>
      <c r="N17" s="208" t="n">
        <v>94417</v>
      </c>
      <c r="O17" s="208" t="n">
        <v>82526</v>
      </c>
      <c r="P17" s="208" t="n">
        <v>92689</v>
      </c>
      <c r="Q17" s="208" t="n">
        <v>84710</v>
      </c>
      <c r="R17" s="208" t="n">
        <v>71567</v>
      </c>
      <c r="S17" s="208" t="n">
        <v>43989</v>
      </c>
      <c r="T17" s="208" t="n">
        <v>55937</v>
      </c>
      <c r="U17" s="208" t="n">
        <v>56622</v>
      </c>
      <c r="V17" s="208" t="n">
        <v>60740</v>
      </c>
      <c r="W17" s="208" t="n">
        <v>61061</v>
      </c>
      <c r="X17" s="208" t="n">
        <v>67835</v>
      </c>
      <c r="Y17" s="208" t="n">
        <v>64936</v>
      </c>
      <c r="Z17" s="208" t="n">
        <v>71159</v>
      </c>
    </row>
    <row r="18">
      <c r="A18" s="219" t="inlineStr">
        <is>
          <t>[흡입마취제] 종합병원 수량</t>
        </is>
      </c>
      <c r="B18" s="208" t="n">
        <v>28075</v>
      </c>
      <c r="C18" s="208" t="n">
        <v>26257</v>
      </c>
      <c r="D18" s="208" t="n">
        <v>28698</v>
      </c>
      <c r="E18" s="208" t="n">
        <v>29626</v>
      </c>
      <c r="F18" s="208" t="n">
        <v>28237</v>
      </c>
      <c r="G18" s="208" t="n">
        <v>28438</v>
      </c>
      <c r="H18" s="208" t="n">
        <v>29552</v>
      </c>
      <c r="I18" s="208" t="n">
        <v>46488</v>
      </c>
      <c r="J18" s="208" t="n">
        <v>50221</v>
      </c>
      <c r="K18" s="208" t="n">
        <v>50364</v>
      </c>
      <c r="L18" s="208" t="n">
        <v>50839</v>
      </c>
      <c r="M18" s="208" t="n">
        <v>49059</v>
      </c>
      <c r="N18" s="208" t="n">
        <v>64926</v>
      </c>
      <c r="O18" s="208" t="n">
        <v>47574</v>
      </c>
      <c r="P18" s="208" t="n">
        <v>52071</v>
      </c>
      <c r="Q18" s="208" t="n">
        <v>48638</v>
      </c>
      <c r="R18" s="208" t="n">
        <v>52754</v>
      </c>
      <c r="S18" s="208" t="n">
        <v>51020</v>
      </c>
      <c r="T18" s="208" t="n">
        <v>58229</v>
      </c>
      <c r="U18" s="208" t="n">
        <v>71947</v>
      </c>
      <c r="V18" s="208" t="n">
        <v>75218</v>
      </c>
      <c r="W18" s="208" t="n">
        <v>62076</v>
      </c>
      <c r="X18" s="208" t="n">
        <v>62046</v>
      </c>
      <c r="Y18" s="208" t="n">
        <v>53535</v>
      </c>
      <c r="Z18" s="208" t="n">
        <v>57750</v>
      </c>
    </row>
    <row r="19">
      <c r="A19" s="219" t="inlineStr">
        <is>
          <t>[흡입마취제] 병원 수량</t>
        </is>
      </c>
      <c r="B19" s="208" t="n">
        <v>24265</v>
      </c>
      <c r="C19" s="208" t="n">
        <v>23810</v>
      </c>
      <c r="D19" s="208" t="n">
        <v>25033</v>
      </c>
      <c r="E19" s="208" t="n">
        <v>24165</v>
      </c>
      <c r="F19" s="208" t="n">
        <v>22666</v>
      </c>
      <c r="G19" s="208" t="n">
        <v>18347</v>
      </c>
      <c r="H19" s="208" t="n">
        <v>13231</v>
      </c>
      <c r="I19" s="208" t="n">
        <v>20347</v>
      </c>
      <c r="J19" s="208" t="n">
        <v>20924</v>
      </c>
      <c r="K19" s="208" t="n">
        <v>20399</v>
      </c>
      <c r="L19" s="208" t="n">
        <v>17642</v>
      </c>
      <c r="M19" s="208" t="n">
        <v>24013</v>
      </c>
      <c r="N19" s="208" t="n">
        <v>21472</v>
      </c>
      <c r="O19" s="208" t="n">
        <v>18740</v>
      </c>
      <c r="P19" s="208" t="n">
        <v>16493</v>
      </c>
      <c r="Q19" s="208" t="n">
        <v>15156</v>
      </c>
      <c r="R19" s="208" t="n">
        <v>16755</v>
      </c>
      <c r="S19" s="208" t="n">
        <v>17074</v>
      </c>
      <c r="T19" s="208" t="n">
        <v>21314</v>
      </c>
      <c r="U19" s="208" t="n">
        <v>17110</v>
      </c>
      <c r="V19" s="208" t="n">
        <v>17224</v>
      </c>
      <c r="W19" s="208" t="n">
        <v>19061</v>
      </c>
      <c r="X19" s="208" t="n">
        <v>18127</v>
      </c>
      <c r="Y19" s="208" t="n">
        <v>15414</v>
      </c>
      <c r="Z19" s="208" t="n">
        <v>15471</v>
      </c>
    </row>
    <row r="20">
      <c r="A20" s="219" t="inlineStr">
        <is>
          <t>[흡입마취제] 의원 수량</t>
        </is>
      </c>
      <c r="B20" s="208" t="n">
        <v>2362</v>
      </c>
      <c r="C20" s="208" t="n">
        <v>1971</v>
      </c>
      <c r="D20" s="208" t="n">
        <v>2482</v>
      </c>
      <c r="E20" s="208" t="n">
        <v>2472</v>
      </c>
      <c r="F20" s="208" t="n">
        <v>3213</v>
      </c>
      <c r="G20" s="208" t="n">
        <v>1651</v>
      </c>
      <c r="H20" s="208" t="n">
        <v>1631</v>
      </c>
      <c r="I20" s="208" t="n">
        <v>3077</v>
      </c>
      <c r="J20" s="208" t="n">
        <v>2933</v>
      </c>
      <c r="K20" s="208" t="n">
        <v>2421</v>
      </c>
      <c r="L20" s="208" t="n">
        <v>2748</v>
      </c>
      <c r="M20" s="208" t="n">
        <v>2766</v>
      </c>
      <c r="N20" s="208" t="n">
        <v>3132</v>
      </c>
      <c r="O20" s="208" t="n">
        <v>2597</v>
      </c>
      <c r="P20" s="208" t="n">
        <v>2660</v>
      </c>
      <c r="Q20" s="208" t="n">
        <v>2730</v>
      </c>
      <c r="R20" s="208" t="n">
        <v>3104</v>
      </c>
      <c r="S20" s="208" t="n">
        <v>2627</v>
      </c>
      <c r="T20" s="208" t="n">
        <v>2841</v>
      </c>
      <c r="U20" s="208" t="n">
        <v>2909</v>
      </c>
      <c r="V20" s="208" t="n">
        <v>3106</v>
      </c>
      <c r="W20" s="208" t="n">
        <v>3053</v>
      </c>
      <c r="X20" s="208" t="n">
        <v>3138</v>
      </c>
      <c r="Y20" s="208" t="n">
        <v>3013</v>
      </c>
      <c r="Z20" s="208" t="n">
        <v>3209</v>
      </c>
    </row>
    <row r="21">
      <c r="A21" s="219" t="inlineStr">
        <is>
          <t>[흡입마취제] 합계</t>
        </is>
      </c>
      <c r="B21" s="122">
        <f>SUM(B17:B20)</f>
        <v/>
      </c>
      <c r="C21" s="122">
        <f>SUM(C17:C20)</f>
        <v/>
      </c>
      <c r="D21" s="122">
        <f>SUM(D17:D20)</f>
        <v/>
      </c>
      <c r="E21" s="122">
        <f>SUM(E17:E20)</f>
        <v/>
      </c>
      <c r="F21" s="122">
        <f>SUM(F17:F20)</f>
        <v/>
      </c>
      <c r="G21" s="122">
        <f>SUM(G17:G20)</f>
        <v/>
      </c>
      <c r="H21" s="122">
        <f>SUM(H17:H20)</f>
        <v/>
      </c>
      <c r="I21" s="122">
        <f>SUM(I17:I20)</f>
        <v/>
      </c>
      <c r="J21" s="122">
        <f>SUM(J17:J20)</f>
        <v/>
      </c>
      <c r="K21" s="122">
        <f>SUM(K17:K20)</f>
        <v/>
      </c>
      <c r="L21" s="122">
        <f>SUM(L17:L20)</f>
        <v/>
      </c>
      <c r="M21" s="122">
        <f>SUM(M17:M20)</f>
        <v/>
      </c>
      <c r="N21" s="122">
        <f>SUM(N17:N20)</f>
        <v/>
      </c>
      <c r="O21" s="122">
        <f>SUM(O17:O20)</f>
        <v/>
      </c>
      <c r="P21" s="122">
        <f>SUM(P17:P20)</f>
        <v/>
      </c>
      <c r="Q21" s="122">
        <f>SUM(Q17:Q20)</f>
        <v/>
      </c>
      <c r="R21" s="122">
        <f>SUM(R17:R20)</f>
        <v/>
      </c>
      <c r="S21" s="122">
        <f>SUM(S17:S20)</f>
        <v/>
      </c>
      <c r="T21" s="122">
        <f>SUM(T17:T20)</f>
        <v/>
      </c>
      <c r="U21" s="122">
        <f>SUM(U17:U20)</f>
        <v/>
      </c>
      <c r="V21" s="122">
        <f>SUM(V17:V20)</f>
        <v/>
      </c>
      <c r="W21" s="122">
        <f>SUM(W17:W20)</f>
        <v/>
      </c>
      <c r="X21" s="122">
        <f>SUM(X17:X20)</f>
        <v/>
      </c>
      <c r="Y21" s="122">
        <f>SUM(Y17:Y20)</f>
        <v/>
      </c>
      <c r="Z21" s="122">
        <f>SUM(Z17:Z20)</f>
        <v/>
      </c>
    </row>
    <row r="22">
      <c r="A22" s="114" t="n"/>
      <c r="B22" s="328" t="n"/>
      <c r="C22" s="328" t="n"/>
      <c r="D22" s="328" t="n"/>
      <c r="E22" s="328" t="n"/>
      <c r="F22" s="328" t="n"/>
      <c r="G22" s="328" t="n"/>
      <c r="H22" s="328" t="n"/>
      <c r="I22" s="328" t="n"/>
      <c r="J22" s="328" t="n"/>
      <c r="K22" s="328" t="n"/>
      <c r="L22" s="328" t="n"/>
      <c r="M22" s="328" t="n"/>
      <c r="N22" s="328" t="n"/>
      <c r="O22" s="328" t="n"/>
      <c r="P22" s="328" t="n"/>
      <c r="Q22" s="328" t="n"/>
      <c r="R22" s="328" t="n"/>
      <c r="S22" s="328" t="n"/>
      <c r="T22" s="328" t="n"/>
      <c r="U22" s="328" t="n"/>
      <c r="V22" s="328" t="n"/>
      <c r="W22" s="328" t="n"/>
      <c r="X22" s="328" t="n"/>
      <c r="Y22" s="328" t="n"/>
      <c r="Z22" s="328" t="n"/>
    </row>
    <row r="23">
      <c r="A23" s="219" t="inlineStr">
        <is>
          <t>[흡입마취제] 상급종합병원 비율</t>
        </is>
      </c>
      <c r="B23" s="118">
        <f>B17/B$21</f>
        <v/>
      </c>
      <c r="C23" s="118">
        <f>C17/C$21</f>
        <v/>
      </c>
      <c r="D23" s="118">
        <f>D17/D$21</f>
        <v/>
      </c>
      <c r="E23" s="118">
        <f>E17/E$21</f>
        <v/>
      </c>
      <c r="F23" s="118">
        <f>F17/F$21</f>
        <v/>
      </c>
      <c r="G23" s="118">
        <f>G17/G$21</f>
        <v/>
      </c>
      <c r="H23" s="118">
        <f>H17/H$21</f>
        <v/>
      </c>
      <c r="I23" s="118">
        <f>I17/I$21</f>
        <v/>
      </c>
      <c r="J23" s="118">
        <f>J17/J$21</f>
        <v/>
      </c>
      <c r="K23" s="118">
        <f>K17/K$21</f>
        <v/>
      </c>
      <c r="L23" s="118">
        <f>L17/L$21</f>
        <v/>
      </c>
      <c r="M23" s="118">
        <f>M17/M$21</f>
        <v/>
      </c>
      <c r="N23" s="118">
        <f>N17/N$21</f>
        <v/>
      </c>
      <c r="O23" s="118">
        <f>O17/O$21</f>
        <v/>
      </c>
      <c r="P23" s="118">
        <f>P17/P$21</f>
        <v/>
      </c>
      <c r="Q23" s="118">
        <f>Q17/Q$21</f>
        <v/>
      </c>
      <c r="R23" s="118">
        <f>R17/R$21</f>
        <v/>
      </c>
      <c r="S23" s="118">
        <f>S17/S$21</f>
        <v/>
      </c>
      <c r="T23" s="118">
        <f>T17/T$21</f>
        <v/>
      </c>
      <c r="U23" s="118">
        <f>U17/U$21</f>
        <v/>
      </c>
      <c r="V23" s="118">
        <f>V17/V$21</f>
        <v/>
      </c>
      <c r="W23" s="118">
        <f>W17/W$21</f>
        <v/>
      </c>
      <c r="X23" s="118">
        <f>X17/X$21</f>
        <v/>
      </c>
      <c r="Y23" s="118">
        <f>Y17/Y$21</f>
        <v/>
      </c>
      <c r="Z23" s="118">
        <f>Z17/Z$21</f>
        <v/>
      </c>
      <c r="AA23" s="222">
        <f>Z23</f>
        <v/>
      </c>
    </row>
    <row r="24">
      <c r="A24" s="219" t="inlineStr">
        <is>
          <t>[흡입마취제] 종합병원 비율</t>
        </is>
      </c>
      <c r="B24" s="118">
        <f>B18/B$21</f>
        <v/>
      </c>
      <c r="C24" s="118">
        <f>C18/C$21</f>
        <v/>
      </c>
      <c r="D24" s="118">
        <f>D18/D$21</f>
        <v/>
      </c>
      <c r="E24" s="118">
        <f>E18/E$21</f>
        <v/>
      </c>
      <c r="F24" s="118">
        <f>F18/F$21</f>
        <v/>
      </c>
      <c r="G24" s="118">
        <f>G18/G$21</f>
        <v/>
      </c>
      <c r="H24" s="118">
        <f>H18/H$21</f>
        <v/>
      </c>
      <c r="I24" s="118">
        <f>I18/I$21</f>
        <v/>
      </c>
      <c r="J24" s="118">
        <f>J18/J$21</f>
        <v/>
      </c>
      <c r="K24" s="118">
        <f>K18/K$21</f>
        <v/>
      </c>
      <c r="L24" s="118">
        <f>L18/L$21</f>
        <v/>
      </c>
      <c r="M24" s="118">
        <f>M18/M$21</f>
        <v/>
      </c>
      <c r="N24" s="118">
        <f>N18/N$21</f>
        <v/>
      </c>
      <c r="O24" s="118">
        <f>O18/O$21</f>
        <v/>
      </c>
      <c r="P24" s="118">
        <f>P18/P$21</f>
        <v/>
      </c>
      <c r="Q24" s="118">
        <f>Q18/Q$21</f>
        <v/>
      </c>
      <c r="R24" s="118">
        <f>R18/R$21</f>
        <v/>
      </c>
      <c r="S24" s="118">
        <f>S18/S$21</f>
        <v/>
      </c>
      <c r="T24" s="118">
        <f>T18/T$21</f>
        <v/>
      </c>
      <c r="U24" s="118">
        <f>U18/U$21</f>
        <v/>
      </c>
      <c r="V24" s="118">
        <f>V18/V$21</f>
        <v/>
      </c>
      <c r="W24" s="118">
        <f>W18/W$21</f>
        <v/>
      </c>
      <c r="X24" s="118">
        <f>X18/X$21</f>
        <v/>
      </c>
      <c r="Y24" s="118">
        <f>Y18/Y$21</f>
        <v/>
      </c>
      <c r="Z24" s="118">
        <f>Z18/Z$21</f>
        <v/>
      </c>
      <c r="AA24" s="222">
        <f>Z24</f>
        <v/>
      </c>
    </row>
    <row r="25">
      <c r="A25" s="219" t="inlineStr">
        <is>
          <t>[흡입마취제] 병원 비율</t>
        </is>
      </c>
      <c r="B25" s="118">
        <f>B19/B$21</f>
        <v/>
      </c>
      <c r="C25" s="118">
        <f>C19/C$21</f>
        <v/>
      </c>
      <c r="D25" s="118">
        <f>D19/D$21</f>
        <v/>
      </c>
      <c r="E25" s="118">
        <f>E19/E$21</f>
        <v/>
      </c>
      <c r="F25" s="118">
        <f>F19/F$21</f>
        <v/>
      </c>
      <c r="G25" s="118">
        <f>G19/G$21</f>
        <v/>
      </c>
      <c r="H25" s="118">
        <f>H19/H$21</f>
        <v/>
      </c>
      <c r="I25" s="118">
        <f>I19/I$21</f>
        <v/>
      </c>
      <c r="J25" s="118">
        <f>J19/J$21</f>
        <v/>
      </c>
      <c r="K25" s="118">
        <f>K19/K$21</f>
        <v/>
      </c>
      <c r="L25" s="118">
        <f>L19/L$21</f>
        <v/>
      </c>
      <c r="M25" s="118">
        <f>M19/M$21</f>
        <v/>
      </c>
      <c r="N25" s="118">
        <f>N19/N$21</f>
        <v/>
      </c>
      <c r="O25" s="118">
        <f>O19/O$21</f>
        <v/>
      </c>
      <c r="P25" s="118">
        <f>P19/P$21</f>
        <v/>
      </c>
      <c r="Q25" s="118">
        <f>Q19/Q$21</f>
        <v/>
      </c>
      <c r="R25" s="118">
        <f>R19/R$21</f>
        <v/>
      </c>
      <c r="S25" s="118">
        <f>S19/S$21</f>
        <v/>
      </c>
      <c r="T25" s="118">
        <f>T19/T$21</f>
        <v/>
      </c>
      <c r="U25" s="118">
        <f>U19/U$21</f>
        <v/>
      </c>
      <c r="V25" s="118">
        <f>V19/V$21</f>
        <v/>
      </c>
      <c r="W25" s="118">
        <f>W19/W$21</f>
        <v/>
      </c>
      <c r="X25" s="118">
        <f>X19/X$21</f>
        <v/>
      </c>
      <c r="Y25" s="118">
        <f>Y19/Y$21</f>
        <v/>
      </c>
      <c r="Z25" s="118">
        <f>Z19/Z$21</f>
        <v/>
      </c>
      <c r="AA25" s="222">
        <f>Z25</f>
        <v/>
      </c>
    </row>
    <row r="26">
      <c r="A26" s="219" t="inlineStr">
        <is>
          <t>[흡입마취제] 의원 비율</t>
        </is>
      </c>
      <c r="B26" s="118">
        <f>B20/B$21</f>
        <v/>
      </c>
      <c r="C26" s="118">
        <f>C20/C$21</f>
        <v/>
      </c>
      <c r="D26" s="118">
        <f>D20/D$21</f>
        <v/>
      </c>
      <c r="E26" s="118">
        <f>E20/E$21</f>
        <v/>
      </c>
      <c r="F26" s="118">
        <f>F20/F$21</f>
        <v/>
      </c>
      <c r="G26" s="118">
        <f>G20/G$21</f>
        <v/>
      </c>
      <c r="H26" s="118">
        <f>H20/H$21</f>
        <v/>
      </c>
      <c r="I26" s="118">
        <f>I20/I$21</f>
        <v/>
      </c>
      <c r="J26" s="118">
        <f>J20/J$21</f>
        <v/>
      </c>
      <c r="K26" s="118">
        <f>K20/K$21</f>
        <v/>
      </c>
      <c r="L26" s="118">
        <f>L20/L$21</f>
        <v/>
      </c>
      <c r="M26" s="118">
        <f>M20/M$21</f>
        <v/>
      </c>
      <c r="N26" s="118">
        <f>N20/N$21</f>
        <v/>
      </c>
      <c r="O26" s="118">
        <f>O20/O$21</f>
        <v/>
      </c>
      <c r="P26" s="118">
        <f>P20/P$21</f>
        <v/>
      </c>
      <c r="Q26" s="118">
        <f>Q20/Q$21</f>
        <v/>
      </c>
      <c r="R26" s="118">
        <f>R20/R$21</f>
        <v/>
      </c>
      <c r="S26" s="118">
        <f>S20/S$21</f>
        <v/>
      </c>
      <c r="T26" s="118">
        <f>T20/T$21</f>
        <v/>
      </c>
      <c r="U26" s="118">
        <f>U20/U$21</f>
        <v/>
      </c>
      <c r="V26" s="118">
        <f>V20/V$21</f>
        <v/>
      </c>
      <c r="W26" s="118">
        <f>W20/W$21</f>
        <v/>
      </c>
      <c r="X26" s="118">
        <f>X20/X$21</f>
        <v/>
      </c>
      <c r="Y26" s="118">
        <f>Y20/Y$21</f>
        <v/>
      </c>
      <c r="Z26" s="118">
        <f>Z20/Z$21</f>
        <v/>
      </c>
      <c r="AA26" s="222">
        <f>Z26</f>
        <v/>
      </c>
    </row>
    <row r="27"/>
    <row r="28">
      <c r="A28" s="41" t="inlineStr">
        <is>
          <t>■ C. SS-Chart 기준 종별 NSA 매출수량 비율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</row>
    <row r="29">
      <c r="A29" s="119" t="inlineStr">
        <is>
          <t>[SS-Chart] 상급종합병원 (Unit: Box/5 Ampoules)</t>
        </is>
      </c>
      <c r="B29" s="114" t="n"/>
      <c r="C29" s="114" t="n"/>
      <c r="D29" s="114" t="n"/>
      <c r="E29" s="114" t="n"/>
      <c r="F29" s="208" t="n">
        <v>53761</v>
      </c>
      <c r="G29" s="208" t="n">
        <v>57551</v>
      </c>
      <c r="H29" s="208" t="n">
        <v>61584</v>
      </c>
      <c r="I29" s="208" t="n">
        <v>58494</v>
      </c>
      <c r="J29" s="208" t="n">
        <v>58146</v>
      </c>
      <c r="K29" s="208" t="n">
        <v>60066</v>
      </c>
      <c r="L29" s="208" t="n">
        <v>63237</v>
      </c>
      <c r="M29" s="208" t="n">
        <v>65485</v>
      </c>
      <c r="N29" s="208" t="n">
        <v>69169</v>
      </c>
      <c r="O29" s="208" t="n">
        <v>65704</v>
      </c>
      <c r="P29" s="208" t="n">
        <v>70292</v>
      </c>
      <c r="Q29" s="208" t="n">
        <v>63949</v>
      </c>
      <c r="R29" s="208" t="n">
        <v>53672</v>
      </c>
      <c r="S29" s="208" t="n">
        <v>38738</v>
      </c>
      <c r="T29" s="208" t="n">
        <v>46701</v>
      </c>
      <c r="U29" s="208" t="n">
        <v>47375</v>
      </c>
      <c r="V29" s="208" t="n">
        <v>45921</v>
      </c>
      <c r="W29" s="208" t="n">
        <v>48009</v>
      </c>
      <c r="X29" s="208" t="n">
        <v>54719</v>
      </c>
      <c r="Y29" s="208" t="n">
        <v>52733</v>
      </c>
      <c r="Z29" s="208" t="n">
        <v>59615</v>
      </c>
      <c r="AA29" s="208" t="n">
        <v>57727</v>
      </c>
    </row>
    <row r="30">
      <c r="A30" s="219" t="inlineStr">
        <is>
          <t>[SS-Chart] 종합병원 (Unit: Box/5 Ampoules)</t>
        </is>
      </c>
      <c r="B30" s="329" t="n"/>
      <c r="C30" s="329" t="n"/>
      <c r="D30" s="329" t="n"/>
      <c r="E30" s="329" t="n"/>
      <c r="F30" s="208" t="n">
        <v>24013</v>
      </c>
      <c r="G30" s="208" t="n">
        <v>25172</v>
      </c>
      <c r="H30" s="208" t="n">
        <v>29258</v>
      </c>
      <c r="I30" s="208" t="n">
        <v>28465</v>
      </c>
      <c r="J30" s="208" t="n">
        <v>27274</v>
      </c>
      <c r="K30" s="208" t="n">
        <v>29406</v>
      </c>
      <c r="L30" s="208" t="n">
        <v>30392</v>
      </c>
      <c r="M30" s="208" t="n">
        <v>33254</v>
      </c>
      <c r="N30" s="208" t="n">
        <v>32064</v>
      </c>
      <c r="O30" s="208" t="n">
        <v>31838</v>
      </c>
      <c r="P30" s="208" t="n">
        <v>34001</v>
      </c>
      <c r="Q30" s="208" t="n">
        <v>33028</v>
      </c>
      <c r="R30" s="208" t="n">
        <v>33581</v>
      </c>
      <c r="S30" s="208" t="n">
        <v>31638</v>
      </c>
      <c r="T30" s="208" t="n">
        <v>32809</v>
      </c>
      <c r="U30" s="208" t="n">
        <v>33178</v>
      </c>
      <c r="V30" s="208" t="n">
        <v>32281</v>
      </c>
      <c r="W30" s="208" t="n">
        <v>32481</v>
      </c>
      <c r="X30" s="208" t="n">
        <v>36415</v>
      </c>
      <c r="Y30" s="208" t="n">
        <v>35056</v>
      </c>
      <c r="Z30" s="208" t="n">
        <v>38294</v>
      </c>
      <c r="AA30" s="208" t="n">
        <v>37770</v>
      </c>
    </row>
    <row r="31">
      <c r="A31" s="219" t="inlineStr">
        <is>
          <t>[SS-Chart] 병원 (Unit: Box/5 Ampoules)</t>
        </is>
      </c>
      <c r="B31" s="329" t="n"/>
      <c r="C31" s="329" t="n"/>
      <c r="D31" s="329" t="n"/>
      <c r="E31" s="329" t="n"/>
      <c r="F31" s="208" t="n">
        <v>4775</v>
      </c>
      <c r="G31" s="208" t="n">
        <v>4645</v>
      </c>
      <c r="H31" s="208" t="n">
        <v>4810</v>
      </c>
      <c r="I31" s="208" t="n">
        <v>4857</v>
      </c>
      <c r="J31" s="208" t="n">
        <v>5006</v>
      </c>
      <c r="K31" s="208" t="n">
        <v>4156</v>
      </c>
      <c r="L31" s="208" t="n">
        <v>4030</v>
      </c>
      <c r="M31" s="208" t="n">
        <v>4200</v>
      </c>
      <c r="N31" s="208" t="n">
        <v>4629</v>
      </c>
      <c r="O31" s="208" t="n">
        <v>4611</v>
      </c>
      <c r="P31" s="208" t="n">
        <v>4568</v>
      </c>
      <c r="Q31" s="208" t="n">
        <v>4921</v>
      </c>
      <c r="R31" s="208" t="n">
        <v>4928</v>
      </c>
      <c r="S31" s="208" t="n">
        <v>4763</v>
      </c>
      <c r="T31" s="208" t="n">
        <v>4984</v>
      </c>
      <c r="U31" s="208" t="n">
        <v>4851</v>
      </c>
      <c r="V31" s="208" t="n">
        <v>5833</v>
      </c>
      <c r="W31" s="208" t="n">
        <v>5742</v>
      </c>
      <c r="X31" s="208" t="n">
        <v>5738</v>
      </c>
      <c r="Y31" s="208" t="n">
        <v>5191</v>
      </c>
      <c r="Z31" s="208" t="n">
        <v>5497</v>
      </c>
      <c r="AA31" s="208" t="n">
        <v>5514</v>
      </c>
    </row>
    <row r="32">
      <c r="A32" s="219" t="inlineStr">
        <is>
          <t>[SS-Chart] 의원 (Unit: Box/5 Ampoules)</t>
        </is>
      </c>
      <c r="B32" s="329" t="n"/>
      <c r="C32" s="329" t="n"/>
      <c r="D32" s="329" t="n"/>
      <c r="E32" s="329" t="n"/>
      <c r="F32" s="208" t="n">
        <v>330</v>
      </c>
      <c r="G32" s="208" t="n">
        <v>356</v>
      </c>
      <c r="H32" s="208" t="n">
        <v>232</v>
      </c>
      <c r="I32" s="208" t="n">
        <v>216</v>
      </c>
      <c r="J32" s="208" t="n">
        <v>285</v>
      </c>
      <c r="K32" s="208" t="n">
        <v>208</v>
      </c>
      <c r="L32" s="208" t="n">
        <v>241</v>
      </c>
      <c r="M32" s="208" t="n">
        <v>191</v>
      </c>
      <c r="N32" s="208" t="n">
        <v>288</v>
      </c>
      <c r="O32" s="208" t="n">
        <v>242</v>
      </c>
      <c r="P32" s="208" t="n">
        <v>284</v>
      </c>
      <c r="Q32" s="208" t="n">
        <v>307</v>
      </c>
      <c r="R32" s="208" t="n">
        <v>321</v>
      </c>
      <c r="S32" s="208" t="n">
        <v>368</v>
      </c>
      <c r="T32" s="208" t="n">
        <v>343</v>
      </c>
      <c r="U32" s="208" t="n">
        <v>452</v>
      </c>
      <c r="V32" s="208" t="n">
        <v>412</v>
      </c>
      <c r="W32" s="208" t="n">
        <v>395</v>
      </c>
      <c r="X32" s="208" t="n">
        <v>398</v>
      </c>
      <c r="Y32" s="208" t="n">
        <v>406</v>
      </c>
      <c r="Z32" s="208" t="n">
        <v>380</v>
      </c>
      <c r="AA32" s="208" t="n">
        <v>345</v>
      </c>
    </row>
    <row r="33">
      <c r="A33" s="120" t="inlineStr">
        <is>
          <t>[SS-Chart] 합계</t>
        </is>
      </c>
      <c r="B33" s="330" t="n"/>
      <c r="C33" s="330" t="n"/>
      <c r="D33" s="330" t="n"/>
      <c r="E33" s="330" t="n"/>
      <c r="F33" s="122">
        <f>SUM(F29:F32)</f>
        <v/>
      </c>
      <c r="G33" s="122">
        <f>SUM(G29:G32)</f>
        <v/>
      </c>
      <c r="H33" s="122">
        <f>SUM(H29:H32)</f>
        <v/>
      </c>
      <c r="I33" s="122">
        <f>SUM(I29:I32)</f>
        <v/>
      </c>
      <c r="J33" s="122">
        <f>SUM(J29:J32)</f>
        <v/>
      </c>
      <c r="K33" s="122">
        <f>SUM(K29:K32)</f>
        <v/>
      </c>
      <c r="L33" s="122">
        <f>SUM(L29:L32)</f>
        <v/>
      </c>
      <c r="M33" s="122">
        <f>SUM(M29:M32)</f>
        <v/>
      </c>
      <c r="N33" s="122">
        <f>SUM(N29:N32)</f>
        <v/>
      </c>
      <c r="O33" s="122">
        <f>SUM(O29:O32)</f>
        <v/>
      </c>
      <c r="P33" s="122">
        <f>SUM(P29:P32)</f>
        <v/>
      </c>
      <c r="Q33" s="122">
        <f>SUM(Q29:Q32)</f>
        <v/>
      </c>
      <c r="R33" s="122">
        <f>SUM(R29:R32)</f>
        <v/>
      </c>
      <c r="S33" s="122">
        <f>SUM(S29:S32)</f>
        <v/>
      </c>
      <c r="T33" s="122">
        <f>SUM(T29:T32)</f>
        <v/>
      </c>
      <c r="U33" s="122">
        <f>SUM(U29:U32)</f>
        <v/>
      </c>
      <c r="V33" s="122">
        <f>SUM(V29:V32)</f>
        <v/>
      </c>
      <c r="W33" s="122">
        <f>SUM(W29:W32)</f>
        <v/>
      </c>
      <c r="X33" s="122">
        <f>SUM(X29:X32)</f>
        <v/>
      </c>
      <c r="Y33" s="122">
        <f>SUM(Y29:Y32)</f>
        <v/>
      </c>
      <c r="Z33" s="122">
        <f>SUM(Z29:Z32)</f>
        <v/>
      </c>
      <c r="AA33" s="122">
        <f>SUM(AA29:AA32)</f>
        <v/>
      </c>
    </row>
    <row r="34">
      <c r="A34" s="114" t="n"/>
      <c r="B34" s="328" t="n"/>
      <c r="C34" s="328" t="n"/>
      <c r="D34" s="328" t="n"/>
      <c r="E34" s="328" t="n"/>
      <c r="F34" s="328" t="n"/>
      <c r="G34" s="328" t="n"/>
      <c r="H34" s="328" t="n"/>
      <c r="I34" s="328" t="n"/>
      <c r="J34" s="328" t="n"/>
      <c r="K34" s="328" t="n"/>
      <c r="L34" s="328" t="n"/>
      <c r="M34" s="328" t="n"/>
      <c r="N34" s="328" t="n"/>
      <c r="O34" s="328" t="n"/>
      <c r="P34" s="328" t="n"/>
      <c r="Q34" s="328" t="n"/>
      <c r="R34" s="328" t="n"/>
      <c r="S34" s="328" t="n"/>
      <c r="T34" s="328" t="n"/>
      <c r="U34" s="328" t="n"/>
      <c r="V34" s="328" t="n"/>
      <c r="W34" s="328" t="n"/>
      <c r="X34" s="328" t="n"/>
      <c r="Y34" s="328" t="n"/>
      <c r="Z34" s="328" t="n"/>
    </row>
    <row r="35">
      <c r="A35" s="119" t="inlineStr">
        <is>
          <t>[SS-Chart] 상급종합병원 비율</t>
        </is>
      </c>
      <c r="B35" s="114" t="n"/>
      <c r="C35" s="114" t="n"/>
      <c r="D35" s="114" t="n"/>
      <c r="E35" s="114" t="n"/>
      <c r="F35" s="118">
        <f>F29/F$33</f>
        <v/>
      </c>
      <c r="G35" s="118">
        <f>G29/G$33</f>
        <v/>
      </c>
      <c r="H35" s="118">
        <f>H29/H$33</f>
        <v/>
      </c>
      <c r="I35" s="118">
        <f>I29/I$33</f>
        <v/>
      </c>
      <c r="J35" s="118">
        <f>J29/J$33</f>
        <v/>
      </c>
      <c r="K35" s="118">
        <f>K29/K$33</f>
        <v/>
      </c>
      <c r="L35" s="118">
        <f>L29/L$33</f>
        <v/>
      </c>
      <c r="M35" s="118">
        <f>M29/M$33</f>
        <v/>
      </c>
      <c r="N35" s="118">
        <f>N29/N$33</f>
        <v/>
      </c>
      <c r="O35" s="118">
        <f>O29/O$33</f>
        <v/>
      </c>
      <c r="P35" s="118">
        <f>P29/P$33</f>
        <v/>
      </c>
      <c r="Q35" s="118">
        <f>Q29/Q$33</f>
        <v/>
      </c>
      <c r="R35" s="118">
        <f>R29/R$33</f>
        <v/>
      </c>
      <c r="S35" s="118">
        <f>S29/S$33</f>
        <v/>
      </c>
      <c r="T35" s="118">
        <f>T29/T$33</f>
        <v/>
      </c>
      <c r="U35" s="118">
        <f>U29/U$33</f>
        <v/>
      </c>
      <c r="V35" s="118">
        <f>V29/V$33</f>
        <v/>
      </c>
      <c r="W35" s="118">
        <f>W29/W$33</f>
        <v/>
      </c>
      <c r="X35" s="118">
        <f>X29/X$33</f>
        <v/>
      </c>
      <c r="Y35" s="118">
        <f>Y29/Y$33</f>
        <v/>
      </c>
      <c r="Z35" s="118">
        <f>Z29/Z$33</f>
        <v/>
      </c>
      <c r="AA35" s="118">
        <f>AA29/AA$33</f>
        <v/>
      </c>
    </row>
    <row r="36">
      <c r="A36" s="219" t="inlineStr">
        <is>
          <t>[SS-Chart] 종합병원 비율</t>
        </is>
      </c>
      <c r="B36" s="329" t="n"/>
      <c r="C36" s="329" t="n"/>
      <c r="D36" s="329" t="n"/>
      <c r="E36" s="329" t="n"/>
      <c r="F36" s="118">
        <f>F30/F$33</f>
        <v/>
      </c>
      <c r="G36" s="118">
        <f>G30/G$33</f>
        <v/>
      </c>
      <c r="H36" s="118">
        <f>H30/H$33</f>
        <v/>
      </c>
      <c r="I36" s="118">
        <f>I30/I$33</f>
        <v/>
      </c>
      <c r="J36" s="118">
        <f>J30/J$33</f>
        <v/>
      </c>
      <c r="K36" s="118">
        <f>K30/K$33</f>
        <v/>
      </c>
      <c r="L36" s="118">
        <f>L30/L$33</f>
        <v/>
      </c>
      <c r="M36" s="118">
        <f>M30/M$33</f>
        <v/>
      </c>
      <c r="N36" s="118">
        <f>N30/N$33</f>
        <v/>
      </c>
      <c r="O36" s="118">
        <f>O30/O$33</f>
        <v/>
      </c>
      <c r="P36" s="118">
        <f>P30/P$33</f>
        <v/>
      </c>
      <c r="Q36" s="118">
        <f>Q30/Q$33</f>
        <v/>
      </c>
      <c r="R36" s="118">
        <f>R30/R$33</f>
        <v/>
      </c>
      <c r="S36" s="118">
        <f>S30/S$33</f>
        <v/>
      </c>
      <c r="T36" s="118">
        <f>T30/T$33</f>
        <v/>
      </c>
      <c r="U36" s="118">
        <f>U30/U$33</f>
        <v/>
      </c>
      <c r="V36" s="118">
        <f>V30/V$33</f>
        <v/>
      </c>
      <c r="W36" s="118">
        <f>W30/W$33</f>
        <v/>
      </c>
      <c r="X36" s="118">
        <f>X30/X$33</f>
        <v/>
      </c>
      <c r="Y36" s="118">
        <f>Y30/Y$33</f>
        <v/>
      </c>
      <c r="Z36" s="118">
        <f>Z30/Z$33</f>
        <v/>
      </c>
      <c r="AA36" s="118">
        <f>AA30/AA$33</f>
        <v/>
      </c>
    </row>
    <row r="37">
      <c r="A37" s="219" t="inlineStr">
        <is>
          <t>[SS-Chart] 병원 비율</t>
        </is>
      </c>
      <c r="B37" s="329" t="n"/>
      <c r="C37" s="329" t="n"/>
      <c r="D37" s="329" t="n"/>
      <c r="E37" s="329" t="n"/>
      <c r="F37" s="118">
        <f>F31/F$33</f>
        <v/>
      </c>
      <c r="G37" s="118">
        <f>G31/G$33</f>
        <v/>
      </c>
      <c r="H37" s="118">
        <f>H31/H$33</f>
        <v/>
      </c>
      <c r="I37" s="118">
        <f>I31/I$33</f>
        <v/>
      </c>
      <c r="J37" s="118">
        <f>J31/J$33</f>
        <v/>
      </c>
      <c r="K37" s="118">
        <f>K31/K$33</f>
        <v/>
      </c>
      <c r="L37" s="118">
        <f>L31/L$33</f>
        <v/>
      </c>
      <c r="M37" s="118">
        <f>M31/M$33</f>
        <v/>
      </c>
      <c r="N37" s="118">
        <f>N31/N$33</f>
        <v/>
      </c>
      <c r="O37" s="118">
        <f>O31/O$33</f>
        <v/>
      </c>
      <c r="P37" s="118">
        <f>P31/P$33</f>
        <v/>
      </c>
      <c r="Q37" s="118">
        <f>Q31/Q$33</f>
        <v/>
      </c>
      <c r="R37" s="118">
        <f>R31/R$33</f>
        <v/>
      </c>
      <c r="S37" s="118">
        <f>S31/S$33</f>
        <v/>
      </c>
      <c r="T37" s="118">
        <f>T31/T$33</f>
        <v/>
      </c>
      <c r="U37" s="118">
        <f>U31/U$33</f>
        <v/>
      </c>
      <c r="V37" s="118">
        <f>V31/V$33</f>
        <v/>
      </c>
      <c r="W37" s="118">
        <f>W31/W$33</f>
        <v/>
      </c>
      <c r="X37" s="118">
        <f>X31/X$33</f>
        <v/>
      </c>
      <c r="Y37" s="118">
        <f>Y31/Y$33</f>
        <v/>
      </c>
      <c r="Z37" s="118">
        <f>Z31/Z$33</f>
        <v/>
      </c>
      <c r="AA37" s="118">
        <f>AA31/AA$33</f>
        <v/>
      </c>
    </row>
    <row r="38">
      <c r="A38" s="219" t="inlineStr">
        <is>
          <t>[SS-Chart] 의원 비율</t>
        </is>
      </c>
      <c r="B38" s="329" t="n"/>
      <c r="C38" s="329" t="n"/>
      <c r="D38" s="329" t="n"/>
      <c r="E38" s="329" t="n"/>
      <c r="F38" s="118">
        <f>F32/F$33</f>
        <v/>
      </c>
      <c r="G38" s="118">
        <f>G32/G$33</f>
        <v/>
      </c>
      <c r="H38" s="118">
        <f>H32/H$33</f>
        <v/>
      </c>
      <c r="I38" s="118">
        <f>I32/I$33</f>
        <v/>
      </c>
      <c r="J38" s="118">
        <f>J32/J$33</f>
        <v/>
      </c>
      <c r="K38" s="118">
        <f>K32/K$33</f>
        <v/>
      </c>
      <c r="L38" s="118">
        <f>L32/L$33</f>
        <v/>
      </c>
      <c r="M38" s="118">
        <f>M32/M$33</f>
        <v/>
      </c>
      <c r="N38" s="118">
        <f>N32/N$33</f>
        <v/>
      </c>
      <c r="O38" s="118">
        <f>O32/O$33</f>
        <v/>
      </c>
      <c r="P38" s="118">
        <f>P32/P$33</f>
        <v/>
      </c>
      <c r="Q38" s="118">
        <f>Q32/Q$33</f>
        <v/>
      </c>
      <c r="R38" s="118">
        <f>R32/R$33</f>
        <v/>
      </c>
      <c r="S38" s="118">
        <f>S32/S$33</f>
        <v/>
      </c>
      <c r="T38" s="118">
        <f>T32/T$33</f>
        <v/>
      </c>
      <c r="U38" s="118">
        <f>U32/U$33</f>
        <v/>
      </c>
      <c r="V38" s="118">
        <f>V32/V$33</f>
        <v/>
      </c>
      <c r="W38" s="118">
        <f>W32/W$33</f>
        <v/>
      </c>
      <c r="X38" s="118">
        <f>X32/X$33</f>
        <v/>
      </c>
      <c r="Y38" s="118">
        <f>Y32/Y$33</f>
        <v/>
      </c>
      <c r="Z38" s="118">
        <f>Z32/Z$33</f>
        <v/>
      </c>
      <c r="AA38" s="118">
        <f>AA32/AA$33</f>
        <v/>
      </c>
    </row>
    <row r="39">
      <c r="A39" s="114" t="n"/>
      <c r="B39" s="328" t="n"/>
      <c r="C39" s="328" t="n"/>
      <c r="D39" s="328" t="n"/>
      <c r="E39" s="328" t="n"/>
      <c r="F39" s="328" t="n"/>
      <c r="G39" s="328" t="n"/>
      <c r="H39" s="328" t="n"/>
      <c r="I39" s="328" t="n"/>
      <c r="J39" s="328" t="n"/>
      <c r="K39" s="328" t="n"/>
      <c r="L39" s="328" t="n"/>
      <c r="M39" s="328" t="n"/>
      <c r="N39" s="328" t="n"/>
      <c r="O39" s="328" t="n"/>
      <c r="P39" s="328" t="n"/>
      <c r="Q39" s="328" t="n"/>
      <c r="R39" s="328" t="n"/>
      <c r="S39" s="328" t="n"/>
      <c r="T39" s="328" t="n"/>
      <c r="U39" s="328" t="n"/>
      <c r="V39" s="328" t="n"/>
      <c r="W39" s="328" t="n"/>
      <c r="X39" s="328" t="n"/>
      <c r="Y39" s="328" t="n"/>
      <c r="Z39" s="328" t="n"/>
    </row>
    <row r="40">
      <c r="A40" s="41" t="inlineStr">
        <is>
          <t>■ D. IQVIA 기준 시장 수량 및 NSA MS (Unit: Standard Unit (Ampoule))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>
      <c r="A41" s="219" t="inlineStr">
        <is>
          <t>[IQVIA] Ramosetron 전체시장 수량 (총합계)</t>
        </is>
      </c>
      <c r="B41" s="208" t="n">
        <v>733500</v>
      </c>
      <c r="C41" s="208" t="n">
        <v>746566</v>
      </c>
      <c r="D41" s="208" t="n">
        <v>779837</v>
      </c>
      <c r="E41" s="208" t="n">
        <v>826421</v>
      </c>
      <c r="F41" s="208" t="n">
        <v>878111</v>
      </c>
      <c r="G41" s="208" t="n">
        <v>870933</v>
      </c>
      <c r="H41" s="208" t="n">
        <v>894287</v>
      </c>
      <c r="I41" s="208" t="n">
        <v>885936</v>
      </c>
      <c r="J41" s="208" t="n">
        <v>844791</v>
      </c>
      <c r="K41" s="208" t="n">
        <v>889333</v>
      </c>
      <c r="L41" s="208" t="n">
        <v>905458</v>
      </c>
      <c r="M41" s="208" t="n">
        <v>984361</v>
      </c>
      <c r="N41" s="208" t="n">
        <v>1100469</v>
      </c>
      <c r="O41" s="208" t="n">
        <v>996374</v>
      </c>
      <c r="P41" s="208" t="n">
        <v>1033475</v>
      </c>
      <c r="Q41" s="208" t="n">
        <v>1036222</v>
      </c>
      <c r="R41" s="208" t="n">
        <v>932897</v>
      </c>
      <c r="S41" s="208" t="n">
        <v>833833</v>
      </c>
      <c r="T41" s="208" t="n">
        <v>859399</v>
      </c>
      <c r="U41" s="208" t="n">
        <v>928178</v>
      </c>
      <c r="V41" s="208" t="n">
        <v>905292</v>
      </c>
      <c r="W41" s="208" t="n">
        <v>924499</v>
      </c>
      <c r="X41" s="208" t="n">
        <v>1014865</v>
      </c>
      <c r="Y41" s="208" t="n">
        <v>1029991</v>
      </c>
      <c r="Z41" s="208" t="n">
        <v>1089731</v>
      </c>
      <c r="AA41" s="112" t="n">
        <v>1086729</v>
      </c>
      <c r="AC41" s="45">
        <f>SUM(W41:Z41)</f>
        <v/>
      </c>
    </row>
    <row r="42">
      <c r="A42" s="219" t="inlineStr">
        <is>
          <t>[IQVIA] NASEA(자사) 수량</t>
        </is>
      </c>
      <c r="B42" s="208" t="n">
        <v>350140</v>
      </c>
      <c r="C42" s="208" t="n">
        <v>351330</v>
      </c>
      <c r="D42" s="208" t="n">
        <v>385845</v>
      </c>
      <c r="E42" s="208" t="n">
        <v>421305</v>
      </c>
      <c r="F42" s="208" t="n">
        <v>443180</v>
      </c>
      <c r="G42" s="208" t="n">
        <v>464535</v>
      </c>
      <c r="H42" s="208" t="n">
        <v>481785</v>
      </c>
      <c r="I42" s="208" t="n">
        <v>490275</v>
      </c>
      <c r="J42" s="208" t="n">
        <v>470425</v>
      </c>
      <c r="K42" s="208" t="n">
        <v>483535</v>
      </c>
      <c r="L42" s="208" t="n">
        <v>511290</v>
      </c>
      <c r="M42" s="208" t="n">
        <v>522680</v>
      </c>
      <c r="N42" s="208" t="n">
        <v>583485</v>
      </c>
      <c r="O42" s="208" t="n">
        <v>531780</v>
      </c>
      <c r="P42" s="208" t="n">
        <v>547375</v>
      </c>
      <c r="Q42" s="208" t="n">
        <v>527610</v>
      </c>
      <c r="R42" s="208" t="n">
        <v>448785</v>
      </c>
      <c r="S42" s="208" t="n">
        <v>396330</v>
      </c>
      <c r="T42" s="208" t="n">
        <v>412335</v>
      </c>
      <c r="U42" s="208" t="n">
        <v>434000</v>
      </c>
      <c r="V42" s="208" t="n">
        <v>428205</v>
      </c>
      <c r="W42" s="208" t="n">
        <v>441845</v>
      </c>
      <c r="X42" s="208" t="n">
        <v>481510</v>
      </c>
      <c r="Y42" s="208" t="n">
        <v>506900</v>
      </c>
      <c r="Z42" s="208" t="n">
        <v>552970</v>
      </c>
      <c r="AA42" s="112" t="n">
        <v>547940</v>
      </c>
      <c r="AC42" s="45">
        <f>SUM(W42:Z42)</f>
        <v/>
      </c>
    </row>
    <row r="43">
      <c r="A43" s="114" t="inlineStr">
        <is>
          <t>[IQVIA] NASEA 전체시장 MS (%)</t>
        </is>
      </c>
      <c r="B43" s="331">
        <f>B42/B41</f>
        <v/>
      </c>
      <c r="C43" s="331">
        <f>C42/C41</f>
        <v/>
      </c>
      <c r="D43" s="331">
        <f>D42/D41</f>
        <v/>
      </c>
      <c r="E43" s="331">
        <f>E42/E41</f>
        <v/>
      </c>
      <c r="F43" s="331">
        <f>F42/F41</f>
        <v/>
      </c>
      <c r="G43" s="331">
        <f>G42/G41</f>
        <v/>
      </c>
      <c r="H43" s="331">
        <f>H42/H41</f>
        <v/>
      </c>
      <c r="I43" s="331">
        <f>I42/I41</f>
        <v/>
      </c>
      <c r="J43" s="331">
        <f>J42/J41</f>
        <v/>
      </c>
      <c r="K43" s="331">
        <f>K42/K41</f>
        <v/>
      </c>
      <c r="L43" s="331">
        <f>L42/L41</f>
        <v/>
      </c>
      <c r="M43" s="331">
        <f>M42/M41</f>
        <v/>
      </c>
      <c r="N43" s="331">
        <f>N42/N41</f>
        <v/>
      </c>
      <c r="O43" s="331">
        <f>O42/O41</f>
        <v/>
      </c>
      <c r="P43" s="331">
        <f>P42/P41</f>
        <v/>
      </c>
      <c r="Q43" s="331">
        <f>Q42/Q41</f>
        <v/>
      </c>
      <c r="R43" s="331">
        <f>R42/R41</f>
        <v/>
      </c>
      <c r="S43" s="331">
        <f>S42/S41</f>
        <v/>
      </c>
      <c r="T43" s="331">
        <f>T42/T41</f>
        <v/>
      </c>
      <c r="U43" s="331">
        <f>U42/U41</f>
        <v/>
      </c>
      <c r="V43" s="331">
        <f>V42/V41</f>
        <v/>
      </c>
      <c r="W43" s="331">
        <f>W42/W41</f>
        <v/>
      </c>
      <c r="X43" s="331">
        <f>X42/X41</f>
        <v/>
      </c>
      <c r="Y43" s="331">
        <f>Y42/Y41</f>
        <v/>
      </c>
      <c r="Z43" s="331">
        <f>Z42/Z41</f>
        <v/>
      </c>
      <c r="AA43" s="331">
        <f>AA42/AA41</f>
        <v/>
      </c>
      <c r="AC43" s="331">
        <f>AC42/AC41</f>
        <v/>
      </c>
    </row>
    <row r="44"/>
    <row r="45">
      <c r="A45" s="41" t="inlineStr">
        <is>
          <t>■ E. 종별 NSA MS (추정)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</row>
    <row r="46">
      <c r="A46" s="219" t="inlineStr">
        <is>
          <t>상급종합병원 나제아 MS</t>
        </is>
      </c>
      <c r="B46" s="263">
        <f>(B$42*B35)/(B$41*B23)</f>
        <v/>
      </c>
      <c r="C46" s="263">
        <f>(C$42*C35)/(C$41*C23)</f>
        <v/>
      </c>
      <c r="D46" s="263">
        <f>(D$42*D35)/(D$41*D23)</f>
        <v/>
      </c>
      <c r="E46" s="263">
        <f>(E$42*E35)/(E$41*E23)</f>
        <v/>
      </c>
      <c r="F46" s="263">
        <f>(F$42*F35)/(F$41*F23)</f>
        <v/>
      </c>
      <c r="G46" s="263">
        <f>(G$42*G35)/(G$41*G23)</f>
        <v/>
      </c>
      <c r="H46" s="263">
        <f>(H$42*H35)/(H$41*H23)</f>
        <v/>
      </c>
      <c r="I46" s="263">
        <f>(I$42*I35)/(I$41*I23)</f>
        <v/>
      </c>
      <c r="J46" s="263">
        <f>(J$42*J35)/(J$41*J23)</f>
        <v/>
      </c>
      <c r="K46" s="263">
        <f>(K$42*K35)/(K$41*K23)</f>
        <v/>
      </c>
      <c r="L46" s="263">
        <f>(L$42*L35)/(L$41*L23)</f>
        <v/>
      </c>
      <c r="M46" s="263">
        <f>(M$42*M35)/(M$41*M23)</f>
        <v/>
      </c>
      <c r="N46" s="263">
        <f>(N$42*N35)/(N$41*N23)</f>
        <v/>
      </c>
      <c r="O46" s="263">
        <f>(O$42*O35)/(O$41*O23)</f>
        <v/>
      </c>
      <c r="P46" s="263">
        <f>(P$42*P35)/(P$41*P23)</f>
        <v/>
      </c>
      <c r="Q46" s="263">
        <f>(Q$42*Q35)/(Q$41*Q23)</f>
        <v/>
      </c>
      <c r="R46" s="263">
        <f>(R$42*R35)/(R$41*R23)</f>
        <v/>
      </c>
      <c r="S46" s="263">
        <f>(S$42*S35)/(S$41*S23)</f>
        <v/>
      </c>
      <c r="T46" s="263">
        <f>(T$42*T35)/(T$41*T23)</f>
        <v/>
      </c>
      <c r="U46" s="263">
        <f>(U$42*U35)/(U$41*U23)</f>
        <v/>
      </c>
      <c r="V46" s="263">
        <f>(V$42*V35)/(V$41*V23)</f>
        <v/>
      </c>
      <c r="W46" s="263">
        <f>(W$42*W35)/(W$41*W23)</f>
        <v/>
      </c>
      <c r="X46" s="263">
        <f>(X$42*X35)/(X$41*X23)</f>
        <v/>
      </c>
      <c r="Y46" s="263">
        <f>(Y$42*Y35)/(Y$41*Y23)</f>
        <v/>
      </c>
      <c r="Z46" s="263">
        <f>(Z$42*Z35)/(Z$41*Z23)</f>
        <v/>
      </c>
      <c r="AA46" s="263">
        <f>(AA$42*AA35)/(AA$41*AA23)</f>
        <v/>
      </c>
    </row>
    <row r="47">
      <c r="A47" s="219" t="inlineStr">
        <is>
          <t>종합병원 나제아 MS</t>
        </is>
      </c>
      <c r="B47" s="263">
        <f>(B$42*B36)/(B$41*B24)</f>
        <v/>
      </c>
      <c r="C47" s="263">
        <f>(C$42*C36)/(C$41*C24)</f>
        <v/>
      </c>
      <c r="D47" s="263">
        <f>(D$42*D36)/(D$41*D24)</f>
        <v/>
      </c>
      <c r="E47" s="263">
        <f>(E$42*E36)/(E$41*E24)</f>
        <v/>
      </c>
      <c r="F47" s="263">
        <f>(F$42*F36)/(F$41*F24)</f>
        <v/>
      </c>
      <c r="G47" s="263">
        <f>(G$42*G36)/(G$41*G24)</f>
        <v/>
      </c>
      <c r="H47" s="263">
        <f>(H$42*H36)/(H$41*H24)</f>
        <v/>
      </c>
      <c r="I47" s="263">
        <f>(I$42*I36)/(I$41*I24)</f>
        <v/>
      </c>
      <c r="J47" s="263">
        <f>(J$42*J36)/(J$41*J24)</f>
        <v/>
      </c>
      <c r="K47" s="263">
        <f>(K$42*K36)/(K$41*K24)</f>
        <v/>
      </c>
      <c r="L47" s="263">
        <f>(L$42*L36)/(L$41*L24)</f>
        <v/>
      </c>
      <c r="M47" s="263">
        <f>(M$42*M36)/(M$41*M24)</f>
        <v/>
      </c>
      <c r="N47" s="263">
        <f>(N$42*N36)/(N$41*N24)</f>
        <v/>
      </c>
      <c r="O47" s="263">
        <f>(O$42*O36)/(O$41*O24)</f>
        <v/>
      </c>
      <c r="P47" s="263">
        <f>(P$42*P36)/(P$41*P24)</f>
        <v/>
      </c>
      <c r="Q47" s="263">
        <f>(Q$42*Q36)/(Q$41*Q24)</f>
        <v/>
      </c>
      <c r="R47" s="263">
        <f>(R$42*R36)/(R$41*R24)</f>
        <v/>
      </c>
      <c r="S47" s="263">
        <f>(S$42*S36)/(S$41*S24)</f>
        <v/>
      </c>
      <c r="T47" s="263">
        <f>(T$42*T36)/(T$41*T24)</f>
        <v/>
      </c>
      <c r="U47" s="263">
        <f>(U$42*U36)/(U$41*U24)</f>
        <v/>
      </c>
      <c r="V47" s="263">
        <f>(V$42*V36)/(V$41*V24)</f>
        <v/>
      </c>
      <c r="W47" s="263">
        <f>(W$42*W36)/(W$41*W24)</f>
        <v/>
      </c>
      <c r="X47" s="263">
        <f>(X$42*X36)/(X$41*X24)</f>
        <v/>
      </c>
      <c r="Y47" s="263">
        <f>(Y$42*Y36)/(Y$41*Y24)</f>
        <v/>
      </c>
      <c r="Z47" s="263">
        <f>(Z$42*Z36)/(Z$41*Z24)</f>
        <v/>
      </c>
      <c r="AA47" s="263">
        <f>(AA$42*AA36)/(AA$41*AA24)</f>
        <v/>
      </c>
    </row>
    <row r="48">
      <c r="A48" s="219" t="inlineStr">
        <is>
          <t>병원 나제아 MS</t>
        </is>
      </c>
      <c r="B48" s="263">
        <f>(B$42*B37)/(B$41*B25)</f>
        <v/>
      </c>
      <c r="C48" s="263">
        <f>(C$42*C37)/(C$41*C25)</f>
        <v/>
      </c>
      <c r="D48" s="263">
        <f>(D$42*D37)/(D$41*D25)</f>
        <v/>
      </c>
      <c r="E48" s="263">
        <f>(E$42*E37)/(E$41*E25)</f>
        <v/>
      </c>
      <c r="F48" s="263">
        <f>(F$42*F37)/(F$41*F25)</f>
        <v/>
      </c>
      <c r="G48" s="263">
        <f>(G$42*G37)/(G$41*G25)</f>
        <v/>
      </c>
      <c r="H48" s="263">
        <f>(H$42*H37)/(H$41*H25)</f>
        <v/>
      </c>
      <c r="I48" s="263">
        <f>(I$42*I37)/(I$41*I25)</f>
        <v/>
      </c>
      <c r="J48" s="263">
        <f>(J$42*J37)/(J$41*J25)</f>
        <v/>
      </c>
      <c r="K48" s="263">
        <f>(K$42*K37)/(K$41*K25)</f>
        <v/>
      </c>
      <c r="L48" s="263">
        <f>(L$42*L37)/(L$41*L25)</f>
        <v/>
      </c>
      <c r="M48" s="263">
        <f>(M$42*M37)/(M$41*M25)</f>
        <v/>
      </c>
      <c r="N48" s="263">
        <f>(N$42*N37)/(N$41*N25)</f>
        <v/>
      </c>
      <c r="O48" s="263">
        <f>(O$42*O37)/(O$41*O25)</f>
        <v/>
      </c>
      <c r="P48" s="263">
        <f>(P$42*P37)/(P$41*P25)</f>
        <v/>
      </c>
      <c r="Q48" s="263">
        <f>(Q$42*Q37)/(Q$41*Q25)</f>
        <v/>
      </c>
      <c r="R48" s="263">
        <f>(R$42*R37)/(R$41*R25)</f>
        <v/>
      </c>
      <c r="S48" s="263">
        <f>(S$42*S37)/(S$41*S25)</f>
        <v/>
      </c>
      <c r="T48" s="263">
        <f>(T$42*T37)/(T$41*T25)</f>
        <v/>
      </c>
      <c r="U48" s="263">
        <f>(U$42*U37)/(U$41*U25)</f>
        <v/>
      </c>
      <c r="V48" s="263">
        <f>(V$42*V37)/(V$41*V25)</f>
        <v/>
      </c>
      <c r="W48" s="263">
        <f>(W$42*W37)/(W$41*W25)</f>
        <v/>
      </c>
      <c r="X48" s="263">
        <f>(X$42*X37)/(X$41*X25)</f>
        <v/>
      </c>
      <c r="Y48" s="263">
        <f>(Y$42*Y37)/(Y$41*Y25)</f>
        <v/>
      </c>
      <c r="Z48" s="263">
        <f>(Z$42*Z37)/(Z$41*Z25)</f>
        <v/>
      </c>
      <c r="AA48" s="263">
        <f>(AA$42*AA37)/(AA$41*AA25)</f>
        <v/>
      </c>
    </row>
    <row r="49">
      <c r="A49" s="219" t="inlineStr">
        <is>
          <t>의원 나제아 MS</t>
        </is>
      </c>
      <c r="B49" s="263">
        <f>(B$42*B38)/(B$41*B26)</f>
        <v/>
      </c>
      <c r="C49" s="263">
        <f>(C$42*C38)/(C$41*C26)</f>
        <v/>
      </c>
      <c r="D49" s="263">
        <f>(D$42*D38)/(D$41*D26)</f>
        <v/>
      </c>
      <c r="E49" s="263">
        <f>(E$42*E38)/(E$41*E26)</f>
        <v/>
      </c>
      <c r="F49" s="263">
        <f>(F$42*F38)/(F$41*F26)</f>
        <v/>
      </c>
      <c r="G49" s="263">
        <f>(G$42*G38)/(G$41*G26)</f>
        <v/>
      </c>
      <c r="H49" s="263">
        <f>(H$42*H38)/(H$41*H26)</f>
        <v/>
      </c>
      <c r="I49" s="263">
        <f>(I$42*I38)/(I$41*I26)</f>
        <v/>
      </c>
      <c r="J49" s="263">
        <f>(J$42*J38)/(J$41*J26)</f>
        <v/>
      </c>
      <c r="K49" s="263">
        <f>(K$42*K38)/(K$41*K26)</f>
        <v/>
      </c>
      <c r="L49" s="263">
        <f>(L$42*L38)/(L$41*L26)</f>
        <v/>
      </c>
      <c r="M49" s="263">
        <f>(M$42*M38)/(M$41*M26)</f>
        <v/>
      </c>
      <c r="N49" s="263">
        <f>(N$42*N38)/(N$41*N26)</f>
        <v/>
      </c>
      <c r="O49" s="263">
        <f>(O$42*O38)/(O$41*O26)</f>
        <v/>
      </c>
      <c r="P49" s="263">
        <f>(P$42*P38)/(P$41*P26)</f>
        <v/>
      </c>
      <c r="Q49" s="263">
        <f>(Q$42*Q38)/(Q$41*Q26)</f>
        <v/>
      </c>
      <c r="R49" s="263">
        <f>(R$42*R38)/(R$41*R26)</f>
        <v/>
      </c>
      <c r="S49" s="263">
        <f>(S$42*S38)/(S$41*S26)</f>
        <v/>
      </c>
      <c r="T49" s="263">
        <f>(T$42*T38)/(T$41*T26)</f>
        <v/>
      </c>
      <c r="U49" s="263">
        <f>(U$42*U38)/(U$41*U26)</f>
        <v/>
      </c>
      <c r="V49" s="263">
        <f>(V$42*V38)/(V$41*V26)</f>
        <v/>
      </c>
      <c r="W49" s="263">
        <f>(W$42*W38)/(W$41*W26)</f>
        <v/>
      </c>
      <c r="X49" s="263">
        <f>(X$42*X38)/(X$41*X26)</f>
        <v/>
      </c>
      <c r="Y49" s="263">
        <f>(Y$42*Y38)/(Y$41*Y26)</f>
        <v/>
      </c>
      <c r="Z49" s="263">
        <f>(Z$42*Z38)/(Z$41*Z26)</f>
        <v/>
      </c>
      <c r="AA49" s="263">
        <f>(AA$42*AA38)/(AA$41*AA26)</f>
        <v/>
      </c>
    </row>
    <row r="50"/>
    <row r="51">
      <c r="A51" s="41" t="inlineStr">
        <is>
          <t>■ F. 종별 환자당 Ramo 사용 수량 (추정)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219" t="inlineStr">
        <is>
          <t xml:space="preserve">상급종합병원 </t>
        </is>
      </c>
      <c r="B52" s="332">
        <f>IFERROR(B$41*B23/B5,"")</f>
        <v/>
      </c>
      <c r="C52" s="332">
        <f>IFERROR(C$41*C23/C5,"")</f>
        <v/>
      </c>
      <c r="D52" s="332">
        <f>IFERROR(D$41*D23/D5,"")</f>
        <v/>
      </c>
      <c r="E52" s="332">
        <f>IFERROR(E$41*E23/E5,"")</f>
        <v/>
      </c>
      <c r="F52" s="332">
        <f>IFERROR(F$41*F23/F5,"")</f>
        <v/>
      </c>
      <c r="G52" s="332">
        <f>IFERROR(G$41*G23/G5,"")</f>
        <v/>
      </c>
      <c r="H52" s="332">
        <f>IFERROR(H$41*H23/H5,"")</f>
        <v/>
      </c>
      <c r="I52" s="332">
        <f>IFERROR(I$41*I23/I5,"")</f>
        <v/>
      </c>
      <c r="J52" s="332">
        <f>IFERROR(J$41*J23/J5,"")</f>
        <v/>
      </c>
      <c r="K52" s="332">
        <f>IFERROR(K$41*K23/K5,"")</f>
        <v/>
      </c>
      <c r="L52" s="332">
        <f>IFERROR(L$41*L23/L5,"")</f>
        <v/>
      </c>
      <c r="M52" s="332">
        <f>IFERROR(M$41*M23/M5,"")</f>
        <v/>
      </c>
      <c r="N52" s="332">
        <f>IFERROR(N$41*N23/N5,"")</f>
        <v/>
      </c>
      <c r="O52" s="332">
        <f>IFERROR(O$41*O23/O5,"")</f>
        <v/>
      </c>
      <c r="P52" s="332">
        <f>IFERROR(P$41*P23/P5,"")</f>
        <v/>
      </c>
      <c r="Q52" s="332">
        <f>IFERROR(Q$41*Q23/Q5,"")</f>
        <v/>
      </c>
      <c r="R52" s="332">
        <f>IFERROR(R$41*R23/R5,"")</f>
        <v/>
      </c>
      <c r="S52" s="332">
        <f>IFERROR(S$41*S23/S5,"")</f>
        <v/>
      </c>
      <c r="T52" s="332">
        <f>IFERROR(T$41*T23/T5,"")</f>
        <v/>
      </c>
      <c r="U52" s="332">
        <f>IFERROR(U$41*U23/U5,"")</f>
        <v/>
      </c>
      <c r="V52" s="332">
        <f>IFERROR(V$41*V23/V5,"")</f>
        <v/>
      </c>
      <c r="W52" s="332">
        <f>IFERROR(W$41*W23/W5,"")</f>
        <v/>
      </c>
      <c r="X52" s="332">
        <f>IFERROR(X$41*X23/X5,"")</f>
        <v/>
      </c>
      <c r="Y52" s="332">
        <f>IFERROR(Y$41*Y23/Y5,"")</f>
        <v/>
      </c>
      <c r="Z52" s="332">
        <f>IFERROR(Z$41*Z23/Z5,"")</f>
        <v/>
      </c>
      <c r="AA52" s="332">
        <f>IFERROR(AA$41*AA23/AA5,"")</f>
        <v/>
      </c>
      <c r="AB52" s="332" t="n"/>
    </row>
    <row r="53">
      <c r="A53" s="219" t="inlineStr">
        <is>
          <t>종합병원</t>
        </is>
      </c>
      <c r="B53" s="332">
        <f>IFERROR(B$41*B24/B6,"")</f>
        <v/>
      </c>
      <c r="C53" s="332">
        <f>IFERROR(C$41*C24/C6,"")</f>
        <v/>
      </c>
      <c r="D53" s="332">
        <f>IFERROR(D$41*D24/D6,"")</f>
        <v/>
      </c>
      <c r="E53" s="332">
        <f>IFERROR(E$41*E24/E6,"")</f>
        <v/>
      </c>
      <c r="F53" s="332">
        <f>IFERROR(F$41*F24/F6,"")</f>
        <v/>
      </c>
      <c r="G53" s="332">
        <f>IFERROR(G$41*G24/G6,"")</f>
        <v/>
      </c>
      <c r="H53" s="332">
        <f>IFERROR(H$41*H24/H6,"")</f>
        <v/>
      </c>
      <c r="I53" s="332">
        <f>IFERROR(I$41*I24/I6,"")</f>
        <v/>
      </c>
      <c r="J53" s="332">
        <f>IFERROR(J$41*J24/J6,"")</f>
        <v/>
      </c>
      <c r="K53" s="332">
        <f>IFERROR(K$41*K24/K6,"")</f>
        <v/>
      </c>
      <c r="L53" s="332">
        <f>IFERROR(L$41*L24/L6,"")</f>
        <v/>
      </c>
      <c r="M53" s="332">
        <f>IFERROR(M$41*M24/M6,"")</f>
        <v/>
      </c>
      <c r="N53" s="332">
        <f>IFERROR(N$41*N24/N6,"")</f>
        <v/>
      </c>
      <c r="O53" s="332">
        <f>IFERROR(O$41*O24/O6,"")</f>
        <v/>
      </c>
      <c r="P53" s="332">
        <f>IFERROR(P$41*P24/P6,"")</f>
        <v/>
      </c>
      <c r="Q53" s="332">
        <f>IFERROR(Q$41*Q24/Q6,"")</f>
        <v/>
      </c>
      <c r="R53" s="332">
        <f>IFERROR(R$41*R24/R6,"")</f>
        <v/>
      </c>
      <c r="S53" s="332">
        <f>IFERROR(S$41*S24/S6,"")</f>
        <v/>
      </c>
      <c r="T53" s="332">
        <f>IFERROR(T$41*T24/T6,"")</f>
        <v/>
      </c>
      <c r="U53" s="332">
        <f>IFERROR(U$41*U24/U6,"")</f>
        <v/>
      </c>
      <c r="V53" s="332">
        <f>IFERROR(V$41*V24/V6,"")</f>
        <v/>
      </c>
      <c r="W53" s="332">
        <f>IFERROR(W$41*W24/W6,"")</f>
        <v/>
      </c>
      <c r="X53" s="332">
        <f>IFERROR(X$41*X24/X6,"")</f>
        <v/>
      </c>
      <c r="Y53" s="332">
        <f>IFERROR(Y$41*Y24/Y6,"")</f>
        <v/>
      </c>
      <c r="Z53" s="332">
        <f>IFERROR(Z$41*Z24/Z6,"")</f>
        <v/>
      </c>
      <c r="AA53" s="332">
        <f>IFERROR(AA$41*AA24/AA6,"")</f>
        <v/>
      </c>
      <c r="AB53" s="332" t="n"/>
    </row>
    <row r="54">
      <c r="A54" s="219" t="inlineStr">
        <is>
          <t xml:space="preserve">병원 </t>
        </is>
      </c>
      <c r="B54" s="332">
        <f>IFERROR(B$41*B25/B7,"")</f>
        <v/>
      </c>
      <c r="C54" s="332">
        <f>IFERROR(C$41*C25/C7,"")</f>
        <v/>
      </c>
      <c r="D54" s="332">
        <f>IFERROR(D$41*D25/D7,"")</f>
        <v/>
      </c>
      <c r="E54" s="332">
        <f>IFERROR(E$41*E25/E7,"")</f>
        <v/>
      </c>
      <c r="F54" s="332">
        <f>IFERROR(F$41*F25/F7,"")</f>
        <v/>
      </c>
      <c r="G54" s="332">
        <f>IFERROR(G$41*G25/G7,"")</f>
        <v/>
      </c>
      <c r="H54" s="332">
        <f>IFERROR(H$41*H25/H7,"")</f>
        <v/>
      </c>
      <c r="I54" s="332">
        <f>IFERROR(I$41*I25/I7,"")</f>
        <v/>
      </c>
      <c r="J54" s="332">
        <f>IFERROR(J$41*J25/J7,"")</f>
        <v/>
      </c>
      <c r="K54" s="332">
        <f>IFERROR(K$41*K25/K7,"")</f>
        <v/>
      </c>
      <c r="L54" s="332">
        <f>IFERROR(L$41*L25/L7,"")</f>
        <v/>
      </c>
      <c r="M54" s="332">
        <f>IFERROR(M$41*M25/M7,"")</f>
        <v/>
      </c>
      <c r="N54" s="332">
        <f>IFERROR(N$41*N25/N7,"")</f>
        <v/>
      </c>
      <c r="O54" s="332">
        <f>IFERROR(O$41*O25/O7,"")</f>
        <v/>
      </c>
      <c r="P54" s="332">
        <f>IFERROR(P$41*P25/P7,"")</f>
        <v/>
      </c>
      <c r="Q54" s="332">
        <f>IFERROR(Q$41*Q25/Q7,"")</f>
        <v/>
      </c>
      <c r="R54" s="332">
        <f>IFERROR(R$41*R25/R7,"")</f>
        <v/>
      </c>
      <c r="S54" s="332">
        <f>IFERROR(S$41*S25/S7,"")</f>
        <v/>
      </c>
      <c r="T54" s="332">
        <f>IFERROR(T$41*T25/T7,"")</f>
        <v/>
      </c>
      <c r="U54" s="332">
        <f>IFERROR(U$41*U25/U7,"")</f>
        <v/>
      </c>
      <c r="V54" s="332">
        <f>IFERROR(V$41*V25/V7,"")</f>
        <v/>
      </c>
      <c r="W54" s="332">
        <f>IFERROR(W$41*W25/W7,"")</f>
        <v/>
      </c>
      <c r="X54" s="332">
        <f>IFERROR(X$41*X25/X7,"")</f>
        <v/>
      </c>
      <c r="Y54" s="332">
        <f>IFERROR(Y$41*Y25/Y7,"")</f>
        <v/>
      </c>
      <c r="Z54" s="332">
        <f>IFERROR(Z$41*Z25/Z7,"")</f>
        <v/>
      </c>
      <c r="AA54" s="332">
        <f>IFERROR(AA$41*AA25/AA7,"")</f>
        <v/>
      </c>
      <c r="AB54" s="332" t="n"/>
    </row>
    <row r="55">
      <c r="A55" s="219" t="inlineStr">
        <is>
          <t>의원</t>
        </is>
      </c>
      <c r="B55" s="332">
        <f>IFERROR(B$41*B26/B8,"")</f>
        <v/>
      </c>
      <c r="C55" s="332">
        <f>IFERROR(C$41*C26/C8,"")</f>
        <v/>
      </c>
      <c r="D55" s="332">
        <f>IFERROR(D$41*D26/D8,"")</f>
        <v/>
      </c>
      <c r="E55" s="332">
        <f>IFERROR(E$41*E26/E8,"")</f>
        <v/>
      </c>
      <c r="F55" s="332">
        <f>IFERROR(F$41*F26/F8,"")</f>
        <v/>
      </c>
      <c r="G55" s="332">
        <f>IFERROR(G$41*G26/G8,"")</f>
        <v/>
      </c>
      <c r="H55" s="332">
        <f>IFERROR(H$41*H26/H8,"")</f>
        <v/>
      </c>
      <c r="I55" s="332">
        <f>IFERROR(I$41*I26/I8,"")</f>
        <v/>
      </c>
      <c r="J55" s="332">
        <f>IFERROR(J$41*J26/J8,"")</f>
        <v/>
      </c>
      <c r="K55" s="332">
        <f>IFERROR(K$41*K26/K8,"")</f>
        <v/>
      </c>
      <c r="L55" s="332">
        <f>IFERROR(L$41*L26/L8,"")</f>
        <v/>
      </c>
      <c r="M55" s="332">
        <f>IFERROR(M$41*M26/M8,"")</f>
        <v/>
      </c>
      <c r="N55" s="332">
        <f>IFERROR(N$41*N26/N8,"")</f>
        <v/>
      </c>
      <c r="O55" s="332">
        <f>IFERROR(O$41*O26/O8,"")</f>
        <v/>
      </c>
      <c r="P55" s="332">
        <f>IFERROR(P$41*P26/P8,"")</f>
        <v/>
      </c>
      <c r="Q55" s="332">
        <f>IFERROR(Q$41*Q26/Q8,"")</f>
        <v/>
      </c>
      <c r="R55" s="332">
        <f>IFERROR(R$41*R26/R8,"")</f>
        <v/>
      </c>
      <c r="S55" s="332">
        <f>IFERROR(S$41*S26/S8,"")</f>
        <v/>
      </c>
      <c r="T55" s="332">
        <f>IFERROR(T$41*T26/T8,"")</f>
        <v/>
      </c>
      <c r="U55" s="332">
        <f>IFERROR(U$41*U26/U8,"")</f>
        <v/>
      </c>
      <c r="V55" s="332">
        <f>IFERROR(V$41*V26/V8,"")</f>
        <v/>
      </c>
      <c r="W55" s="332">
        <f>IFERROR(W$41*W26/W8,"")</f>
        <v/>
      </c>
      <c r="X55" s="332">
        <f>IFERROR(X$41*X26/X8,"")</f>
        <v/>
      </c>
      <c r="Y55" s="332">
        <f>IFERROR(Y$41*Y26/Y8,"")</f>
        <v/>
      </c>
      <c r="Z55" s="332">
        <f>IFERROR(Z$41*Z26/Z8,"")</f>
        <v/>
      </c>
      <c r="AA55" s="332">
        <f>IFERROR(AA$41*AA26/AA8,"")</f>
        <v/>
      </c>
      <c r="AB55" s="332" t="n"/>
    </row>
    <row r="56">
      <c r="A56" s="219" t="n"/>
      <c r="B56" s="263" t="n"/>
      <c r="C56" s="263" t="n"/>
      <c r="D56" s="263" t="n"/>
      <c r="E56" s="263" t="n"/>
      <c r="F56" s="263" t="n"/>
      <c r="G56" s="263" t="n"/>
      <c r="H56" s="263" t="n"/>
      <c r="I56" s="263" t="n"/>
      <c r="J56" s="263" t="n"/>
      <c r="K56" s="263" t="n"/>
      <c r="L56" s="263" t="n"/>
      <c r="M56" s="263" t="n"/>
      <c r="N56" s="263" t="n"/>
      <c r="O56" s="263" t="n"/>
      <c r="P56" s="263" t="n"/>
      <c r="Q56" s="263" t="n"/>
      <c r="R56" s="263" t="n"/>
      <c r="S56" s="263" t="n"/>
      <c r="T56" s="263" t="n"/>
      <c r="U56" s="263" t="n"/>
      <c r="V56" s="263" t="n"/>
      <c r="W56" s="263" t="n"/>
      <c r="X56" s="263" t="n"/>
      <c r="Y56" s="263" t="n"/>
      <c r="Z56" s="263" t="n"/>
    </row>
    <row r="57">
      <c r="A57" s="41" t="inlineStr">
        <is>
          <t>■ G. SAP 기준 NSA 매출 수량 (Ampoule)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</row>
    <row r="58">
      <c r="A58" s="219" t="inlineStr">
        <is>
          <t>[SAP] DSKR 매출수량 (Ampoule)</t>
        </is>
      </c>
      <c r="F58" s="208" t="n">
        <v>441780</v>
      </c>
      <c r="G58" s="208" t="n">
        <v>449075</v>
      </c>
      <c r="H58" s="208" t="n">
        <v>463895</v>
      </c>
      <c r="I58" s="208" t="n">
        <v>458475</v>
      </c>
      <c r="J58" s="208" t="n">
        <v>566970</v>
      </c>
      <c r="K58" s="208" t="n">
        <v>357650</v>
      </c>
      <c r="L58" s="208" t="n">
        <v>437980</v>
      </c>
      <c r="M58" s="208" t="n">
        <v>493135</v>
      </c>
      <c r="N58" s="208" t="n">
        <v>548050</v>
      </c>
      <c r="O58" s="208" t="n">
        <v>501855</v>
      </c>
      <c r="P58" s="208" t="n">
        <v>553440</v>
      </c>
      <c r="Q58" s="208" t="n">
        <v>480055</v>
      </c>
      <c r="R58" s="208" t="n">
        <v>500115</v>
      </c>
      <c r="S58" s="208" t="n">
        <v>366105</v>
      </c>
      <c r="T58" s="208" t="n">
        <v>413405</v>
      </c>
      <c r="U58" s="208" t="n">
        <v>394355</v>
      </c>
      <c r="V58" s="208" t="n">
        <v>422060</v>
      </c>
      <c r="W58" s="208" t="n">
        <v>435790</v>
      </c>
      <c r="X58" s="208" t="n">
        <v>496700</v>
      </c>
      <c r="Y58" s="208" t="n">
        <v>468920</v>
      </c>
      <c r="Z58" s="208" t="n">
        <v>503600</v>
      </c>
      <c r="AA58" s="208" t="n">
        <v>495025</v>
      </c>
    </row>
    <row r="59">
      <c r="A59" s="180" t="inlineStr">
        <is>
          <t>전환비율</t>
        </is>
      </c>
      <c r="F59" s="181">
        <f>F42/F58</f>
        <v/>
      </c>
      <c r="G59" s="181">
        <f>G42/G58</f>
        <v/>
      </c>
      <c r="H59" s="181">
        <f>H42/H58</f>
        <v/>
      </c>
      <c r="I59" s="181">
        <f>I42/I58</f>
        <v/>
      </c>
      <c r="J59" s="181">
        <f>J42/J58</f>
        <v/>
      </c>
      <c r="K59" s="181">
        <f>K42/K58</f>
        <v/>
      </c>
      <c r="L59" s="181">
        <f>L42/L58</f>
        <v/>
      </c>
      <c r="M59" s="181">
        <f>M42/M58</f>
        <v/>
      </c>
      <c r="N59" s="181">
        <f>N42/N58</f>
        <v/>
      </c>
      <c r="O59" s="181">
        <f>O42/O58</f>
        <v/>
      </c>
      <c r="P59" s="181">
        <f>P42/P58</f>
        <v/>
      </c>
      <c r="Q59" s="181">
        <f>Q42/Q58</f>
        <v/>
      </c>
      <c r="R59" s="181">
        <f>R42/R58</f>
        <v/>
      </c>
      <c r="S59" s="181">
        <f>S42/S58</f>
        <v/>
      </c>
      <c r="T59" s="181">
        <f>T42/T58</f>
        <v/>
      </c>
      <c r="U59" s="181">
        <f>U42/U58</f>
        <v/>
      </c>
      <c r="V59" s="181">
        <f>V42/V58</f>
        <v/>
      </c>
      <c r="W59" s="181">
        <f>W42/W58</f>
        <v/>
      </c>
      <c r="X59" s="181">
        <f>X42/X58</f>
        <v/>
      </c>
      <c r="Y59" s="181">
        <f>Y42/Y58</f>
        <v/>
      </c>
      <c r="Z59" s="181">
        <f>Z42/Z58</f>
        <v/>
      </c>
      <c r="AA59" s="181">
        <f>AA42/AA58</f>
        <v/>
      </c>
    </row>
    <row r="60">
      <c r="V60" s="183">
        <f>V58/R58-1</f>
        <v/>
      </c>
      <c r="W60" s="183">
        <f>W58/S58-1</f>
        <v/>
      </c>
      <c r="X60" s="183">
        <f>X58/T58-1</f>
        <v/>
      </c>
      <c r="Y60" s="183">
        <f>Y58/U58-1</f>
        <v/>
      </c>
      <c r="Z60" s="183">
        <f>Z58/V58-1</f>
        <v/>
      </c>
      <c r="AA60" s="183">
        <f>AA58/W58-1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:language xmlns:dc="http://purl.org/dc/elements/1.1/">en-US</dc:language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2026-09-15T13:54:32Z</dcterms:modified>
  <cp:lastModifiedBy>Eun-Woo Kim | 김은우</cp:lastModifiedBy>
  <cp:revision>0</cp:revision>
  <cp:lastPrinted>2026-07-22T06:37:31Z</cp:lastPrinted>
</cp:coreProperties>
</file>